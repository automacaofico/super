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globalvale-my.sharepoint.com/personal/julia_guerra_vale_com/Documents/0. Superestrutura/0. Premissas de Planejamento/00 - Controles de Obra/04 - Unifilar Superestrutura/"/>
    </mc:Choice>
  </mc:AlternateContent>
  <xr:revisionPtr revIDLastSave="821" documentId="13_ncr:1_{4854DFB7-E9B4-409C-A843-569908145318}" xr6:coauthVersionLast="47" xr6:coauthVersionMax="47" xr10:uidLastSave="{E6042F85-CE8A-4D3D-9D98-C4A3EBED436B}"/>
  <bookViews>
    <workbookView xWindow="-120" yWindow="-120" windowWidth="20730" windowHeight="11040" tabRatio="844" xr2:uid="{00000000-000D-0000-FFFF-FFFF00000000}"/>
  </bookViews>
  <sheets>
    <sheet name="ENTRADA" sheetId="1" r:id="rId1"/>
    <sheet name="CURVAS" sheetId="6" r:id="rId2"/>
    <sheet name="HISTOGRAMA" sheetId="7" r:id="rId3"/>
    <sheet name="SERVIÇOS NOTÁVEIS" sheetId="8" r:id="rId4"/>
    <sheet name="LASTRO" sheetId="11" r:id="rId5"/>
    <sheet name="MATERIAIS" sheetId="18" r:id="rId6"/>
    <sheet name="PONTOS DE ATENÇÃO" sheetId="19" r:id="rId7"/>
    <sheet name="PLANO DE AÇÃO" sheetId="20" r:id="rId8"/>
  </sheets>
  <externalReferences>
    <externalReference r:id="rId9"/>
    <externalReference r:id="rId10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8" l="1"/>
  <c r="J62" i="8" l="1"/>
  <c r="J51" i="8"/>
  <c r="J29" i="8"/>
  <c r="J7" i="8"/>
  <c r="M5" i="6" l="1"/>
  <c r="N5" i="6"/>
  <c r="O5" i="6"/>
  <c r="P5" i="6"/>
  <c r="Q5" i="6"/>
  <c r="R5" i="6"/>
  <c r="S5" i="6"/>
  <c r="T5" i="6"/>
  <c r="U5" i="6"/>
  <c r="V5" i="6"/>
  <c r="W5" i="6"/>
  <c r="X5" i="6"/>
  <c r="U2" i="18" l="1"/>
  <c r="V4" i="18" s="1"/>
  <c r="W4" i="18" s="1"/>
  <c r="R4" i="18" s="1"/>
  <c r="O3" i="18"/>
  <c r="O5" i="18"/>
  <c r="O6" i="18"/>
  <c r="O7" i="18"/>
  <c r="O8" i="18"/>
  <c r="O9" i="18"/>
  <c r="O10" i="18"/>
  <c r="O11" i="18"/>
  <c r="O12" i="18"/>
  <c r="O13" i="18"/>
  <c r="O14" i="18"/>
  <c r="O15" i="18"/>
  <c r="O2" i="18"/>
  <c r="V5" i="18" l="1"/>
  <c r="I62" i="8" l="1"/>
  <c r="I51" i="8"/>
  <c r="I29" i="8"/>
  <c r="I18" i="8"/>
  <c r="I7" i="8"/>
  <c r="F28" i="20" l="1"/>
  <c r="D23" i="1"/>
  <c r="H53" i="8"/>
  <c r="G53" i="8"/>
  <c r="F53" i="8"/>
  <c r="E53" i="8"/>
  <c r="D53" i="8"/>
  <c r="C53" i="8"/>
  <c r="B53" i="8"/>
  <c r="H42" i="8"/>
  <c r="G42" i="8"/>
  <c r="F42" i="8"/>
  <c r="E42" i="8"/>
  <c r="D42" i="8"/>
  <c r="C42" i="8"/>
  <c r="B42" i="8"/>
  <c r="H31" i="8"/>
  <c r="G31" i="8"/>
  <c r="F31" i="8"/>
  <c r="E31" i="8"/>
  <c r="D31" i="8"/>
  <c r="C31" i="8"/>
  <c r="B31" i="8"/>
  <c r="H20" i="8"/>
  <c r="G20" i="8"/>
  <c r="F20" i="8"/>
  <c r="E20" i="8"/>
  <c r="D20" i="8"/>
  <c r="C20" i="8"/>
  <c r="B20" i="8"/>
  <c r="H9" i="8"/>
  <c r="G9" i="8"/>
  <c r="F9" i="8"/>
  <c r="E9" i="8"/>
  <c r="D9" i="8"/>
  <c r="C9" i="8"/>
  <c r="B9" i="8"/>
  <c r="M2" i="20" l="1"/>
  <c r="M3" i="20"/>
  <c r="K3" i="20"/>
  <c r="K2" i="20"/>
  <c r="N4" i="18"/>
  <c r="O4" i="18" s="1"/>
  <c r="E2" i="11"/>
  <c r="A5" i="11"/>
  <c r="A6" i="11" s="1"/>
  <c r="B4" i="11"/>
  <c r="M2" i="11"/>
  <c r="L2" i="11"/>
  <c r="K2" i="11"/>
  <c r="J2" i="11"/>
  <c r="I2" i="11"/>
  <c r="H2" i="11"/>
  <c r="G2" i="11"/>
  <c r="F2" i="11"/>
  <c r="D2" i="11"/>
  <c r="C2" i="11"/>
  <c r="U65" i="8"/>
  <c r="T65" i="8"/>
  <c r="S65" i="8"/>
  <c r="R65" i="8"/>
  <c r="Q65" i="8"/>
  <c r="P65" i="8"/>
  <c r="O65" i="8"/>
  <c r="N65" i="8"/>
  <c r="M65" i="8"/>
  <c r="L65" i="8"/>
  <c r="K65" i="8"/>
  <c r="J65" i="8"/>
  <c r="I65" i="8"/>
  <c r="G65" i="8"/>
  <c r="H64" i="8"/>
  <c r="H65" i="8" s="1"/>
  <c r="G64" i="8"/>
  <c r="F64" i="8"/>
  <c r="E64" i="8"/>
  <c r="D64" i="8"/>
  <c r="C64" i="8"/>
  <c r="B64" i="8"/>
  <c r="F63" i="8"/>
  <c r="E63" i="8"/>
  <c r="D63" i="8"/>
  <c r="C63" i="8"/>
  <c r="B63" i="8"/>
  <c r="H62" i="8"/>
  <c r="F62" i="8"/>
  <c r="F65" i="8" s="1"/>
  <c r="E62" i="8"/>
  <c r="E65" i="8" s="1"/>
  <c r="D62" i="8"/>
  <c r="D65" i="8" s="1"/>
  <c r="C62" i="8"/>
  <c r="C65" i="8" s="1"/>
  <c r="B62" i="8"/>
  <c r="B65" i="8" s="1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C59" i="8"/>
  <c r="B59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2" i="8"/>
  <c r="F52" i="8"/>
  <c r="E52" i="8"/>
  <c r="D52" i="8"/>
  <c r="C52" i="8"/>
  <c r="B52" i="8"/>
  <c r="H51" i="8"/>
  <c r="G51" i="8"/>
  <c r="G54" i="8" s="1"/>
  <c r="F51" i="8"/>
  <c r="F54" i="8" s="1"/>
  <c r="E51" i="8"/>
  <c r="E54" i="8" s="1"/>
  <c r="D51" i="8"/>
  <c r="D54" i="8" s="1"/>
  <c r="C51" i="8"/>
  <c r="C54" i="8" s="1"/>
  <c r="B51" i="8"/>
  <c r="B54" i="8" s="1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1" i="8"/>
  <c r="F41" i="8"/>
  <c r="E41" i="8"/>
  <c r="D41" i="8"/>
  <c r="C41" i="8"/>
  <c r="B41" i="8"/>
  <c r="H40" i="8"/>
  <c r="G40" i="8"/>
  <c r="G43" i="8" s="1"/>
  <c r="F40" i="8"/>
  <c r="F43" i="8" s="1"/>
  <c r="E40" i="8"/>
  <c r="E43" i="8" s="1"/>
  <c r="D40" i="8"/>
  <c r="D43" i="8" s="1"/>
  <c r="C40" i="8"/>
  <c r="C43" i="8" s="1"/>
  <c r="B40" i="8"/>
  <c r="B43" i="8" s="1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0" i="8"/>
  <c r="F30" i="8"/>
  <c r="E30" i="8"/>
  <c r="D30" i="8"/>
  <c r="C30" i="8"/>
  <c r="B30" i="8"/>
  <c r="H29" i="8"/>
  <c r="G29" i="8"/>
  <c r="G32" i="8" s="1"/>
  <c r="F29" i="8"/>
  <c r="F32" i="8" s="1"/>
  <c r="E29" i="8"/>
  <c r="E32" i="8" s="1"/>
  <c r="D29" i="8"/>
  <c r="D32" i="8" s="1"/>
  <c r="C29" i="8"/>
  <c r="C32" i="8" s="1"/>
  <c r="B29" i="8"/>
  <c r="B32" i="8" s="1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19" i="8"/>
  <c r="F19" i="8"/>
  <c r="E19" i="8"/>
  <c r="D19" i="8"/>
  <c r="C19" i="8"/>
  <c r="B19" i="8"/>
  <c r="H18" i="8"/>
  <c r="G18" i="8"/>
  <c r="G21" i="8" s="1"/>
  <c r="F18" i="8"/>
  <c r="F21" i="8" s="1"/>
  <c r="E18" i="8"/>
  <c r="E21" i="8" s="1"/>
  <c r="D18" i="8"/>
  <c r="D21" i="8" s="1"/>
  <c r="C18" i="8"/>
  <c r="C21" i="8" s="1"/>
  <c r="B18" i="8"/>
  <c r="B21" i="8" s="1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8" i="8"/>
  <c r="F8" i="8"/>
  <c r="E8" i="8"/>
  <c r="D8" i="8"/>
  <c r="C8" i="8"/>
  <c r="B8" i="8"/>
  <c r="H7" i="8"/>
  <c r="G7" i="8"/>
  <c r="G10" i="8" s="1"/>
  <c r="F7" i="8"/>
  <c r="F10" i="8" s="1"/>
  <c r="E7" i="8"/>
  <c r="E10" i="8" s="1"/>
  <c r="D7" i="8"/>
  <c r="D10" i="8" s="1"/>
  <c r="C7" i="8"/>
  <c r="C10" i="8" s="1"/>
  <c r="B7" i="8"/>
  <c r="B10" i="8" s="1"/>
  <c r="AR4" i="8"/>
  <c r="AQ4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BR116" i="7"/>
  <c r="BQ116" i="7"/>
  <c r="BP116" i="7"/>
  <c r="BO116" i="7"/>
  <c r="BN116" i="7"/>
  <c r="BM116" i="7"/>
  <c r="BL116" i="7"/>
  <c r="BK116" i="7"/>
  <c r="BJ116" i="7"/>
  <c r="BI116" i="7"/>
  <c r="BH116" i="7"/>
  <c r="BG116" i="7"/>
  <c r="BF116" i="7"/>
  <c r="BE116" i="7"/>
  <c r="BD116" i="7"/>
  <c r="AU116" i="7"/>
  <c r="AT116" i="7"/>
  <c r="AS116" i="7"/>
  <c r="AR116" i="7"/>
  <c r="AQ116" i="7"/>
  <c r="AP116" i="7"/>
  <c r="AO116" i="7"/>
  <c r="AN116" i="7"/>
  <c r="AM116" i="7"/>
  <c r="AL116" i="7"/>
  <c r="AK116" i="7"/>
  <c r="AJ116" i="7"/>
  <c r="AI116" i="7"/>
  <c r="AH116" i="7"/>
  <c r="AG116" i="7"/>
  <c r="AF116" i="7"/>
  <c r="AE116" i="7"/>
  <c r="AD116" i="7"/>
  <c r="AC116" i="7"/>
  <c r="AB116" i="7"/>
  <c r="AA116" i="7"/>
  <c r="Z116" i="7"/>
  <c r="Y116" i="7"/>
  <c r="X116" i="7"/>
  <c r="W116" i="7"/>
  <c r="V116" i="7"/>
  <c r="U116" i="7"/>
  <c r="T116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G116" i="7"/>
  <c r="F116" i="7"/>
  <c r="E116" i="7"/>
  <c r="D116" i="7"/>
  <c r="C116" i="7"/>
  <c r="B116" i="7"/>
  <c r="BC115" i="7"/>
  <c r="BB115" i="7"/>
  <c r="BA115" i="7"/>
  <c r="AZ115" i="7"/>
  <c r="AY115" i="7"/>
  <c r="AX115" i="7"/>
  <c r="AW115" i="7"/>
  <c r="AV115" i="7"/>
  <c r="BC114" i="7"/>
  <c r="BB114" i="7"/>
  <c r="BA114" i="7"/>
  <c r="AZ114" i="7"/>
  <c r="AY114" i="7"/>
  <c r="AX114" i="7"/>
  <c r="AW114" i="7"/>
  <c r="AV114" i="7"/>
  <c r="BC113" i="7"/>
  <c r="BB113" i="7"/>
  <c r="BA113" i="7"/>
  <c r="AZ113" i="7"/>
  <c r="AY113" i="7"/>
  <c r="AX113" i="7"/>
  <c r="AW113" i="7"/>
  <c r="AV113" i="7"/>
  <c r="BC112" i="7"/>
  <c r="BB112" i="7"/>
  <c r="BA112" i="7"/>
  <c r="AZ112" i="7"/>
  <c r="AY112" i="7"/>
  <c r="AX112" i="7"/>
  <c r="AW112" i="7"/>
  <c r="AV112" i="7"/>
  <c r="BC111" i="7"/>
  <c r="BB111" i="7"/>
  <c r="BA111" i="7"/>
  <c r="AZ111" i="7"/>
  <c r="AY111" i="7"/>
  <c r="AX111" i="7"/>
  <c r="AW111" i="7"/>
  <c r="AV111" i="7"/>
  <c r="BC110" i="7"/>
  <c r="BB110" i="7"/>
  <c r="BA110" i="7"/>
  <c r="AZ110" i="7"/>
  <c r="AY110" i="7"/>
  <c r="AX110" i="7"/>
  <c r="AW110" i="7"/>
  <c r="AV110" i="7"/>
  <c r="BC109" i="7"/>
  <c r="BB109" i="7"/>
  <c r="BA109" i="7"/>
  <c r="AZ109" i="7"/>
  <c r="AY109" i="7"/>
  <c r="AX109" i="7"/>
  <c r="AW109" i="7"/>
  <c r="AV109" i="7"/>
  <c r="BC108" i="7"/>
  <c r="BB108" i="7"/>
  <c r="BA108" i="7"/>
  <c r="AZ108" i="7"/>
  <c r="AY108" i="7"/>
  <c r="AX108" i="7"/>
  <c r="AW108" i="7"/>
  <c r="AV108" i="7"/>
  <c r="BC107" i="7"/>
  <c r="BB107" i="7"/>
  <c r="BA107" i="7"/>
  <c r="AZ107" i="7"/>
  <c r="AY107" i="7"/>
  <c r="AX107" i="7"/>
  <c r="AW107" i="7"/>
  <c r="AV107" i="7"/>
  <c r="BC106" i="7"/>
  <c r="BB106" i="7"/>
  <c r="BA106" i="7"/>
  <c r="AZ106" i="7"/>
  <c r="AY106" i="7"/>
  <c r="AX106" i="7"/>
  <c r="AW106" i="7"/>
  <c r="AV106" i="7"/>
  <c r="BC105" i="7"/>
  <c r="BB105" i="7"/>
  <c r="BA105" i="7"/>
  <c r="AZ105" i="7"/>
  <c r="AY105" i="7"/>
  <c r="AX105" i="7"/>
  <c r="AW105" i="7"/>
  <c r="AV105" i="7"/>
  <c r="BC104" i="7"/>
  <c r="BB104" i="7"/>
  <c r="BA104" i="7"/>
  <c r="AZ104" i="7"/>
  <c r="AY104" i="7"/>
  <c r="AX104" i="7"/>
  <c r="AW104" i="7"/>
  <c r="AV104" i="7"/>
  <c r="BC103" i="7"/>
  <c r="BB103" i="7"/>
  <c r="BA103" i="7"/>
  <c r="AZ103" i="7"/>
  <c r="AY103" i="7"/>
  <c r="AX103" i="7"/>
  <c r="AW103" i="7"/>
  <c r="AV103" i="7"/>
  <c r="BC102" i="7"/>
  <c r="BB102" i="7"/>
  <c r="BA102" i="7"/>
  <c r="AZ102" i="7"/>
  <c r="AY102" i="7"/>
  <c r="AX102" i="7"/>
  <c r="AW102" i="7"/>
  <c r="AV102" i="7"/>
  <c r="BC101" i="7"/>
  <c r="BB101" i="7"/>
  <c r="BA101" i="7"/>
  <c r="AZ101" i="7"/>
  <c r="AY101" i="7"/>
  <c r="AX101" i="7"/>
  <c r="AW101" i="7"/>
  <c r="AV101" i="7"/>
  <c r="BC100" i="7"/>
  <c r="BB100" i="7"/>
  <c r="BA100" i="7"/>
  <c r="AZ100" i="7"/>
  <c r="AY100" i="7"/>
  <c r="AX100" i="7"/>
  <c r="AW100" i="7"/>
  <c r="AV100" i="7"/>
  <c r="BC99" i="7"/>
  <c r="BB99" i="7"/>
  <c r="BA99" i="7"/>
  <c r="AZ99" i="7"/>
  <c r="AY99" i="7"/>
  <c r="AX99" i="7"/>
  <c r="AW99" i="7"/>
  <c r="AV99" i="7"/>
  <c r="BC98" i="7"/>
  <c r="BB98" i="7"/>
  <c r="BA98" i="7"/>
  <c r="AZ98" i="7"/>
  <c r="AY98" i="7"/>
  <c r="AX98" i="7"/>
  <c r="AW98" i="7"/>
  <c r="AV98" i="7"/>
  <c r="BC97" i="7"/>
  <c r="BB97" i="7"/>
  <c r="BA97" i="7"/>
  <c r="AZ97" i="7"/>
  <c r="AY97" i="7"/>
  <c r="AX97" i="7"/>
  <c r="AW97" i="7"/>
  <c r="AV97" i="7"/>
  <c r="BC96" i="7"/>
  <c r="BB96" i="7"/>
  <c r="BA96" i="7"/>
  <c r="AZ96" i="7"/>
  <c r="AY96" i="7"/>
  <c r="AX96" i="7"/>
  <c r="AW96" i="7"/>
  <c r="AV96" i="7"/>
  <c r="BC95" i="7"/>
  <c r="BB95" i="7"/>
  <c r="BA95" i="7"/>
  <c r="AZ95" i="7"/>
  <c r="AY95" i="7"/>
  <c r="AX95" i="7"/>
  <c r="AW95" i="7"/>
  <c r="AV95" i="7"/>
  <c r="BC94" i="7"/>
  <c r="BB94" i="7"/>
  <c r="BA94" i="7"/>
  <c r="AZ94" i="7"/>
  <c r="AY94" i="7"/>
  <c r="AX94" i="7"/>
  <c r="AW94" i="7"/>
  <c r="AV94" i="7"/>
  <c r="BR90" i="7"/>
  <c r="BQ90" i="7"/>
  <c r="BP90" i="7"/>
  <c r="BO90" i="7"/>
  <c r="BN90" i="7"/>
  <c r="BM90" i="7"/>
  <c r="BL90" i="7"/>
  <c r="BK90" i="7"/>
  <c r="BJ90" i="7"/>
  <c r="BI90" i="7"/>
  <c r="BH90" i="7"/>
  <c r="BG90" i="7"/>
  <c r="BF90" i="7"/>
  <c r="BE90" i="7"/>
  <c r="BD90" i="7"/>
  <c r="AU90" i="7"/>
  <c r="AT90" i="7"/>
  <c r="AS90" i="7"/>
  <c r="AR90" i="7"/>
  <c r="AQ90" i="7"/>
  <c r="AP90" i="7"/>
  <c r="AO90" i="7"/>
  <c r="AN90" i="7"/>
  <c r="AM90" i="7"/>
  <c r="AL90" i="7"/>
  <c r="AK90" i="7"/>
  <c r="AJ90" i="7"/>
  <c r="AI90" i="7"/>
  <c r="AH90" i="7"/>
  <c r="AG90" i="7"/>
  <c r="AF90" i="7"/>
  <c r="AE90" i="7"/>
  <c r="AD90" i="7"/>
  <c r="AC90" i="7"/>
  <c r="AB90" i="7"/>
  <c r="AA90" i="7"/>
  <c r="Z90" i="7"/>
  <c r="Y90" i="7"/>
  <c r="X90" i="7"/>
  <c r="W90" i="7"/>
  <c r="L37" i="6" s="1"/>
  <c r="V90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B90" i="7"/>
  <c r="BC89" i="7"/>
  <c r="BB89" i="7"/>
  <c r="BA89" i="7"/>
  <c r="AZ89" i="7"/>
  <c r="AY89" i="7"/>
  <c r="AX89" i="7"/>
  <c r="AW89" i="7"/>
  <c r="AV89" i="7"/>
  <c r="BC88" i="7"/>
  <c r="BB88" i="7"/>
  <c r="BA88" i="7"/>
  <c r="AZ88" i="7"/>
  <c r="AY88" i="7"/>
  <c r="AX88" i="7"/>
  <c r="AW88" i="7"/>
  <c r="AV88" i="7"/>
  <c r="BC87" i="7"/>
  <c r="BB87" i="7"/>
  <c r="BA87" i="7"/>
  <c r="AZ87" i="7"/>
  <c r="AY87" i="7"/>
  <c r="AX87" i="7"/>
  <c r="AW87" i="7"/>
  <c r="AV87" i="7"/>
  <c r="BC86" i="7"/>
  <c r="BB86" i="7"/>
  <c r="BA86" i="7"/>
  <c r="AZ86" i="7"/>
  <c r="AY86" i="7"/>
  <c r="AX86" i="7"/>
  <c r="AW86" i="7"/>
  <c r="AV86" i="7"/>
  <c r="BC85" i="7"/>
  <c r="BB85" i="7"/>
  <c r="BA85" i="7"/>
  <c r="AZ85" i="7"/>
  <c r="AY85" i="7"/>
  <c r="AX85" i="7"/>
  <c r="AW85" i="7"/>
  <c r="AV85" i="7"/>
  <c r="BC84" i="7"/>
  <c r="BB84" i="7"/>
  <c r="BA84" i="7"/>
  <c r="AZ84" i="7"/>
  <c r="AY84" i="7"/>
  <c r="AX84" i="7"/>
  <c r="AW84" i="7"/>
  <c r="AV84" i="7"/>
  <c r="BC83" i="7"/>
  <c r="BB83" i="7"/>
  <c r="BA83" i="7"/>
  <c r="AZ83" i="7"/>
  <c r="AY83" i="7"/>
  <c r="AX83" i="7"/>
  <c r="AW83" i="7"/>
  <c r="AV83" i="7"/>
  <c r="BR79" i="7"/>
  <c r="BQ79" i="7"/>
  <c r="BP79" i="7"/>
  <c r="BO79" i="7"/>
  <c r="BN79" i="7"/>
  <c r="BM79" i="7"/>
  <c r="BL79" i="7"/>
  <c r="BK79" i="7"/>
  <c r="BJ79" i="7"/>
  <c r="BI79" i="7"/>
  <c r="BH79" i="7"/>
  <c r="BG79" i="7"/>
  <c r="BF79" i="7"/>
  <c r="BE79" i="7"/>
  <c r="BD79" i="7"/>
  <c r="AU79" i="7"/>
  <c r="AT79" i="7"/>
  <c r="AS79" i="7"/>
  <c r="AR79" i="7"/>
  <c r="AQ79" i="7"/>
  <c r="AP79" i="7"/>
  <c r="AO79" i="7"/>
  <c r="AN79" i="7"/>
  <c r="AM79" i="7"/>
  <c r="AL79" i="7"/>
  <c r="AK79" i="7"/>
  <c r="AJ79" i="7"/>
  <c r="AI79" i="7"/>
  <c r="AH79" i="7"/>
  <c r="AG79" i="7"/>
  <c r="AF79" i="7"/>
  <c r="AE79" i="7"/>
  <c r="AD79" i="7"/>
  <c r="AC79" i="7"/>
  <c r="AB79" i="7"/>
  <c r="AA79" i="7"/>
  <c r="Z79" i="7"/>
  <c r="Y79" i="7"/>
  <c r="X79" i="7"/>
  <c r="W79" i="7"/>
  <c r="L27" i="6" s="1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B79" i="7"/>
  <c r="BC78" i="7"/>
  <c r="BB78" i="7"/>
  <c r="BA78" i="7"/>
  <c r="AZ78" i="7"/>
  <c r="AY78" i="7"/>
  <c r="AX78" i="7"/>
  <c r="AW78" i="7"/>
  <c r="AV78" i="7"/>
  <c r="BC77" i="7"/>
  <c r="BB77" i="7"/>
  <c r="BA77" i="7"/>
  <c r="AZ77" i="7"/>
  <c r="AY77" i="7"/>
  <c r="AX77" i="7"/>
  <c r="AW77" i="7"/>
  <c r="AV77" i="7"/>
  <c r="BC76" i="7"/>
  <c r="BB76" i="7"/>
  <c r="BA76" i="7"/>
  <c r="AZ76" i="7"/>
  <c r="AY76" i="7"/>
  <c r="AX76" i="7"/>
  <c r="AW76" i="7"/>
  <c r="AV76" i="7"/>
  <c r="BC75" i="7"/>
  <c r="BB75" i="7"/>
  <c r="BA75" i="7"/>
  <c r="AZ75" i="7"/>
  <c r="AY75" i="7"/>
  <c r="AX75" i="7"/>
  <c r="AW75" i="7"/>
  <c r="AV75" i="7"/>
  <c r="BC74" i="7"/>
  <c r="BB74" i="7"/>
  <c r="BA74" i="7"/>
  <c r="AZ74" i="7"/>
  <c r="AY74" i="7"/>
  <c r="AX74" i="7"/>
  <c r="AW74" i="7"/>
  <c r="AV74" i="7"/>
  <c r="BC73" i="7"/>
  <c r="BB73" i="7"/>
  <c r="BA73" i="7"/>
  <c r="AZ73" i="7"/>
  <c r="AY73" i="7"/>
  <c r="AX73" i="7"/>
  <c r="AW73" i="7"/>
  <c r="AV73" i="7"/>
  <c r="BC72" i="7"/>
  <c r="BB72" i="7"/>
  <c r="BA72" i="7"/>
  <c r="AZ72" i="7"/>
  <c r="AY72" i="7"/>
  <c r="AX72" i="7"/>
  <c r="AW72" i="7"/>
  <c r="AV72" i="7"/>
  <c r="BC71" i="7"/>
  <c r="BB71" i="7"/>
  <c r="BA71" i="7"/>
  <c r="AZ71" i="7"/>
  <c r="AY71" i="7"/>
  <c r="AX71" i="7"/>
  <c r="AW71" i="7"/>
  <c r="AV71" i="7"/>
  <c r="BC70" i="7"/>
  <c r="BB70" i="7"/>
  <c r="BA70" i="7"/>
  <c r="AZ70" i="7"/>
  <c r="AY70" i="7"/>
  <c r="AX70" i="7"/>
  <c r="AW70" i="7"/>
  <c r="AV70" i="7"/>
  <c r="BC69" i="7"/>
  <c r="BB69" i="7"/>
  <c r="BA69" i="7"/>
  <c r="AZ69" i="7"/>
  <c r="AY69" i="7"/>
  <c r="AX69" i="7"/>
  <c r="AW69" i="7"/>
  <c r="AV69" i="7"/>
  <c r="BC68" i="7"/>
  <c r="BB68" i="7"/>
  <c r="BA68" i="7"/>
  <c r="AZ68" i="7"/>
  <c r="AY68" i="7"/>
  <c r="AX68" i="7"/>
  <c r="AW68" i="7"/>
  <c r="AV68" i="7"/>
  <c r="BC67" i="7"/>
  <c r="BB67" i="7"/>
  <c r="BA67" i="7"/>
  <c r="AZ67" i="7"/>
  <c r="AY67" i="7"/>
  <c r="AX67" i="7"/>
  <c r="AW67" i="7"/>
  <c r="AV67" i="7"/>
  <c r="BC66" i="7"/>
  <c r="BB66" i="7"/>
  <c r="BA66" i="7"/>
  <c r="AZ66" i="7"/>
  <c r="AY66" i="7"/>
  <c r="AX66" i="7"/>
  <c r="AW66" i="7"/>
  <c r="AV66" i="7"/>
  <c r="BC65" i="7"/>
  <c r="BB65" i="7"/>
  <c r="BA65" i="7"/>
  <c r="AZ65" i="7"/>
  <c r="AY65" i="7"/>
  <c r="AX65" i="7"/>
  <c r="AW65" i="7"/>
  <c r="AV65" i="7"/>
  <c r="BC64" i="7"/>
  <c r="BB64" i="7"/>
  <c r="BA64" i="7"/>
  <c r="AZ64" i="7"/>
  <c r="AY64" i="7"/>
  <c r="AX64" i="7"/>
  <c r="AW64" i="7"/>
  <c r="AV64" i="7"/>
  <c r="BC63" i="7"/>
  <c r="BB63" i="7"/>
  <c r="BA63" i="7"/>
  <c r="AZ63" i="7"/>
  <c r="AY63" i="7"/>
  <c r="AX63" i="7"/>
  <c r="AW63" i="7"/>
  <c r="AV63" i="7"/>
  <c r="BC62" i="7"/>
  <c r="BB62" i="7"/>
  <c r="BA62" i="7"/>
  <c r="AZ62" i="7"/>
  <c r="AY62" i="7"/>
  <c r="AX62" i="7"/>
  <c r="AW62" i="7"/>
  <c r="AV62" i="7"/>
  <c r="BC61" i="7"/>
  <c r="BB61" i="7"/>
  <c r="BA61" i="7"/>
  <c r="AZ61" i="7"/>
  <c r="AY61" i="7"/>
  <c r="AX61" i="7"/>
  <c r="AW61" i="7"/>
  <c r="AV61" i="7"/>
  <c r="BC60" i="7"/>
  <c r="BB60" i="7"/>
  <c r="BA60" i="7"/>
  <c r="AZ60" i="7"/>
  <c r="AY60" i="7"/>
  <c r="AX60" i="7"/>
  <c r="AW60" i="7"/>
  <c r="AV60" i="7"/>
  <c r="BC59" i="7"/>
  <c r="BB59" i="7"/>
  <c r="BA59" i="7"/>
  <c r="AZ59" i="7"/>
  <c r="AY59" i="7"/>
  <c r="AX59" i="7"/>
  <c r="AW59" i="7"/>
  <c r="AV59" i="7"/>
  <c r="BC58" i="7"/>
  <c r="BB58" i="7"/>
  <c r="BA58" i="7"/>
  <c r="AZ58" i="7"/>
  <c r="AY58" i="7"/>
  <c r="AX58" i="7"/>
  <c r="AW58" i="7"/>
  <c r="AV58" i="7"/>
  <c r="BC57" i="7"/>
  <c r="BB57" i="7"/>
  <c r="BA57" i="7"/>
  <c r="AZ57" i="7"/>
  <c r="AY57" i="7"/>
  <c r="AX57" i="7"/>
  <c r="AW57" i="7"/>
  <c r="AV57" i="7"/>
  <c r="BC56" i="7"/>
  <c r="BB56" i="7"/>
  <c r="BA56" i="7"/>
  <c r="AZ56" i="7"/>
  <c r="AY56" i="7"/>
  <c r="AX56" i="7"/>
  <c r="AW56" i="7"/>
  <c r="AV56" i="7"/>
  <c r="BC55" i="7"/>
  <c r="BB55" i="7"/>
  <c r="BA55" i="7"/>
  <c r="AZ55" i="7"/>
  <c r="AY55" i="7"/>
  <c r="AX55" i="7"/>
  <c r="AW55" i="7"/>
  <c r="AV55" i="7"/>
  <c r="BC54" i="7"/>
  <c r="BB54" i="7"/>
  <c r="BA54" i="7"/>
  <c r="AZ54" i="7"/>
  <c r="AY54" i="7"/>
  <c r="AX54" i="7"/>
  <c r="AW54" i="7"/>
  <c r="AV54" i="7"/>
  <c r="BC53" i="7"/>
  <c r="BB53" i="7"/>
  <c r="BA53" i="7"/>
  <c r="AZ53" i="7"/>
  <c r="AY53" i="7"/>
  <c r="AX53" i="7"/>
  <c r="AW53" i="7"/>
  <c r="AV53" i="7"/>
  <c r="BC52" i="7"/>
  <c r="BB52" i="7"/>
  <c r="BA52" i="7"/>
  <c r="AZ52" i="7"/>
  <c r="AY52" i="7"/>
  <c r="AX52" i="7"/>
  <c r="AW52" i="7"/>
  <c r="AV52" i="7"/>
  <c r="BC51" i="7"/>
  <c r="BB51" i="7"/>
  <c r="BA51" i="7"/>
  <c r="AZ51" i="7"/>
  <c r="AY51" i="7"/>
  <c r="AX51" i="7"/>
  <c r="AW51" i="7"/>
  <c r="AV51" i="7"/>
  <c r="BC50" i="7"/>
  <c r="BB50" i="7"/>
  <c r="BA50" i="7"/>
  <c r="AZ50" i="7"/>
  <c r="AY50" i="7"/>
  <c r="AX50" i="7"/>
  <c r="AW50" i="7"/>
  <c r="AV50" i="7"/>
  <c r="BC49" i="7"/>
  <c r="BB49" i="7"/>
  <c r="BA49" i="7"/>
  <c r="AZ49" i="7"/>
  <c r="AY49" i="7"/>
  <c r="AX49" i="7"/>
  <c r="AW49" i="7"/>
  <c r="AV49" i="7"/>
  <c r="BC48" i="7"/>
  <c r="BB48" i="7"/>
  <c r="BA48" i="7"/>
  <c r="AZ48" i="7"/>
  <c r="AY48" i="7"/>
  <c r="AX48" i="7"/>
  <c r="AW48" i="7"/>
  <c r="AV48" i="7"/>
  <c r="BC47" i="7"/>
  <c r="BB47" i="7"/>
  <c r="BA47" i="7"/>
  <c r="AZ47" i="7"/>
  <c r="AY47" i="7"/>
  <c r="AX47" i="7"/>
  <c r="AW47" i="7"/>
  <c r="AV47" i="7"/>
  <c r="BC46" i="7"/>
  <c r="BB46" i="7"/>
  <c r="BA46" i="7"/>
  <c r="AZ46" i="7"/>
  <c r="AY46" i="7"/>
  <c r="AX46" i="7"/>
  <c r="AW46" i="7"/>
  <c r="AV46" i="7"/>
  <c r="BC45" i="7"/>
  <c r="BB45" i="7"/>
  <c r="BA45" i="7"/>
  <c r="AZ45" i="7"/>
  <c r="AY45" i="7"/>
  <c r="AX45" i="7"/>
  <c r="AW45" i="7"/>
  <c r="AV45" i="7"/>
  <c r="BC44" i="7"/>
  <c r="BB44" i="7"/>
  <c r="BA44" i="7"/>
  <c r="AZ44" i="7"/>
  <c r="AY44" i="7"/>
  <c r="AX44" i="7"/>
  <c r="AW44" i="7"/>
  <c r="AV44" i="7"/>
  <c r="BC43" i="7"/>
  <c r="BB43" i="7"/>
  <c r="BA43" i="7"/>
  <c r="AZ43" i="7"/>
  <c r="AY43" i="7"/>
  <c r="AX43" i="7"/>
  <c r="AW43" i="7"/>
  <c r="AV43" i="7"/>
  <c r="BC42" i="7"/>
  <c r="BB42" i="7"/>
  <c r="BA42" i="7"/>
  <c r="AZ42" i="7"/>
  <c r="AY42" i="7"/>
  <c r="AX42" i="7"/>
  <c r="AW42" i="7"/>
  <c r="AV42" i="7"/>
  <c r="BC41" i="7"/>
  <c r="BB41" i="7"/>
  <c r="BA41" i="7"/>
  <c r="AZ41" i="7"/>
  <c r="AY41" i="7"/>
  <c r="AX41" i="7"/>
  <c r="AW41" i="7"/>
  <c r="AV41" i="7"/>
  <c r="BC40" i="7"/>
  <c r="BB40" i="7"/>
  <c r="BA40" i="7"/>
  <c r="AZ40" i="7"/>
  <c r="AY40" i="7"/>
  <c r="AX40" i="7"/>
  <c r="AW40" i="7"/>
  <c r="AV40" i="7"/>
  <c r="BC39" i="7"/>
  <c r="BB39" i="7"/>
  <c r="BA39" i="7"/>
  <c r="AZ39" i="7"/>
  <c r="AY39" i="7"/>
  <c r="AX39" i="7"/>
  <c r="AW39" i="7"/>
  <c r="AV39" i="7"/>
  <c r="BC38" i="7"/>
  <c r="BB38" i="7"/>
  <c r="BA38" i="7"/>
  <c r="AZ38" i="7"/>
  <c r="AY38" i="7"/>
  <c r="AX38" i="7"/>
  <c r="AW38" i="7"/>
  <c r="AV38" i="7"/>
  <c r="BC37" i="7"/>
  <c r="BB37" i="7"/>
  <c r="BA37" i="7"/>
  <c r="AZ37" i="7"/>
  <c r="AY37" i="7"/>
  <c r="AX37" i="7"/>
  <c r="AW37" i="7"/>
  <c r="AV37" i="7"/>
  <c r="BR33" i="7"/>
  <c r="BQ33" i="7"/>
  <c r="BP33" i="7"/>
  <c r="BO33" i="7"/>
  <c r="BN33" i="7"/>
  <c r="BM33" i="7"/>
  <c r="BL33" i="7"/>
  <c r="BK33" i="7"/>
  <c r="BJ33" i="7"/>
  <c r="BI33" i="7"/>
  <c r="BH33" i="7"/>
  <c r="BG33" i="7"/>
  <c r="BF33" i="7"/>
  <c r="BE33" i="7"/>
  <c r="BD33" i="7"/>
  <c r="AU33" i="7"/>
  <c r="AT33" i="7"/>
  <c r="AS33" i="7"/>
  <c r="AR33" i="7"/>
  <c r="AQ33" i="7"/>
  <c r="AP33" i="7"/>
  <c r="AO33" i="7"/>
  <c r="AN33" i="7"/>
  <c r="AM33" i="7"/>
  <c r="AL33" i="7"/>
  <c r="AK33" i="7"/>
  <c r="AJ33" i="7"/>
  <c r="AI33" i="7"/>
  <c r="AH33" i="7"/>
  <c r="AG33" i="7"/>
  <c r="AF33" i="7"/>
  <c r="AE33" i="7"/>
  <c r="AD33" i="7"/>
  <c r="AC33" i="7"/>
  <c r="AB33" i="7"/>
  <c r="AA33" i="7"/>
  <c r="Z33" i="7"/>
  <c r="Y33" i="7"/>
  <c r="X33" i="7"/>
  <c r="W33" i="7"/>
  <c r="L22" i="6" s="1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BC32" i="7"/>
  <c r="BB32" i="7"/>
  <c r="BA32" i="7"/>
  <c r="AZ32" i="7"/>
  <c r="AY32" i="7"/>
  <c r="AX32" i="7"/>
  <c r="AW32" i="7"/>
  <c r="AV32" i="7"/>
  <c r="BC31" i="7"/>
  <c r="BB31" i="7"/>
  <c r="BA31" i="7"/>
  <c r="AZ31" i="7"/>
  <c r="AY31" i="7"/>
  <c r="AX31" i="7"/>
  <c r="AW31" i="7"/>
  <c r="AV31" i="7"/>
  <c r="BC30" i="7"/>
  <c r="BB30" i="7"/>
  <c r="BA30" i="7"/>
  <c r="AZ30" i="7"/>
  <c r="AY30" i="7"/>
  <c r="AX30" i="7"/>
  <c r="AW30" i="7"/>
  <c r="AV30" i="7"/>
  <c r="BC29" i="7"/>
  <c r="BB29" i="7"/>
  <c r="BA29" i="7"/>
  <c r="AZ29" i="7"/>
  <c r="AY29" i="7"/>
  <c r="AX29" i="7"/>
  <c r="AW29" i="7"/>
  <c r="AV29" i="7"/>
  <c r="BC28" i="7"/>
  <c r="BB28" i="7"/>
  <c r="BA28" i="7"/>
  <c r="AZ28" i="7"/>
  <c r="AY28" i="7"/>
  <c r="AX28" i="7"/>
  <c r="AW28" i="7"/>
  <c r="AV28" i="7"/>
  <c r="BC27" i="7"/>
  <c r="BB27" i="7"/>
  <c r="BA27" i="7"/>
  <c r="AZ27" i="7"/>
  <c r="AY27" i="7"/>
  <c r="AX27" i="7"/>
  <c r="AW27" i="7"/>
  <c r="AV27" i="7"/>
  <c r="BC26" i="7"/>
  <c r="BB26" i="7"/>
  <c r="BA26" i="7"/>
  <c r="AZ26" i="7"/>
  <c r="AY26" i="7"/>
  <c r="AX26" i="7"/>
  <c r="AW26" i="7"/>
  <c r="AV26" i="7"/>
  <c r="BC25" i="7"/>
  <c r="BB25" i="7"/>
  <c r="BA25" i="7"/>
  <c r="AZ25" i="7"/>
  <c r="AY25" i="7"/>
  <c r="AX25" i="7"/>
  <c r="AW25" i="7"/>
  <c r="AV25" i="7"/>
  <c r="BC24" i="7"/>
  <c r="BB24" i="7"/>
  <c r="BA24" i="7"/>
  <c r="AZ24" i="7"/>
  <c r="AY24" i="7"/>
  <c r="AX24" i="7"/>
  <c r="AW24" i="7"/>
  <c r="AV24" i="7"/>
  <c r="BC23" i="7"/>
  <c r="BB23" i="7"/>
  <c r="BA23" i="7"/>
  <c r="AZ23" i="7"/>
  <c r="AY23" i="7"/>
  <c r="AX23" i="7"/>
  <c r="AW23" i="7"/>
  <c r="AV23" i="7"/>
  <c r="BC22" i="7"/>
  <c r="BB22" i="7"/>
  <c r="BA22" i="7"/>
  <c r="AZ22" i="7"/>
  <c r="AY22" i="7"/>
  <c r="AX22" i="7"/>
  <c r="AW22" i="7"/>
  <c r="AV22" i="7"/>
  <c r="BC21" i="7"/>
  <c r="BB21" i="7"/>
  <c r="BA21" i="7"/>
  <c r="AZ21" i="7"/>
  <c r="AY21" i="7"/>
  <c r="AX21" i="7"/>
  <c r="AW21" i="7"/>
  <c r="AV21" i="7"/>
  <c r="BC20" i="7"/>
  <c r="BB20" i="7"/>
  <c r="BA20" i="7"/>
  <c r="AZ20" i="7"/>
  <c r="AY20" i="7"/>
  <c r="AX20" i="7"/>
  <c r="AW20" i="7"/>
  <c r="AV20" i="7"/>
  <c r="BC19" i="7"/>
  <c r="BB19" i="7"/>
  <c r="BA19" i="7"/>
  <c r="AZ19" i="7"/>
  <c r="AY19" i="7"/>
  <c r="AX19" i="7"/>
  <c r="AW19" i="7"/>
  <c r="AV19" i="7"/>
  <c r="BC18" i="7"/>
  <c r="BB18" i="7"/>
  <c r="BA18" i="7"/>
  <c r="AZ18" i="7"/>
  <c r="AY18" i="7"/>
  <c r="AX18" i="7"/>
  <c r="AW18" i="7"/>
  <c r="AV18" i="7"/>
  <c r="BC17" i="7"/>
  <c r="BB17" i="7"/>
  <c r="BA17" i="7"/>
  <c r="AZ17" i="7"/>
  <c r="AY17" i="7"/>
  <c r="AX17" i="7"/>
  <c r="AW17" i="7"/>
  <c r="AV17" i="7"/>
  <c r="BC16" i="7"/>
  <c r="BB16" i="7"/>
  <c r="BA16" i="7"/>
  <c r="AZ16" i="7"/>
  <c r="AY16" i="7"/>
  <c r="AX16" i="7"/>
  <c r="AW16" i="7"/>
  <c r="AV16" i="7"/>
  <c r="BC15" i="7"/>
  <c r="BB15" i="7"/>
  <c r="BA15" i="7"/>
  <c r="AZ15" i="7"/>
  <c r="AY15" i="7"/>
  <c r="AX15" i="7"/>
  <c r="AW15" i="7"/>
  <c r="AV15" i="7"/>
  <c r="BC14" i="7"/>
  <c r="BB14" i="7"/>
  <c r="BA14" i="7"/>
  <c r="AZ14" i="7"/>
  <c r="AY14" i="7"/>
  <c r="AX14" i="7"/>
  <c r="AW14" i="7"/>
  <c r="AV14" i="7"/>
  <c r="BC13" i="7"/>
  <c r="BB13" i="7"/>
  <c r="BA13" i="7"/>
  <c r="AZ13" i="7"/>
  <c r="AY13" i="7"/>
  <c r="AX13" i="7"/>
  <c r="AW13" i="7"/>
  <c r="AV13" i="7"/>
  <c r="BC12" i="7"/>
  <c r="BB12" i="7"/>
  <c r="BA12" i="7"/>
  <c r="AZ12" i="7"/>
  <c r="AY12" i="7"/>
  <c r="AX12" i="7"/>
  <c r="AW12" i="7"/>
  <c r="AV12" i="7"/>
  <c r="BC11" i="7"/>
  <c r="BB11" i="7"/>
  <c r="BA11" i="7"/>
  <c r="AZ11" i="7"/>
  <c r="AY11" i="7"/>
  <c r="AX11" i="7"/>
  <c r="AW11" i="7"/>
  <c r="AV11" i="7"/>
  <c r="BC10" i="7"/>
  <c r="BB10" i="7"/>
  <c r="BA10" i="7"/>
  <c r="AZ10" i="7"/>
  <c r="AY10" i="7"/>
  <c r="AX10" i="7"/>
  <c r="AW10" i="7"/>
  <c r="AV10" i="7"/>
  <c r="BC9" i="7"/>
  <c r="BB9" i="7"/>
  <c r="BA9" i="7"/>
  <c r="AZ9" i="7"/>
  <c r="AY9" i="7"/>
  <c r="AX9" i="7"/>
  <c r="AW9" i="7"/>
  <c r="AV9" i="7"/>
  <c r="BC8" i="7"/>
  <c r="BB8" i="7"/>
  <c r="BA8" i="7"/>
  <c r="AZ8" i="7"/>
  <c r="AY8" i="7"/>
  <c r="AX8" i="7"/>
  <c r="AW8" i="7"/>
  <c r="AV8" i="7"/>
  <c r="BC7" i="7"/>
  <c r="BB7" i="7"/>
  <c r="BA7" i="7"/>
  <c r="AZ7" i="7"/>
  <c r="AY7" i="7"/>
  <c r="AX7" i="7"/>
  <c r="AW7" i="7"/>
  <c r="AV7" i="7"/>
  <c r="BC6" i="7"/>
  <c r="BB6" i="7"/>
  <c r="BA6" i="7"/>
  <c r="AZ6" i="7"/>
  <c r="AY6" i="7"/>
  <c r="AX6" i="7"/>
  <c r="AW6" i="7"/>
  <c r="AV6" i="7"/>
  <c r="BC5" i="7"/>
  <c r="BB5" i="7"/>
  <c r="BA5" i="7"/>
  <c r="AZ5" i="7"/>
  <c r="AY5" i="7"/>
  <c r="AX5" i="7"/>
  <c r="AW5" i="7"/>
  <c r="AV5" i="7"/>
  <c r="BC4" i="7"/>
  <c r="BB4" i="7"/>
  <c r="BA4" i="7"/>
  <c r="AZ4" i="7"/>
  <c r="AY4" i="7"/>
  <c r="AX4" i="7"/>
  <c r="AW4" i="7"/>
  <c r="AV4" i="7"/>
  <c r="BC3" i="7"/>
  <c r="BB3" i="7"/>
  <c r="BA3" i="7"/>
  <c r="AZ3" i="7"/>
  <c r="AY3" i="7"/>
  <c r="AX3" i="7"/>
  <c r="AW3" i="7"/>
  <c r="AV3" i="7"/>
  <c r="I37" i="6"/>
  <c r="H37" i="6"/>
  <c r="G37" i="6"/>
  <c r="F37" i="6"/>
  <c r="E37" i="6"/>
  <c r="D37" i="6"/>
  <c r="C37" i="6"/>
  <c r="B37" i="6"/>
  <c r="I32" i="6"/>
  <c r="H32" i="6"/>
  <c r="G32" i="6"/>
  <c r="F32" i="6"/>
  <c r="E32" i="6"/>
  <c r="D32" i="6"/>
  <c r="C32" i="6"/>
  <c r="B32" i="6"/>
  <c r="I27" i="6"/>
  <c r="H27" i="6"/>
  <c r="G27" i="6"/>
  <c r="F27" i="6"/>
  <c r="E27" i="6"/>
  <c r="D27" i="6"/>
  <c r="C27" i="6"/>
  <c r="B27" i="6"/>
  <c r="H22" i="6"/>
  <c r="G22" i="6"/>
  <c r="F22" i="6"/>
  <c r="E22" i="6"/>
  <c r="D22" i="6"/>
  <c r="C22" i="6"/>
  <c r="B22" i="6"/>
  <c r="B17" i="6"/>
  <c r="C17" i="6" s="1"/>
  <c r="D17" i="6" s="1"/>
  <c r="E17" i="6" s="1"/>
  <c r="F17" i="6" s="1"/>
  <c r="G17" i="6" s="1"/>
  <c r="H17" i="6" s="1"/>
  <c r="I17" i="6" s="1"/>
  <c r="B8" i="6"/>
  <c r="C8" i="6" s="1"/>
  <c r="D8" i="6" s="1"/>
  <c r="E8" i="6" s="1"/>
  <c r="F8" i="6" s="1"/>
  <c r="G8" i="6" s="1"/>
  <c r="H8" i="6" s="1"/>
  <c r="I8" i="6" s="1"/>
  <c r="B4" i="6"/>
  <c r="C4" i="6" s="1"/>
  <c r="D4" i="6" s="1"/>
  <c r="E4" i="6" s="1"/>
  <c r="F4" i="6" s="1"/>
  <c r="G4" i="6" s="1"/>
  <c r="H4" i="6" s="1"/>
  <c r="I4" i="6" s="1"/>
  <c r="J4" i="6" s="1"/>
  <c r="K4" i="6" s="1"/>
  <c r="L4" i="6" s="1"/>
  <c r="M4" i="6" s="1"/>
  <c r="N4" i="6" s="1"/>
  <c r="O4" i="6" s="1"/>
  <c r="P4" i="6" s="1"/>
  <c r="Q4" i="6" s="1"/>
  <c r="R4" i="6" s="1"/>
  <c r="S4" i="6" s="1"/>
  <c r="T4" i="6" s="1"/>
  <c r="U4" i="6" s="1"/>
  <c r="V4" i="6" s="1"/>
  <c r="W4" i="6" s="1"/>
  <c r="X4" i="6" s="1"/>
  <c r="L32" i="6" l="1"/>
  <c r="J17" i="6"/>
  <c r="AX116" i="7"/>
  <c r="BA33" i="7"/>
  <c r="AY90" i="7"/>
  <c r="BB116" i="7"/>
  <c r="BB33" i="7"/>
  <c r="BC116" i="7"/>
  <c r="AX90" i="7"/>
  <c r="AX79" i="7"/>
  <c r="AZ33" i="7"/>
  <c r="BA116" i="7"/>
  <c r="AW79" i="7"/>
  <c r="BC33" i="7"/>
  <c r="BA90" i="7"/>
  <c r="BC79" i="7"/>
  <c r="BC90" i="7"/>
  <c r="AW116" i="7"/>
  <c r="AY79" i="7"/>
  <c r="AV79" i="7"/>
  <c r="AZ90" i="7"/>
  <c r="AZ116" i="7"/>
  <c r="AY116" i="7"/>
  <c r="BB90" i="7"/>
  <c r="AV33" i="7"/>
  <c r="AW33" i="7"/>
  <c r="AZ79" i="7"/>
  <c r="AX33" i="7"/>
  <c r="BA79" i="7"/>
  <c r="AV90" i="7"/>
  <c r="AV116" i="7"/>
  <c r="AY33" i="7"/>
  <c r="BB79" i="7"/>
  <c r="AW90" i="7"/>
  <c r="B6" i="11"/>
  <c r="A7" i="11"/>
  <c r="B5" i="11"/>
  <c r="J8" i="6"/>
  <c r="K8" i="6" l="1"/>
  <c r="L8" i="6" s="1"/>
  <c r="A8" i="11"/>
  <c r="B7" i="11"/>
  <c r="B8" i="11" l="1"/>
  <c r="A9" i="11"/>
  <c r="A10" i="11" l="1"/>
  <c r="B9" i="11"/>
  <c r="A11" i="11" l="1"/>
  <c r="B10" i="11"/>
  <c r="B11" i="11" l="1"/>
  <c r="A12" i="11"/>
  <c r="B12" i="11" l="1"/>
  <c r="A13" i="11"/>
  <c r="A14" i="11" l="1"/>
  <c r="B13" i="11"/>
  <c r="B14" i="11" l="1"/>
  <c r="A15" i="11"/>
  <c r="B15" i="11" l="1"/>
  <c r="A16" i="11"/>
  <c r="A17" i="11" l="1"/>
  <c r="B16" i="11"/>
  <c r="A18" i="11" l="1"/>
  <c r="B17" i="11"/>
  <c r="A19" i="11" l="1"/>
  <c r="B18" i="11"/>
  <c r="A20" i="11" l="1"/>
  <c r="B19" i="11"/>
  <c r="A21" i="11" l="1"/>
  <c r="B20" i="11"/>
  <c r="A22" i="11" l="1"/>
  <c r="B21" i="11"/>
  <c r="A23" i="11" l="1"/>
  <c r="B22" i="11"/>
  <c r="A24" i="11" l="1"/>
  <c r="B23" i="11"/>
  <c r="B24" i="11" l="1"/>
  <c r="A25" i="11"/>
  <c r="A26" i="11" l="1"/>
  <c r="B25" i="11"/>
  <c r="A27" i="11" l="1"/>
  <c r="B26" i="11"/>
  <c r="A28" i="11" l="1"/>
  <c r="B27" i="11"/>
  <c r="A29" i="11" l="1"/>
  <c r="B28" i="11"/>
  <c r="A30" i="11" l="1"/>
  <c r="B29" i="11"/>
  <c r="A31" i="11" l="1"/>
  <c r="B30" i="11"/>
  <c r="A32" i="11" l="1"/>
  <c r="B31" i="11"/>
  <c r="A33" i="11" l="1"/>
  <c r="B32" i="11"/>
  <c r="A34" i="11" l="1"/>
  <c r="B33" i="11"/>
  <c r="B34" i="11" l="1"/>
  <c r="A35" i="11"/>
  <c r="A36" i="11" l="1"/>
  <c r="B35" i="11"/>
  <c r="A37" i="11" l="1"/>
  <c r="B36" i="11"/>
  <c r="A38" i="11" l="1"/>
  <c r="B37" i="11"/>
  <c r="A39" i="11" l="1"/>
  <c r="B38" i="11"/>
  <c r="A40" i="11" l="1"/>
  <c r="B39" i="11"/>
  <c r="A41" i="11" l="1"/>
  <c r="B40" i="11"/>
  <c r="A42" i="11" l="1"/>
  <c r="B41" i="11"/>
  <c r="A43" i="11" l="1"/>
  <c r="B42" i="11"/>
  <c r="A44" i="11" l="1"/>
  <c r="B43" i="11"/>
  <c r="B44" i="11" l="1"/>
  <c r="A45" i="11"/>
  <c r="A46" i="11" l="1"/>
  <c r="B45" i="11"/>
  <c r="A47" i="11" l="1"/>
  <c r="B46" i="11"/>
  <c r="A48" i="11" l="1"/>
  <c r="B47" i="11"/>
  <c r="A49" i="11" l="1"/>
  <c r="B48" i="11"/>
  <c r="A50" i="11" l="1"/>
  <c r="B49" i="11"/>
  <c r="A51" i="11" l="1"/>
  <c r="B50" i="11"/>
  <c r="A52" i="11" l="1"/>
  <c r="B51" i="11"/>
  <c r="A53" i="11" l="1"/>
  <c r="B52" i="11"/>
  <c r="A54" i="11" l="1"/>
  <c r="B53" i="11"/>
  <c r="B54" i="11" l="1"/>
  <c r="A55" i="11"/>
  <c r="B55" i="11" l="1"/>
  <c r="A56" i="11"/>
  <c r="A57" i="11" l="1"/>
  <c r="B56" i="11"/>
  <c r="A58" i="11" l="1"/>
  <c r="B57" i="11"/>
  <c r="A59" i="11" l="1"/>
  <c r="B58" i="11"/>
  <c r="A60" i="11" l="1"/>
  <c r="B59" i="11"/>
  <c r="A61" i="11" l="1"/>
  <c r="B60" i="11"/>
  <c r="A62" i="11" l="1"/>
  <c r="B61" i="11"/>
  <c r="A63" i="11" l="1"/>
  <c r="B62" i="11"/>
  <c r="A64" i="11" l="1"/>
  <c r="B63" i="11"/>
  <c r="B64" i="11" l="1"/>
  <c r="A65" i="11"/>
  <c r="B65" i="11" l="1"/>
  <c r="A66" i="11"/>
  <c r="A67" i="11" l="1"/>
  <c r="B66" i="11"/>
  <c r="A68" i="11" l="1"/>
  <c r="B67" i="11"/>
  <c r="A69" i="11" l="1"/>
  <c r="B68" i="11"/>
  <c r="A70" i="11" l="1"/>
  <c r="B69" i="11"/>
  <c r="A71" i="11" l="1"/>
  <c r="B70" i="11"/>
  <c r="A72" i="11" l="1"/>
  <c r="B71" i="11"/>
  <c r="A73" i="11" l="1"/>
  <c r="B72" i="11"/>
  <c r="A74" i="11" l="1"/>
  <c r="B73" i="11"/>
  <c r="B74" i="11" l="1"/>
  <c r="A75" i="11"/>
  <c r="A76" i="11" l="1"/>
  <c r="B75" i="11"/>
  <c r="A77" i="11" l="1"/>
  <c r="B76" i="11"/>
  <c r="A78" i="11" l="1"/>
  <c r="B77" i="11"/>
  <c r="A79" i="11" l="1"/>
  <c r="B78" i="11"/>
  <c r="A80" i="11" l="1"/>
  <c r="B79" i="11"/>
  <c r="A81" i="11" l="1"/>
  <c r="B80" i="11"/>
  <c r="A82" i="11" l="1"/>
  <c r="B81" i="11"/>
  <c r="A83" i="11" l="1"/>
  <c r="B82" i="11"/>
  <c r="A84" i="11" l="1"/>
  <c r="B83" i="11"/>
  <c r="B84" i="11" l="1"/>
  <c r="A85" i="11"/>
  <c r="A86" i="11" l="1"/>
  <c r="B85" i="11"/>
  <c r="A87" i="11" l="1"/>
  <c r="B86" i="11"/>
  <c r="A88" i="11" l="1"/>
  <c r="B87" i="11"/>
  <c r="A89" i="11" l="1"/>
  <c r="B88" i="11"/>
  <c r="A90" i="11" l="1"/>
  <c r="B89" i="11"/>
  <c r="A91" i="11" l="1"/>
  <c r="B90" i="11"/>
  <c r="A92" i="11" l="1"/>
  <c r="B91" i="11"/>
  <c r="A93" i="11" l="1"/>
  <c r="B92" i="11"/>
  <c r="A94" i="11" l="1"/>
  <c r="B93" i="11"/>
  <c r="B94" i="11" l="1"/>
  <c r="A95" i="11"/>
  <c r="A96" i="11" l="1"/>
  <c r="B95" i="11"/>
  <c r="A97" i="11" l="1"/>
  <c r="B96" i="11"/>
  <c r="A98" i="11" l="1"/>
  <c r="B97" i="11"/>
  <c r="A99" i="11" l="1"/>
  <c r="B98" i="11"/>
  <c r="A100" i="11" l="1"/>
  <c r="B99" i="11"/>
  <c r="A101" i="11" l="1"/>
  <c r="B100" i="11"/>
  <c r="A102" i="11" l="1"/>
  <c r="B101" i="11"/>
  <c r="A103" i="11" l="1"/>
  <c r="B102" i="11"/>
  <c r="A104" i="11" l="1"/>
  <c r="B103" i="11"/>
  <c r="B104" i="11" l="1"/>
  <c r="A105" i="11"/>
  <c r="B105" i="11" l="1"/>
  <c r="A106" i="11"/>
  <c r="A107" i="11" l="1"/>
  <c r="B106" i="11"/>
  <c r="A108" i="11" l="1"/>
  <c r="B107" i="11"/>
  <c r="A109" i="11" l="1"/>
  <c r="B108" i="11"/>
  <c r="A110" i="11" l="1"/>
  <c r="B109" i="11"/>
  <c r="A111" i="11" l="1"/>
  <c r="B110" i="11"/>
  <c r="A112" i="11" l="1"/>
  <c r="B111" i="11"/>
  <c r="A113" i="11" l="1"/>
  <c r="B112" i="11"/>
  <c r="A114" i="11" l="1"/>
  <c r="B113" i="11"/>
  <c r="B114" i="11" l="1"/>
  <c r="A115" i="11"/>
  <c r="B115" i="11" l="1"/>
  <c r="A116" i="11"/>
  <c r="A117" i="11" l="1"/>
  <c r="B116" i="11"/>
  <c r="A118" i="11" l="1"/>
  <c r="B117" i="11"/>
  <c r="A119" i="11" l="1"/>
  <c r="B118" i="11"/>
  <c r="A120" i="11" l="1"/>
  <c r="B119" i="11"/>
  <c r="A121" i="11" l="1"/>
  <c r="B120" i="11"/>
  <c r="A122" i="11" l="1"/>
  <c r="B121" i="11"/>
  <c r="A123" i="11" l="1"/>
  <c r="B122" i="11"/>
  <c r="A124" i="11" l="1"/>
  <c r="B123" i="11"/>
  <c r="B124" i="11" l="1"/>
  <c r="A125" i="11"/>
  <c r="A126" i="11" l="1"/>
  <c r="B125" i="11"/>
  <c r="A127" i="11" l="1"/>
  <c r="B126" i="11"/>
  <c r="A128" i="11" l="1"/>
  <c r="B127" i="11"/>
  <c r="A129" i="11" l="1"/>
  <c r="B128" i="11"/>
  <c r="A130" i="11" l="1"/>
  <c r="B129" i="11"/>
  <c r="A131" i="11" l="1"/>
  <c r="B130" i="11"/>
  <c r="A132" i="11" l="1"/>
  <c r="B131" i="11"/>
  <c r="A133" i="11" l="1"/>
  <c r="B132" i="11"/>
  <c r="A134" i="11" l="1"/>
  <c r="B133" i="11"/>
  <c r="B134" i="11" l="1"/>
  <c r="A135" i="11"/>
  <c r="B135" i="11" l="1"/>
  <c r="A136" i="11"/>
  <c r="A137" i="11" l="1"/>
  <c r="B136" i="11"/>
  <c r="A138" i="11" l="1"/>
  <c r="B137" i="11"/>
  <c r="A139" i="11" l="1"/>
  <c r="B138" i="11"/>
  <c r="A140" i="11" l="1"/>
  <c r="B139" i="11"/>
  <c r="A141" i="11" l="1"/>
  <c r="B140" i="11"/>
  <c r="A142" i="11" l="1"/>
  <c r="B141" i="11"/>
  <c r="A143" i="11" l="1"/>
  <c r="B142" i="11"/>
  <c r="A144" i="11" l="1"/>
  <c r="B143" i="11"/>
  <c r="B144" i="11" l="1"/>
  <c r="A145" i="11"/>
  <c r="A146" i="11" l="1"/>
  <c r="B145" i="11"/>
  <c r="A147" i="11" l="1"/>
  <c r="B146" i="11"/>
  <c r="A148" i="11" l="1"/>
  <c r="B147" i="11"/>
  <c r="A149" i="11" l="1"/>
  <c r="B148" i="11"/>
  <c r="A150" i="11" l="1"/>
  <c r="B149" i="11"/>
  <c r="A151" i="11" l="1"/>
  <c r="B150" i="11"/>
  <c r="A152" i="11" l="1"/>
  <c r="B151" i="11"/>
  <c r="A153" i="11" l="1"/>
  <c r="B152" i="11"/>
  <c r="A154" i="11" l="1"/>
  <c r="B153" i="11"/>
  <c r="B154" i="11" l="1"/>
  <c r="A155" i="11"/>
  <c r="B155" i="11" l="1"/>
  <c r="A156" i="11"/>
  <c r="A157" i="11" l="1"/>
  <c r="B156" i="11"/>
  <c r="A158" i="11" l="1"/>
  <c r="B157" i="11"/>
  <c r="A159" i="11" l="1"/>
  <c r="B158" i="11"/>
  <c r="A160" i="11" l="1"/>
  <c r="B159" i="11"/>
  <c r="A161" i="11" l="1"/>
  <c r="B160" i="11"/>
  <c r="A162" i="11" l="1"/>
  <c r="B161" i="11"/>
  <c r="A163" i="11" l="1"/>
  <c r="B162" i="11"/>
  <c r="A164" i="11" l="1"/>
  <c r="B163" i="11"/>
  <c r="B164" i="11" l="1"/>
  <c r="A165" i="11"/>
  <c r="B165" i="11" l="1"/>
  <c r="A166" i="11"/>
  <c r="A167" i="11" l="1"/>
  <c r="B166" i="11"/>
  <c r="A168" i="11" l="1"/>
  <c r="B167" i="11"/>
  <c r="A169" i="11" l="1"/>
  <c r="B168" i="11"/>
  <c r="A170" i="11" l="1"/>
  <c r="B169" i="11"/>
  <c r="A171" i="11" l="1"/>
  <c r="B170" i="11"/>
  <c r="A172" i="11" l="1"/>
  <c r="B171" i="11"/>
  <c r="A173" i="11" l="1"/>
  <c r="B172" i="11"/>
  <c r="A174" i="11" l="1"/>
  <c r="B173" i="11"/>
  <c r="B174" i="11" l="1"/>
  <c r="A175" i="11"/>
  <c r="A176" i="11" l="1"/>
  <c r="B175" i="11"/>
  <c r="A177" i="11" l="1"/>
  <c r="B176" i="11"/>
  <c r="A178" i="11" l="1"/>
  <c r="B177" i="11"/>
  <c r="A179" i="11" l="1"/>
  <c r="B178" i="11"/>
  <c r="A180" i="11" l="1"/>
  <c r="B179" i="11"/>
  <c r="A181" i="11" l="1"/>
  <c r="B180" i="11"/>
  <c r="A182" i="11" l="1"/>
  <c r="B181" i="11"/>
  <c r="A183" i="11" l="1"/>
  <c r="B182" i="11"/>
  <c r="A184" i="11" l="1"/>
  <c r="B183" i="11"/>
  <c r="B184" i="11" l="1"/>
  <c r="A185" i="11"/>
  <c r="B185" i="11" l="1"/>
  <c r="A186" i="11"/>
  <c r="A187" i="11" l="1"/>
  <c r="B186" i="11"/>
  <c r="A188" i="11" l="1"/>
  <c r="B187" i="11"/>
  <c r="A189" i="11" l="1"/>
  <c r="B188" i="11"/>
  <c r="A190" i="11" l="1"/>
  <c r="B189" i="11"/>
  <c r="A191" i="11" l="1"/>
  <c r="B190" i="11"/>
  <c r="A192" i="11" l="1"/>
  <c r="B191" i="11"/>
  <c r="A193" i="11" l="1"/>
  <c r="B192" i="11"/>
  <c r="A194" i="11" l="1"/>
  <c r="B193" i="11"/>
  <c r="B194" i="11" l="1"/>
  <c r="A195" i="11"/>
  <c r="A196" i="11" l="1"/>
  <c r="B195" i="11"/>
  <c r="A197" i="11" l="1"/>
  <c r="B196" i="11"/>
  <c r="A198" i="11" l="1"/>
  <c r="B197" i="11"/>
  <c r="A199" i="11" l="1"/>
  <c r="B198" i="11"/>
  <c r="A200" i="11" l="1"/>
  <c r="B199" i="11"/>
  <c r="A201" i="11" l="1"/>
  <c r="B200" i="11"/>
  <c r="A202" i="11" l="1"/>
  <c r="B201" i="11"/>
  <c r="A203" i="11" l="1"/>
  <c r="B202" i="11"/>
  <c r="A204" i="11" l="1"/>
  <c r="B203" i="11"/>
  <c r="B204" i="11" l="1"/>
  <c r="A205" i="11"/>
  <c r="B205" i="11" l="1"/>
  <c r="A206" i="11"/>
  <c r="A207" i="11" l="1"/>
  <c r="B206" i="11"/>
  <c r="A208" i="11" l="1"/>
  <c r="B207" i="11"/>
  <c r="A209" i="11" l="1"/>
  <c r="B208" i="11"/>
  <c r="A210" i="11" l="1"/>
  <c r="B209" i="11"/>
  <c r="A211" i="11" l="1"/>
  <c r="B210" i="11"/>
  <c r="A212" i="11" l="1"/>
  <c r="B211" i="11"/>
  <c r="A213" i="11" l="1"/>
  <c r="B212" i="11"/>
  <c r="A214" i="11" l="1"/>
  <c r="B213" i="11"/>
  <c r="B214" i="11" l="1"/>
  <c r="A215" i="11"/>
  <c r="B215" i="11" l="1"/>
  <c r="A216" i="11"/>
  <c r="A217" i="11" l="1"/>
  <c r="B216" i="11"/>
  <c r="A218" i="11" l="1"/>
  <c r="B217" i="11"/>
  <c r="A219" i="11" l="1"/>
  <c r="B218" i="11"/>
  <c r="A220" i="11" l="1"/>
  <c r="B219" i="11"/>
  <c r="A221" i="11" l="1"/>
  <c r="B220" i="11"/>
  <c r="A222" i="11" l="1"/>
  <c r="B221" i="11"/>
  <c r="A223" i="11" l="1"/>
  <c r="B222" i="11"/>
  <c r="A224" i="11" l="1"/>
  <c r="B223" i="11"/>
  <c r="B224" i="11" l="1"/>
  <c r="A225" i="11"/>
  <c r="A226" i="11" l="1"/>
  <c r="B225" i="11"/>
  <c r="A227" i="11" l="1"/>
  <c r="B226" i="11"/>
  <c r="A228" i="11" l="1"/>
  <c r="B227" i="11"/>
  <c r="A229" i="11" l="1"/>
  <c r="B228" i="11"/>
  <c r="A230" i="11" l="1"/>
  <c r="B229" i="11"/>
  <c r="A231" i="11" l="1"/>
  <c r="B230" i="11"/>
  <c r="A232" i="11" l="1"/>
  <c r="B231" i="11"/>
  <c r="A233" i="11" l="1"/>
  <c r="B232" i="11"/>
  <c r="A234" i="11" l="1"/>
  <c r="B233" i="11"/>
  <c r="B234" i="11" l="1"/>
  <c r="A235" i="11"/>
  <c r="B235" i="11" l="1"/>
  <c r="A236" i="11"/>
  <c r="A237" i="11" l="1"/>
  <c r="B236" i="11"/>
  <c r="A238" i="11" l="1"/>
  <c r="B237" i="11"/>
  <c r="A239" i="11" l="1"/>
  <c r="B238" i="11"/>
  <c r="A240" i="11" l="1"/>
  <c r="B239" i="11"/>
  <c r="A241" i="11" l="1"/>
  <c r="B240" i="11"/>
  <c r="A242" i="11" l="1"/>
  <c r="B241" i="11"/>
  <c r="A243" i="11" l="1"/>
  <c r="B242" i="11"/>
  <c r="A244" i="11" l="1"/>
  <c r="B243" i="11"/>
  <c r="B244" i="11" l="1"/>
  <c r="A245" i="11"/>
  <c r="A246" i="11" l="1"/>
  <c r="B245" i="11"/>
  <c r="A247" i="11" l="1"/>
  <c r="B246" i="11"/>
  <c r="A248" i="11" l="1"/>
  <c r="B247" i="11"/>
  <c r="A249" i="11" l="1"/>
  <c r="B248" i="11"/>
  <c r="A250" i="11" l="1"/>
  <c r="B249" i="11"/>
  <c r="A251" i="11" l="1"/>
  <c r="B250" i="11"/>
  <c r="A252" i="11" l="1"/>
  <c r="B251" i="11"/>
  <c r="A253" i="11" l="1"/>
  <c r="B252" i="11"/>
  <c r="A254" i="11" l="1"/>
  <c r="B253" i="11"/>
  <c r="B254" i="11" l="1"/>
  <c r="A255" i="11"/>
  <c r="B255" i="11" l="1"/>
  <c r="A256" i="11"/>
  <c r="A257" i="11" l="1"/>
  <c r="B256" i="11"/>
  <c r="A258" i="11" l="1"/>
  <c r="B257" i="11"/>
  <c r="A259" i="11" l="1"/>
  <c r="B258" i="11"/>
  <c r="A260" i="11" l="1"/>
  <c r="B259" i="11"/>
  <c r="A261" i="11" l="1"/>
  <c r="B260" i="11"/>
  <c r="A262" i="11" l="1"/>
  <c r="B261" i="11"/>
  <c r="A263" i="11" l="1"/>
  <c r="B262" i="11"/>
  <c r="A264" i="11" l="1"/>
  <c r="B263" i="11"/>
  <c r="B264" i="11" l="1"/>
  <c r="A265" i="11"/>
  <c r="B265" i="11" l="1"/>
  <c r="A266" i="11"/>
  <c r="A267" i="11" l="1"/>
  <c r="B266" i="11"/>
  <c r="A268" i="11" l="1"/>
  <c r="B267" i="11"/>
  <c r="A269" i="11" l="1"/>
  <c r="B268" i="11"/>
  <c r="A270" i="11" l="1"/>
  <c r="B269" i="11"/>
  <c r="A271" i="11" l="1"/>
  <c r="B270" i="11"/>
  <c r="A272" i="11" l="1"/>
  <c r="B271" i="11"/>
  <c r="A273" i="11" l="1"/>
  <c r="B272" i="11"/>
  <c r="A274" i="11" l="1"/>
  <c r="B273" i="11"/>
  <c r="B274" i="11" l="1"/>
  <c r="A275" i="11"/>
  <c r="A276" i="11" l="1"/>
  <c r="B275" i="11"/>
  <c r="A277" i="11" l="1"/>
  <c r="B276" i="11"/>
  <c r="A278" i="11" l="1"/>
  <c r="B277" i="11"/>
  <c r="A279" i="11" l="1"/>
  <c r="B278" i="11"/>
  <c r="A280" i="11" l="1"/>
  <c r="B279" i="11"/>
  <c r="A281" i="11" l="1"/>
  <c r="B280" i="11"/>
  <c r="A282" i="11" l="1"/>
  <c r="B281" i="11"/>
  <c r="A283" i="11" l="1"/>
  <c r="B282" i="11"/>
  <c r="A284" i="11" l="1"/>
  <c r="B283" i="11"/>
  <c r="B284" i="11" l="1"/>
  <c r="A285" i="11"/>
  <c r="B285" i="11" l="1"/>
  <c r="A286" i="11"/>
  <c r="A287" i="11" l="1"/>
  <c r="B286" i="11"/>
  <c r="A288" i="11" l="1"/>
  <c r="B287" i="11"/>
  <c r="A289" i="11" l="1"/>
  <c r="B288" i="11"/>
  <c r="A290" i="11" l="1"/>
  <c r="B289" i="11"/>
  <c r="A291" i="11" l="1"/>
  <c r="B290" i="11"/>
  <c r="A292" i="11" l="1"/>
  <c r="B291" i="11"/>
  <c r="A293" i="11" l="1"/>
  <c r="B292" i="11"/>
  <c r="A294" i="11" l="1"/>
  <c r="B293" i="11"/>
  <c r="B294" i="11" l="1"/>
  <c r="A295" i="11"/>
  <c r="A296" i="11" l="1"/>
  <c r="B295" i="11"/>
  <c r="A297" i="11" l="1"/>
  <c r="B296" i="11"/>
  <c r="A298" i="11" l="1"/>
  <c r="B297" i="11"/>
  <c r="A299" i="11" l="1"/>
  <c r="B298" i="11"/>
  <c r="A300" i="11" l="1"/>
  <c r="B299" i="11"/>
  <c r="A301" i="11" l="1"/>
  <c r="B300" i="11"/>
  <c r="A302" i="11" l="1"/>
  <c r="B301" i="11"/>
  <c r="A303" i="11" l="1"/>
  <c r="B302" i="11"/>
  <c r="A304" i="11" l="1"/>
  <c r="B303" i="11"/>
  <c r="B304" i="11" l="1"/>
  <c r="A305" i="11"/>
  <c r="A306" i="11" l="1"/>
  <c r="B305" i="11"/>
  <c r="A307" i="11" l="1"/>
  <c r="B306" i="11"/>
  <c r="A308" i="11" l="1"/>
  <c r="B307" i="11"/>
  <c r="A309" i="11" l="1"/>
  <c r="B308" i="11"/>
  <c r="A310" i="11" l="1"/>
  <c r="B309" i="11"/>
  <c r="A311" i="11" l="1"/>
  <c r="B310" i="11"/>
  <c r="A312" i="11" l="1"/>
  <c r="B311" i="11"/>
  <c r="A313" i="11" l="1"/>
  <c r="B312" i="11"/>
  <c r="A314" i="11" l="1"/>
  <c r="B313" i="11"/>
  <c r="B314" i="11" l="1"/>
  <c r="A315" i="11"/>
  <c r="B315" i="11" l="1"/>
  <c r="A316" i="11"/>
  <c r="A317" i="11" l="1"/>
  <c r="B316" i="11"/>
  <c r="A318" i="11" l="1"/>
  <c r="B317" i="11"/>
  <c r="A319" i="11" l="1"/>
  <c r="B318" i="11"/>
  <c r="A320" i="11" l="1"/>
  <c r="B319" i="11"/>
  <c r="A321" i="11" l="1"/>
  <c r="B320" i="11"/>
  <c r="A322" i="11" l="1"/>
  <c r="B321" i="11"/>
  <c r="A323" i="11" l="1"/>
  <c r="B322" i="11"/>
  <c r="B323" i="11" l="1"/>
  <c r="A324" i="11"/>
  <c r="A325" i="11" l="1"/>
  <c r="B324" i="11"/>
  <c r="B325" i="11" l="1"/>
  <c r="A326" i="11"/>
  <c r="A327" i="11" l="1"/>
  <c r="B326" i="11"/>
  <c r="A328" i="11" l="1"/>
  <c r="B327" i="11"/>
  <c r="A329" i="11" l="1"/>
  <c r="B328" i="11"/>
  <c r="A330" i="11" l="1"/>
  <c r="B329" i="11"/>
  <c r="A331" i="11" l="1"/>
  <c r="B330" i="11"/>
  <c r="A332" i="11" l="1"/>
  <c r="B331" i="11"/>
  <c r="A333" i="11" l="1"/>
  <c r="B332" i="11"/>
  <c r="B333" i="11" l="1"/>
  <c r="A334" i="11"/>
  <c r="A335" i="11" l="1"/>
  <c r="B334" i="11"/>
  <c r="A336" i="11" l="1"/>
  <c r="B335" i="11"/>
  <c r="A337" i="11" l="1"/>
  <c r="B336" i="11"/>
  <c r="A338" i="11" l="1"/>
  <c r="B337" i="11"/>
  <c r="A339" i="11" l="1"/>
  <c r="B338" i="11"/>
  <c r="A340" i="11" l="1"/>
  <c r="B339" i="11"/>
  <c r="A341" i="11" l="1"/>
  <c r="B340" i="11"/>
  <c r="A342" i="11" l="1"/>
  <c r="B341" i="11"/>
  <c r="A343" i="11" l="1"/>
  <c r="B342" i="11"/>
  <c r="B343" i="11" l="1"/>
  <c r="A344" i="11"/>
  <c r="A345" i="11" l="1"/>
  <c r="B344" i="11"/>
  <c r="A346" i="11" l="1"/>
  <c r="B345" i="11"/>
  <c r="A347" i="11" l="1"/>
  <c r="B346" i="11"/>
  <c r="A348" i="11" l="1"/>
  <c r="B347" i="11"/>
  <c r="A349" i="11" l="1"/>
  <c r="B348" i="11"/>
  <c r="A350" i="11" l="1"/>
  <c r="B349" i="11"/>
  <c r="A351" i="11" l="1"/>
  <c r="B350" i="11"/>
  <c r="A352" i="11" l="1"/>
  <c r="B351" i="11"/>
  <c r="A353" i="11" l="1"/>
  <c r="B352" i="11"/>
  <c r="B353" i="11" l="1"/>
  <c r="A354" i="11"/>
  <c r="B354" i="11" l="1"/>
  <c r="A355" i="11"/>
  <c r="A356" i="11" l="1"/>
  <c r="B355" i="11"/>
  <c r="A357" i="11" l="1"/>
  <c r="B356" i="11"/>
  <c r="A358" i="11" l="1"/>
  <c r="B357" i="11"/>
  <c r="A359" i="11" l="1"/>
  <c r="B358" i="11"/>
  <c r="A360" i="11" l="1"/>
  <c r="B359" i="11"/>
  <c r="A361" i="11" l="1"/>
  <c r="B360" i="11"/>
  <c r="A362" i="11" l="1"/>
  <c r="B361" i="11"/>
  <c r="A363" i="11" l="1"/>
  <c r="B362" i="11"/>
  <c r="B363" i="11" l="1"/>
  <c r="A364" i="11"/>
  <c r="B364" i="11" l="1"/>
  <c r="A365" i="11"/>
  <c r="B365" i="11" l="1"/>
  <c r="A366" i="11"/>
  <c r="A367" i="11" l="1"/>
  <c r="B366" i="11"/>
  <c r="A368" i="11" l="1"/>
  <c r="B367" i="11"/>
  <c r="A369" i="11" l="1"/>
  <c r="B368" i="11"/>
  <c r="A370" i="11" l="1"/>
  <c r="B369" i="11"/>
  <c r="A371" i="11" l="1"/>
  <c r="B370" i="11"/>
  <c r="A372" i="11" l="1"/>
  <c r="B371" i="11"/>
  <c r="A373" i="11" l="1"/>
  <c r="B372" i="11"/>
  <c r="B373" i="11" l="1"/>
  <c r="A374" i="11"/>
  <c r="A375" i="11" l="1"/>
  <c r="B374" i="11"/>
  <c r="B375" i="11" l="1"/>
  <c r="A376" i="11"/>
  <c r="A377" i="11" l="1"/>
  <c r="B376" i="11"/>
  <c r="A378" i="11" l="1"/>
  <c r="B377" i="11"/>
  <c r="A379" i="11" l="1"/>
  <c r="B378" i="11"/>
  <c r="A380" i="11" l="1"/>
  <c r="B379" i="11"/>
  <c r="A381" i="11" l="1"/>
  <c r="B380" i="11"/>
  <c r="A382" i="11" l="1"/>
  <c r="B381" i="11"/>
  <c r="A383" i="11" l="1"/>
  <c r="B382" i="11"/>
  <c r="B383" i="11" l="1"/>
  <c r="A384" i="11"/>
  <c r="B384" i="11" l="1"/>
  <c r="A385" i="11"/>
  <c r="A386" i="11" l="1"/>
  <c r="B385" i="11"/>
  <c r="A387" i="11" l="1"/>
  <c r="B386" i="11"/>
  <c r="A388" i="11" l="1"/>
  <c r="B387" i="11"/>
  <c r="A389" i="11" l="1"/>
  <c r="B388" i="11"/>
  <c r="A390" i="11" l="1"/>
  <c r="B389" i="11"/>
  <c r="A391" i="11" l="1"/>
  <c r="B390" i="11"/>
  <c r="A392" i="11" l="1"/>
  <c r="B391" i="11"/>
  <c r="A393" i="11" l="1"/>
  <c r="B392" i="11"/>
  <c r="B393" i="11" l="1"/>
  <c r="A394" i="11"/>
  <c r="A395" i="11" l="1"/>
  <c r="B394" i="11"/>
  <c r="A396" i="11" l="1"/>
  <c r="B395" i="11"/>
  <c r="A397" i="11" l="1"/>
  <c r="B396" i="11"/>
  <c r="A398" i="11" l="1"/>
  <c r="B397" i="11"/>
  <c r="A399" i="11" l="1"/>
  <c r="B398" i="11"/>
  <c r="A400" i="11" l="1"/>
  <c r="B399" i="11"/>
  <c r="A401" i="11" l="1"/>
  <c r="B400" i="11"/>
  <c r="A402" i="11" l="1"/>
  <c r="B401" i="11"/>
  <c r="A403" i="11" l="1"/>
  <c r="B402" i="11"/>
  <c r="B403" i="11" l="1"/>
  <c r="A404" i="11"/>
  <c r="B404" i="11" l="1"/>
  <c r="A405" i="11"/>
  <c r="B405" i="11" l="1"/>
  <c r="A406" i="11"/>
  <c r="A407" i="11" l="1"/>
  <c r="B406" i="11"/>
  <c r="A408" i="11" l="1"/>
  <c r="B407" i="11"/>
  <c r="A409" i="11" l="1"/>
  <c r="B408" i="11"/>
  <c r="A410" i="11" l="1"/>
  <c r="B409" i="11"/>
  <c r="A411" i="11" l="1"/>
  <c r="B410" i="11"/>
  <c r="A412" i="11" l="1"/>
  <c r="B411" i="11"/>
  <c r="A413" i="11" l="1"/>
  <c r="B412" i="11"/>
  <c r="B413" i="11" l="1"/>
  <c r="A414" i="11"/>
  <c r="B414" i="11" l="1"/>
  <c r="A415" i="11"/>
  <c r="B415" i="11" l="1"/>
  <c r="A416" i="11"/>
  <c r="A417" i="11" l="1"/>
  <c r="B416" i="11"/>
  <c r="A418" i="11" l="1"/>
  <c r="B417" i="11"/>
  <c r="A419" i="11" l="1"/>
  <c r="B418" i="11"/>
  <c r="A420" i="11" l="1"/>
  <c r="B419" i="11"/>
  <c r="A421" i="11" l="1"/>
  <c r="B420" i="11"/>
  <c r="A422" i="11" l="1"/>
  <c r="B421" i="11"/>
  <c r="A423" i="11" l="1"/>
  <c r="B422" i="11"/>
  <c r="B423" i="11" l="1"/>
  <c r="A424" i="11"/>
  <c r="A425" i="11" l="1"/>
  <c r="B424" i="11"/>
  <c r="B425" i="11" l="1"/>
  <c r="A426" i="11"/>
  <c r="A427" i="11" l="1"/>
  <c r="B426" i="11"/>
  <c r="A428" i="11" l="1"/>
  <c r="B427" i="11"/>
  <c r="A429" i="11" l="1"/>
  <c r="B428" i="11"/>
  <c r="A430" i="11" l="1"/>
  <c r="B429" i="11"/>
  <c r="A431" i="11" l="1"/>
  <c r="B430" i="11"/>
  <c r="A432" i="11" l="1"/>
  <c r="B431" i="11"/>
  <c r="A433" i="11" l="1"/>
  <c r="B432" i="11"/>
  <c r="B433" i="11" l="1"/>
  <c r="A434" i="11"/>
  <c r="A435" i="11" l="1"/>
  <c r="B434" i="11"/>
  <c r="A436" i="11" l="1"/>
  <c r="B435" i="11"/>
  <c r="A437" i="11" l="1"/>
  <c r="B436" i="11"/>
  <c r="A438" i="11" l="1"/>
  <c r="B437" i="11"/>
  <c r="A439" i="11" l="1"/>
  <c r="B438" i="11"/>
  <c r="A440" i="11" l="1"/>
  <c r="B439" i="11"/>
  <c r="A441" i="11" l="1"/>
  <c r="B440" i="11"/>
  <c r="A442" i="11" l="1"/>
  <c r="B441" i="11"/>
  <c r="A443" i="11" l="1"/>
  <c r="B442" i="11"/>
  <c r="B443" i="11" l="1"/>
  <c r="A444" i="11"/>
  <c r="A445" i="11" l="1"/>
  <c r="B444" i="11"/>
  <c r="A446" i="11" l="1"/>
  <c r="B445" i="11"/>
  <c r="A447" i="11" l="1"/>
  <c r="B446" i="11"/>
  <c r="A448" i="11" l="1"/>
  <c r="B447" i="11"/>
  <c r="A449" i="11" l="1"/>
  <c r="B448" i="11"/>
  <c r="A450" i="11" l="1"/>
  <c r="B449" i="11"/>
  <c r="A451" i="11" l="1"/>
  <c r="B450" i="11"/>
  <c r="A452" i="11" l="1"/>
  <c r="B451" i="11"/>
  <c r="A453" i="11" l="1"/>
  <c r="B452" i="11"/>
  <c r="B453" i="11" l="1"/>
  <c r="A454" i="11"/>
  <c r="B454" i="11" l="1"/>
  <c r="A455" i="11"/>
  <c r="B455" i="11" l="1"/>
  <c r="A456" i="11"/>
  <c r="A457" i="11" l="1"/>
  <c r="B456" i="11"/>
  <c r="A458" i="11" l="1"/>
  <c r="B457" i="11"/>
  <c r="A459" i="11" l="1"/>
  <c r="B458" i="11"/>
  <c r="A460" i="11" l="1"/>
  <c r="B459" i="11"/>
  <c r="A461" i="11" l="1"/>
  <c r="B460" i="11"/>
  <c r="A462" i="11" l="1"/>
  <c r="B461" i="11"/>
  <c r="A463" i="11" l="1"/>
  <c r="B462" i="11"/>
  <c r="B463" i="11" l="1"/>
  <c r="A464" i="11"/>
  <c r="B464" i="11" l="1"/>
  <c r="A465" i="11"/>
  <c r="B465" i="11" l="1"/>
  <c r="A466" i="11"/>
  <c r="A467" i="11" l="1"/>
  <c r="B466" i="11"/>
  <c r="A468" i="11" l="1"/>
  <c r="B467" i="11"/>
  <c r="A469" i="11" l="1"/>
  <c r="B468" i="11"/>
  <c r="A470" i="11" l="1"/>
  <c r="B469" i="11"/>
  <c r="A471" i="11" l="1"/>
  <c r="B470" i="11"/>
  <c r="A472" i="11" l="1"/>
  <c r="B471" i="11"/>
  <c r="A473" i="11" l="1"/>
  <c r="B472" i="11"/>
  <c r="B473" i="11" l="1"/>
  <c r="A474" i="11"/>
  <c r="A475" i="11" l="1"/>
  <c r="B474" i="11"/>
  <c r="B475" i="11" l="1"/>
  <c r="A476" i="11"/>
  <c r="A477" i="11" l="1"/>
  <c r="B476" i="11"/>
  <c r="A478" i="11" l="1"/>
  <c r="B477" i="11"/>
  <c r="A479" i="11" l="1"/>
  <c r="B478" i="11"/>
  <c r="A480" i="11" l="1"/>
  <c r="B479" i="11"/>
  <c r="A481" i="11" l="1"/>
  <c r="B480" i="11"/>
  <c r="A482" i="11" l="1"/>
  <c r="B481" i="11"/>
  <c r="A483" i="11" l="1"/>
  <c r="B482" i="11"/>
  <c r="B483" i="11" l="1"/>
  <c r="A484" i="11"/>
  <c r="A485" i="11" l="1"/>
  <c r="B484" i="11"/>
  <c r="A486" i="11" l="1"/>
  <c r="B485" i="11"/>
  <c r="A487" i="11" l="1"/>
  <c r="B486" i="11"/>
  <c r="A488" i="11" l="1"/>
  <c r="B487" i="11"/>
  <c r="A489" i="11" l="1"/>
  <c r="B488" i="11"/>
  <c r="A490" i="11" l="1"/>
  <c r="B489" i="11"/>
  <c r="A491" i="11" l="1"/>
  <c r="B490" i="11"/>
  <c r="A492" i="11" l="1"/>
  <c r="B491" i="11"/>
  <c r="A493" i="11" l="1"/>
  <c r="B492" i="11"/>
  <c r="B493" i="11" l="1"/>
  <c r="A494" i="11"/>
  <c r="A495" i="11" l="1"/>
  <c r="B494" i="11"/>
  <c r="A496" i="11" l="1"/>
  <c r="B495" i="11"/>
  <c r="A497" i="11" l="1"/>
  <c r="B496" i="11"/>
  <c r="A498" i="11" l="1"/>
  <c r="B497" i="11"/>
  <c r="A499" i="11" l="1"/>
  <c r="B498" i="11"/>
  <c r="A500" i="11" l="1"/>
  <c r="B499" i="11"/>
  <c r="A501" i="11" l="1"/>
  <c r="B500" i="11"/>
  <c r="A502" i="11" l="1"/>
  <c r="B501" i="11"/>
  <c r="A503" i="11" l="1"/>
  <c r="B502" i="11"/>
  <c r="B503" i="11" l="1"/>
  <c r="A504" i="11"/>
  <c r="B504" i="11" l="1"/>
  <c r="A505" i="11"/>
  <c r="A506" i="11" l="1"/>
  <c r="B505" i="11"/>
  <c r="A507" i="11" l="1"/>
  <c r="B506" i="11"/>
  <c r="A508" i="11" l="1"/>
  <c r="B507" i="11"/>
  <c r="A509" i="11" l="1"/>
  <c r="B508" i="11"/>
  <c r="A510" i="11" l="1"/>
  <c r="B509" i="11"/>
  <c r="A511" i="11" l="1"/>
  <c r="B510" i="11"/>
  <c r="A512" i="11" l="1"/>
  <c r="B511" i="11"/>
  <c r="A513" i="11" l="1"/>
  <c r="B512" i="11"/>
  <c r="B513" i="11" l="1"/>
  <c r="A514" i="11"/>
  <c r="B514" i="11" l="1"/>
  <c r="A515" i="11"/>
  <c r="A516" i="11" l="1"/>
  <c r="B515" i="11"/>
  <c r="A517" i="11" l="1"/>
  <c r="B516" i="11"/>
  <c r="A518" i="11" l="1"/>
  <c r="B517" i="11"/>
  <c r="A519" i="11" l="1"/>
  <c r="B518" i="11"/>
  <c r="A520" i="11" l="1"/>
  <c r="B519" i="11"/>
  <c r="A521" i="11" l="1"/>
  <c r="B520" i="11"/>
  <c r="A522" i="11" l="1"/>
  <c r="B521" i="11"/>
  <c r="A523" i="11" l="1"/>
  <c r="B522" i="11"/>
  <c r="B523" i="11" l="1"/>
  <c r="A524" i="11"/>
  <c r="A525" i="11" l="1"/>
  <c r="B524" i="11"/>
  <c r="A526" i="11" l="1"/>
  <c r="B525" i="11"/>
  <c r="A527" i="11" l="1"/>
  <c r="B526" i="11"/>
  <c r="A528" i="11" l="1"/>
  <c r="B527" i="11"/>
  <c r="A529" i="11" l="1"/>
  <c r="B528" i="11"/>
  <c r="A530" i="11" l="1"/>
  <c r="B529" i="11"/>
  <c r="A531" i="11" l="1"/>
  <c r="B530" i="11"/>
  <c r="A532" i="11" l="1"/>
  <c r="B531" i="11"/>
  <c r="A533" i="11" l="1"/>
  <c r="B532" i="11"/>
  <c r="B533" i="11" l="1"/>
  <c r="A534" i="11"/>
  <c r="B534" i="11" l="1"/>
  <c r="A535" i="11"/>
  <c r="A536" i="11" l="1"/>
  <c r="B535" i="11"/>
  <c r="A537" i="11" l="1"/>
  <c r="B536" i="11"/>
  <c r="A538" i="11" l="1"/>
  <c r="B537" i="11"/>
  <c r="A539" i="11" l="1"/>
  <c r="B538" i="11"/>
  <c r="A540" i="11" l="1"/>
  <c r="B539" i="11"/>
  <c r="A541" i="11" l="1"/>
  <c r="B540" i="11"/>
  <c r="A542" i="11" l="1"/>
  <c r="B541" i="11"/>
  <c r="A543" i="11" l="1"/>
  <c r="B542" i="11"/>
  <c r="B543" i="11" l="1"/>
  <c r="A544" i="11"/>
  <c r="B544" i="11" l="1"/>
  <c r="A545" i="11"/>
  <c r="A546" i="11" l="1"/>
  <c r="B545" i="11"/>
  <c r="A547" i="11" l="1"/>
  <c r="B546" i="11"/>
  <c r="A548" i="11" l="1"/>
  <c r="B547" i="11"/>
  <c r="A549" i="11" l="1"/>
  <c r="B548" i="11"/>
  <c r="A550" i="11" l="1"/>
  <c r="B549" i="11"/>
  <c r="A551" i="11" l="1"/>
  <c r="B550" i="11"/>
  <c r="A552" i="11" l="1"/>
  <c r="B551" i="11"/>
  <c r="A553" i="11" l="1"/>
  <c r="B552" i="11"/>
  <c r="B553" i="11" l="1"/>
  <c r="A554" i="11"/>
  <c r="A555" i="11" l="1"/>
  <c r="B554" i="11"/>
  <c r="A556" i="11" l="1"/>
  <c r="B555" i="11"/>
  <c r="A557" i="11" l="1"/>
  <c r="B556" i="11"/>
  <c r="A558" i="11" l="1"/>
  <c r="B557" i="11"/>
  <c r="A559" i="11" l="1"/>
  <c r="B558" i="11"/>
  <c r="A560" i="11" l="1"/>
  <c r="B559" i="11"/>
  <c r="A561" i="11" l="1"/>
  <c r="B560" i="11"/>
  <c r="A562" i="11" l="1"/>
  <c r="B561" i="11"/>
  <c r="A563" i="11" l="1"/>
  <c r="B562" i="11"/>
  <c r="B563" i="11" l="1"/>
  <c r="A564" i="11"/>
  <c r="B564" i="11" l="1"/>
  <c r="A565" i="11"/>
  <c r="A566" i="11" l="1"/>
  <c r="B565" i="11"/>
  <c r="A567" i="11" l="1"/>
  <c r="B566" i="11"/>
  <c r="A568" i="11" l="1"/>
  <c r="B567" i="11"/>
  <c r="A569" i="11" l="1"/>
  <c r="B568" i="11"/>
  <c r="A570" i="11" l="1"/>
  <c r="B569" i="11"/>
  <c r="A571" i="11" l="1"/>
  <c r="B570" i="11"/>
  <c r="A572" i="11" l="1"/>
  <c r="B571" i="11"/>
  <c r="A573" i="11" l="1"/>
  <c r="B572" i="11"/>
  <c r="B573" i="11" l="1"/>
  <c r="A574" i="11"/>
  <c r="B574" i="11" l="1"/>
  <c r="A575" i="11"/>
  <c r="A576" i="11" l="1"/>
  <c r="B575" i="11"/>
  <c r="A577" i="11" l="1"/>
  <c r="B576" i="11"/>
  <c r="A578" i="11" l="1"/>
  <c r="B577" i="11"/>
  <c r="A579" i="11" l="1"/>
  <c r="B578" i="11"/>
  <c r="A580" i="11" l="1"/>
  <c r="B579" i="11"/>
  <c r="A581" i="11" l="1"/>
  <c r="B580" i="11"/>
  <c r="A582" i="11" l="1"/>
  <c r="B581" i="11"/>
  <c r="A583" i="11" l="1"/>
  <c r="B582" i="11"/>
  <c r="B583" i="11" l="1"/>
  <c r="A584" i="11"/>
  <c r="A585" i="11" l="1"/>
  <c r="B584" i="11"/>
  <c r="A586" i="11" l="1"/>
  <c r="B585" i="11"/>
  <c r="A587" i="11" l="1"/>
  <c r="B586" i="11"/>
  <c r="A588" i="11" l="1"/>
  <c r="B587" i="11"/>
  <c r="A589" i="11" l="1"/>
  <c r="B588" i="11"/>
  <c r="A590" i="11" l="1"/>
  <c r="B589" i="11"/>
  <c r="A591" i="11" l="1"/>
  <c r="B590" i="11"/>
  <c r="A592" i="11" l="1"/>
  <c r="B591" i="11"/>
  <c r="A593" i="11" l="1"/>
  <c r="B592" i="11"/>
  <c r="B593" i="11" l="1"/>
  <c r="A594" i="11"/>
  <c r="A595" i="11" l="1"/>
  <c r="B594" i="11"/>
  <c r="A596" i="11" l="1"/>
  <c r="B595" i="11"/>
  <c r="A597" i="11" l="1"/>
  <c r="B596" i="11"/>
  <c r="A598" i="11" l="1"/>
  <c r="B597" i="11"/>
  <c r="A599" i="11" l="1"/>
  <c r="B598" i="11"/>
  <c r="A600" i="11" l="1"/>
  <c r="B599" i="11"/>
  <c r="A601" i="11" l="1"/>
  <c r="B600" i="11"/>
  <c r="A602" i="11" l="1"/>
  <c r="B601" i="11"/>
  <c r="A603" i="11" l="1"/>
  <c r="B602" i="11"/>
  <c r="B603" i="11" l="1"/>
  <c r="A604" i="11"/>
  <c r="A605" i="11" l="1"/>
  <c r="B604" i="11"/>
  <c r="A606" i="11" l="1"/>
  <c r="B605" i="11"/>
  <c r="A607" i="11" l="1"/>
  <c r="B606" i="11"/>
  <c r="A608" i="11" l="1"/>
  <c r="B607" i="11"/>
  <c r="A609" i="11" l="1"/>
  <c r="B608" i="11"/>
  <c r="A610" i="11" l="1"/>
  <c r="B609" i="11"/>
  <c r="A611" i="11" l="1"/>
  <c r="B610" i="11"/>
  <c r="A612" i="11" l="1"/>
  <c r="B611" i="11"/>
  <c r="A613" i="11" l="1"/>
  <c r="B612" i="11"/>
  <c r="B613" i="11" l="1"/>
  <c r="A614" i="11"/>
  <c r="A615" i="11" l="1"/>
  <c r="B614" i="11"/>
  <c r="A616" i="11" l="1"/>
  <c r="B615" i="11"/>
  <c r="A617" i="11" l="1"/>
  <c r="B616" i="11"/>
  <c r="A618" i="11" l="1"/>
  <c r="B617" i="11"/>
  <c r="A619" i="11" l="1"/>
  <c r="B618" i="11"/>
  <c r="A620" i="11" l="1"/>
  <c r="B619" i="11"/>
  <c r="A621" i="11" l="1"/>
  <c r="B620" i="11"/>
  <c r="A622" i="11" l="1"/>
  <c r="B621" i="11"/>
  <c r="A623" i="11" l="1"/>
  <c r="B622" i="11"/>
  <c r="B623" i="11" l="1"/>
  <c r="A624" i="11"/>
  <c r="A625" i="11" l="1"/>
  <c r="B624" i="11"/>
  <c r="A626" i="11" l="1"/>
  <c r="B625" i="11"/>
  <c r="A627" i="11" l="1"/>
  <c r="B626" i="11"/>
  <c r="A628" i="11" l="1"/>
  <c r="B627" i="11"/>
  <c r="A629" i="11" l="1"/>
  <c r="B628" i="11"/>
  <c r="A630" i="11" l="1"/>
  <c r="B629" i="11"/>
  <c r="A631" i="11" l="1"/>
  <c r="B630" i="11"/>
  <c r="A632" i="11" l="1"/>
  <c r="B631" i="11"/>
  <c r="A633" i="11" l="1"/>
  <c r="B632" i="11"/>
  <c r="B633" i="11" l="1"/>
  <c r="A634" i="11"/>
  <c r="B634" i="11" l="1"/>
  <c r="A635" i="11"/>
  <c r="A636" i="11" l="1"/>
  <c r="B635" i="11"/>
  <c r="A637" i="11" l="1"/>
  <c r="B636" i="11"/>
  <c r="A638" i="11" l="1"/>
  <c r="B637" i="11"/>
  <c r="A639" i="11" l="1"/>
  <c r="B638" i="11"/>
  <c r="A640" i="11" l="1"/>
  <c r="B639" i="11"/>
  <c r="A641" i="11" l="1"/>
  <c r="B640" i="11"/>
  <c r="A642" i="11" l="1"/>
  <c r="B641" i="11"/>
  <c r="A643" i="11" l="1"/>
  <c r="B642" i="11"/>
  <c r="B643" i="11" l="1"/>
  <c r="A644" i="11"/>
  <c r="A645" i="11" l="1"/>
  <c r="B644" i="11"/>
  <c r="A646" i="11" l="1"/>
  <c r="B645" i="11"/>
  <c r="A647" i="11" l="1"/>
  <c r="B646" i="11"/>
  <c r="A648" i="11" l="1"/>
  <c r="B647" i="11"/>
  <c r="A649" i="11" l="1"/>
  <c r="B648" i="11"/>
  <c r="A650" i="11" l="1"/>
  <c r="B649" i="11"/>
  <c r="A651" i="11" l="1"/>
  <c r="B650" i="11"/>
  <c r="A652" i="11" l="1"/>
  <c r="B651" i="11"/>
  <c r="A653" i="11" l="1"/>
  <c r="B652" i="11"/>
  <c r="B653" i="11" l="1"/>
  <c r="A654" i="11"/>
  <c r="B654" i="11" l="1"/>
  <c r="A655" i="11"/>
  <c r="A656" i="11" l="1"/>
  <c r="B655" i="11"/>
  <c r="A657" i="11" l="1"/>
  <c r="B656" i="11"/>
  <c r="A658" i="11" l="1"/>
  <c r="B657" i="11"/>
  <c r="A659" i="11" l="1"/>
  <c r="B658" i="11"/>
  <c r="A660" i="11" l="1"/>
  <c r="B659" i="11"/>
  <c r="A661" i="11" l="1"/>
  <c r="B660" i="11"/>
  <c r="A662" i="11" l="1"/>
  <c r="B661" i="11"/>
  <c r="A663" i="11" l="1"/>
  <c r="B662" i="11"/>
  <c r="B663" i="11" l="1"/>
  <c r="A664" i="11"/>
  <c r="A665" i="11" l="1"/>
  <c r="B664" i="11"/>
  <c r="A666" i="11" l="1"/>
  <c r="B665" i="11"/>
  <c r="A667" i="11" l="1"/>
  <c r="B666" i="11"/>
  <c r="A668" i="11" l="1"/>
  <c r="B667" i="11"/>
  <c r="A669" i="11" l="1"/>
  <c r="B668" i="11"/>
  <c r="A670" i="11" l="1"/>
  <c r="B669" i="11"/>
  <c r="A671" i="11" l="1"/>
  <c r="B670" i="11"/>
  <c r="A672" i="11" l="1"/>
  <c r="B671" i="11"/>
  <c r="A673" i="11" l="1"/>
  <c r="B672" i="11"/>
  <c r="B673" i="11" l="1"/>
  <c r="A674" i="11"/>
  <c r="A675" i="11" l="1"/>
  <c r="B674" i="11"/>
  <c r="A676" i="11" l="1"/>
  <c r="B675" i="11"/>
  <c r="A677" i="11" l="1"/>
  <c r="B676" i="11"/>
  <c r="A678" i="11" l="1"/>
  <c r="B677" i="11"/>
  <c r="A679" i="11" l="1"/>
  <c r="B678" i="11"/>
  <c r="A680" i="11" l="1"/>
  <c r="B679" i="11"/>
  <c r="A681" i="11" l="1"/>
  <c r="B680" i="11"/>
  <c r="A682" i="11" l="1"/>
  <c r="B681" i="11"/>
  <c r="A683" i="11" l="1"/>
  <c r="B682" i="11"/>
  <c r="B683" i="11" l="1"/>
  <c r="A684" i="11"/>
  <c r="B684" i="11" l="1"/>
  <c r="A685" i="11"/>
  <c r="A686" i="11" l="1"/>
  <c r="B685" i="11"/>
  <c r="A687" i="11" l="1"/>
  <c r="B686" i="11"/>
  <c r="A688" i="11" l="1"/>
  <c r="B687" i="11"/>
  <c r="A689" i="11" l="1"/>
  <c r="B688" i="11"/>
  <c r="A690" i="11" l="1"/>
  <c r="B689" i="11"/>
  <c r="A691" i="11" l="1"/>
  <c r="B690" i="11"/>
  <c r="A692" i="11" l="1"/>
  <c r="B691" i="11"/>
  <c r="A693" i="11" l="1"/>
  <c r="B692" i="11"/>
  <c r="B693" i="11" l="1"/>
  <c r="A694" i="11"/>
  <c r="A695" i="11" l="1"/>
  <c r="B694" i="11"/>
  <c r="B695" i="11" l="1"/>
  <c r="A696" i="11"/>
  <c r="A697" i="11" l="1"/>
  <c r="B696" i="11"/>
  <c r="A698" i="11" l="1"/>
  <c r="B697" i="11"/>
  <c r="A699" i="11" l="1"/>
  <c r="B698" i="11"/>
  <c r="A700" i="11" l="1"/>
  <c r="B699" i="11"/>
  <c r="A701" i="11" l="1"/>
  <c r="B700" i="11"/>
  <c r="A702" i="11" l="1"/>
  <c r="B701" i="11"/>
  <c r="A703" i="11" l="1"/>
  <c r="B702" i="11"/>
  <c r="B703" i="11" l="1"/>
  <c r="A704" i="11"/>
  <c r="B704" i="11" l="1"/>
  <c r="A705" i="11"/>
  <c r="A706" i="11" l="1"/>
  <c r="B705" i="11"/>
  <c r="A707" i="11" l="1"/>
  <c r="B706" i="11"/>
  <c r="A708" i="11" l="1"/>
  <c r="B707" i="11"/>
  <c r="A709" i="11" l="1"/>
  <c r="B708" i="11"/>
  <c r="A710" i="11" l="1"/>
  <c r="B709" i="11"/>
  <c r="A711" i="11" l="1"/>
  <c r="B710" i="11"/>
  <c r="A712" i="11" l="1"/>
  <c r="B711" i="11"/>
  <c r="A713" i="11" l="1"/>
  <c r="B712" i="11"/>
  <c r="B713" i="11" l="1"/>
  <c r="A714" i="11"/>
  <c r="A715" i="11" l="1"/>
  <c r="B714" i="11"/>
  <c r="A716" i="11" l="1"/>
  <c r="B715" i="11"/>
  <c r="A717" i="11" l="1"/>
  <c r="B716" i="11"/>
  <c r="A718" i="11" l="1"/>
  <c r="B717" i="11"/>
  <c r="A719" i="11" l="1"/>
  <c r="B718" i="11"/>
  <c r="A720" i="11" l="1"/>
  <c r="B719" i="11"/>
  <c r="A721" i="11" l="1"/>
  <c r="B720" i="11"/>
  <c r="A722" i="11" l="1"/>
  <c r="B721" i="11"/>
  <c r="A723" i="11" l="1"/>
  <c r="B722" i="11"/>
  <c r="B723" i="11" l="1"/>
  <c r="A724" i="11"/>
  <c r="A725" i="11" l="1"/>
  <c r="B724" i="11"/>
  <c r="A726" i="11" l="1"/>
  <c r="B725" i="11"/>
  <c r="A727" i="11" l="1"/>
  <c r="B726" i="11"/>
  <c r="A728" i="11" l="1"/>
  <c r="B727" i="11"/>
  <c r="A729" i="11" l="1"/>
  <c r="B728" i="11"/>
  <c r="A730" i="11" l="1"/>
  <c r="B729" i="11"/>
  <c r="A731" i="11" l="1"/>
  <c r="B730" i="11"/>
  <c r="A732" i="11" l="1"/>
  <c r="B731" i="11"/>
  <c r="A733" i="11" l="1"/>
  <c r="B733" i="11" s="1"/>
  <c r="B732" i="11"/>
  <c r="R9" i="11" l="1"/>
  <c r="U9" i="11"/>
  <c r="W5" i="11"/>
  <c r="Q5" i="11"/>
  <c r="Z8" i="11"/>
  <c r="X9" i="11"/>
  <c r="Q6" i="11"/>
  <c r="AB9" i="11"/>
  <c r="V5" i="11"/>
  <c r="S9" i="11"/>
  <c r="R6" i="11"/>
  <c r="X6" i="11"/>
  <c r="V9" i="11"/>
  <c r="T9" i="11"/>
  <c r="U8" i="11"/>
  <c r="W9" i="11"/>
  <c r="W8" i="11"/>
  <c r="V6" i="11"/>
  <c r="Z9" i="11"/>
  <c r="AA9" i="11"/>
  <c r="AB5" i="11"/>
  <c r="W6" i="11"/>
  <c r="Q8" i="11"/>
  <c r="Y8" i="11"/>
  <c r="S5" i="11"/>
  <c r="AA8" i="11"/>
  <c r="U6" i="11"/>
  <c r="U5" i="11"/>
  <c r="X5" i="11"/>
  <c r="X8" i="11"/>
  <c r="Y9" i="11"/>
  <c r="AA5" i="11"/>
  <c r="S8" i="11"/>
  <c r="T6" i="11"/>
  <c r="Y6" i="11"/>
  <c r="Q9" i="11"/>
  <c r="AA6" i="11"/>
  <c r="R8" i="11"/>
  <c r="S6" i="11"/>
  <c r="T8" i="11"/>
  <c r="Y5" i="11"/>
  <c r="AB6" i="11"/>
  <c r="Z5" i="11"/>
  <c r="Z6" i="11"/>
  <c r="AB8" i="11"/>
  <c r="T5" i="11"/>
  <c r="V8" i="11"/>
  <c r="R5" i="11"/>
  <c r="Q12" i="11" l="1"/>
  <c r="R12" i="11" s="1"/>
  <c r="S12" i="11" s="1"/>
  <c r="T12" i="11" s="1"/>
  <c r="U12" i="11" s="1"/>
  <c r="V12" i="11" s="1"/>
  <c r="W12" i="11" s="1"/>
  <c r="X12" i="11" s="1"/>
  <c r="Y12" i="11" s="1"/>
  <c r="Z12" i="11" s="1"/>
  <c r="AA12" i="11" s="1"/>
  <c r="AB12" i="11" s="1"/>
  <c r="Q11" i="11"/>
  <c r="Q13" i="11" l="1"/>
  <c r="R11" i="11"/>
  <c r="R13" i="11" s="1"/>
  <c r="S11" i="11" l="1"/>
  <c r="T11" i="11" s="1"/>
  <c r="S13" i="11" l="1"/>
  <c r="T13" i="11"/>
  <c r="U11" i="11"/>
  <c r="U13" i="11" l="1"/>
  <c r="V11" i="11"/>
  <c r="V13" i="11" l="1"/>
  <c r="W11" i="11"/>
  <c r="W13" i="11" l="1"/>
  <c r="X11" i="11"/>
  <c r="X13" i="11" l="1"/>
  <c r="Y11" i="11"/>
  <c r="Y13" i="11" l="1"/>
  <c r="Z11" i="11"/>
  <c r="Z13" i="11" l="1"/>
  <c r="AA11" i="11"/>
  <c r="AA13" i="11" l="1"/>
  <c r="AB11" i="11"/>
  <c r="AB13" i="11" s="1"/>
  <c r="L15" i="6" l="1"/>
  <c r="M15" i="6" s="1"/>
  <c r="N15" i="6" s="1"/>
  <c r="O15" i="6" s="1"/>
  <c r="P15" i="6" s="1"/>
  <c r="Q15" i="6" s="1"/>
  <c r="R15" i="6" s="1"/>
  <c r="S15" i="6" s="1"/>
  <c r="T15" i="6" s="1"/>
  <c r="U15" i="6" s="1"/>
  <c r="V15" i="6" s="1"/>
  <c r="W15" i="6" s="1"/>
  <c r="X15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  <author>Modelo</author>
  </authors>
  <commentList>
    <comment ref="C10" authorId="0" shapeId="0" xr:uid="{BEDCDF5D-8DD9-4B3A-9288-255CDC907D81}">
      <text>
        <r>
          <rPr>
            <sz val="11"/>
            <color theme="1"/>
            <rFont val="Aptos Narrow"/>
            <family val="2"/>
            <charset val="1"/>
          </rPr>
          <t>Data do dado (B1). Recalcula o KM previsto das atividades em dias úteis.</t>
        </r>
      </text>
    </comment>
    <comment ref="C30" authorId="0" shapeId="0" xr:uid="{00000000-0006-0000-0000-00000E000000}">
      <text>
        <r>
          <rPr>
            <sz val="11"/>
            <color theme="1"/>
            <rFont val="Aptos Narrow"/>
            <family val="2"/>
          </rPr>
          <t>KM previsto da Liberação (vai para ATIVIDADES!B4).</t>
        </r>
      </text>
    </comment>
    <comment ref="C33" authorId="0" shapeId="0" xr:uid="{E33E1BED-16C9-462A-BC59-B46C6358D0C8}">
      <text>
        <r>
          <rPr>
            <sz val="11"/>
            <color theme="1"/>
            <rFont val="Aptos Narrow"/>
            <family val="2"/>
            <charset val="1"/>
          </rPr>
          <t>KM em metros. Deixe em branco se não houver mais trechos.</t>
        </r>
      </text>
    </comment>
    <comment ref="D33" authorId="0" shapeId="0" xr:uid="{7E6862CA-4A1D-4A59-B600-CA735CB668BC}">
      <text>
        <r>
          <rPr>
            <sz val="11"/>
            <color theme="1"/>
            <rFont val="Aptos Narrow"/>
            <family val="2"/>
            <charset val="1"/>
          </rPr>
          <t>KM em metros. Deixe em branco se não houver mais trechos.</t>
        </r>
      </text>
    </comment>
    <comment ref="C45" authorId="1" shapeId="0" xr:uid="{F7BD469F-6A76-4239-BC8A-95AC0EF4EDEF}">
      <text>
        <r>
          <rPr>
            <sz val="11"/>
            <color theme="1"/>
            <rFont val="Aptos Narrow"/>
            <family val="2"/>
            <charset val="1"/>
          </rPr>
          <t>KM início do colchão (metros).</t>
        </r>
      </text>
    </comment>
    <comment ref="E45" authorId="1" shapeId="0" xr:uid="{A1F1A1DD-1A33-4E36-9DF3-17C4CEEFC653}">
      <text>
        <r>
          <rPr>
            <sz val="11"/>
            <color theme="1"/>
            <rFont val="Aptos Narrow"/>
            <family val="2"/>
            <charset val="1"/>
          </rPr>
          <t>Digite C se o trecho está concluído. Deixe vazio se pendente.</t>
        </r>
      </text>
    </comment>
  </commentList>
</comments>
</file>

<file path=xl/sharedStrings.xml><?xml version="1.0" encoding="utf-8"?>
<sst xmlns="http://schemas.openxmlformats.org/spreadsheetml/2006/main" count="1093" uniqueCount="398">
  <si>
    <t>ACOMPANHAMENTO SUPERESTRUTURA — FOLHA DE ENTRADA</t>
  </si>
  <si>
    <t>COMO PREENCHER:  • Preencha apenas as células AMARELAS.  • KM em metros (ex.: 73091 = km 73+091).  • Data no formato DD/MM/AAAA.
1) DATA DE ATUALIZAÇÃO: a data do levantamento. Ela recalcula sozinha o KM previsto das atividades.
2) ATIVIDADES: informe só o KM REAL de cada atividade. O previsto é calculado automaticamente.
3) LIBERAÇÃO DE PLATAFORMA: preencha o KM PREVISTO e a lista de TRECHOS realizados (com os gaps), um por linha.
4) MATERIAIS: informe Entregue e Consumido de cada insumo. O previsto é calculado automaticamente.</t>
  </si>
  <si>
    <t>1 · DATA DE ATUALIZAÇÃO</t>
  </si>
  <si>
    <t>Data do levantamento:</t>
  </si>
  <si>
    <t>2 · ATIVIDADES (informe o KM REAL)</t>
  </si>
  <si>
    <t>Atividade</t>
  </si>
  <si>
    <t>KM INÍCIO</t>
  </si>
  <si>
    <t>KM FINAL</t>
  </si>
  <si>
    <t>Pré lastro</t>
  </si>
  <si>
    <t>Montagem de grade</t>
  </si>
  <si>
    <t>1ª Descarga de brita</t>
  </si>
  <si>
    <t>Socaria - 1º levante</t>
  </si>
  <si>
    <t>Socaria - 2º levante</t>
  </si>
  <si>
    <t>2ª Descarga de brita</t>
  </si>
  <si>
    <t>Socaria - 3º levante</t>
  </si>
  <si>
    <t>Socaria - 4º levante</t>
  </si>
  <si>
    <t>3ª Descarga de brita</t>
  </si>
  <si>
    <t>Socaria - 5º levante</t>
  </si>
  <si>
    <t>4º Descarga de brita</t>
  </si>
  <si>
    <t>Socaria - 6º levante</t>
  </si>
  <si>
    <t>5º Descarga de brita</t>
  </si>
  <si>
    <t>Alívio de tensão</t>
  </si>
  <si>
    <t>3 · LIBERAÇÃO DE PLATAFORMA</t>
  </si>
  <si>
    <t>KM Previsto (B4):</t>
  </si>
  <si>
    <t>Trechos realizados (com gaps) — um por linha:</t>
  </si>
  <si>
    <t>Trecho #</t>
  </si>
  <si>
    <t>KM Início</t>
  </si>
  <si>
    <t>KM Fim</t>
  </si>
  <si>
    <t>Trecho 1</t>
  </si>
  <si>
    <t>Trecho 2</t>
  </si>
  <si>
    <t>Trecho 3</t>
  </si>
  <si>
    <t>Trecho 4</t>
  </si>
  <si>
    <t>Trecho 5</t>
  </si>
  <si>
    <t>Trecho 6</t>
  </si>
  <si>
    <t>Trecho 7</t>
  </si>
  <si>
    <t>Trecho 8</t>
  </si>
  <si>
    <t>5 · PRÉ-LASTRO EM COLCHÃO DRENANTE</t>
  </si>
  <si>
    <t>Trechos de colchão drenante — um por linha (status: C = concluído / vazio = pendente):</t>
  </si>
  <si>
    <t>Concluído? (C)</t>
  </si>
  <si>
    <t>C</t>
  </si>
  <si>
    <t>Trecho 9</t>
  </si>
  <si>
    <t>Trecho 10</t>
  </si>
  <si>
    <t>Trecho 11</t>
  </si>
  <si>
    <t>Trecho 12</t>
  </si>
  <si>
    <t>Trecho 13</t>
  </si>
  <si>
    <t>Trecho 14</t>
  </si>
  <si>
    <t>Trecho 15</t>
  </si>
  <si>
    <t>Trecho 16</t>
  </si>
  <si>
    <t>Trecho 17</t>
  </si>
  <si>
    <t>CURVA S - AVANÇO FÍSICO</t>
  </si>
  <si>
    <t>ITEM</t>
  </si>
  <si>
    <t>PLANEJADO</t>
  </si>
  <si>
    <t>PLANEJADO ACUM</t>
  </si>
  <si>
    <t>TENDÊNCIA</t>
  </si>
  <si>
    <t>TENDÊNCIA ACUM</t>
  </si>
  <si>
    <t>REALIZADO</t>
  </si>
  <si>
    <t>REALIZADO ACUM</t>
  </si>
  <si>
    <t>CURVA FINANCEIRA</t>
  </si>
  <si>
    <t>MÃO DE OBRA DIRETA</t>
  </si>
  <si>
    <t>MÃO DE OBRA INDIRETA</t>
  </si>
  <si>
    <t>EQUIPAMENTOS DIRETOS</t>
  </si>
  <si>
    <t>EQUIPAMENTOS INDIRETOS</t>
  </si>
  <si>
    <t>Mão de obra direta</t>
  </si>
  <si>
    <t>prev.</t>
  </si>
  <si>
    <t>real.</t>
  </si>
  <si>
    <t>delta</t>
  </si>
  <si>
    <t>Ajudante geral</t>
  </si>
  <si>
    <t>Auxiliar de ferrovia</t>
  </si>
  <si>
    <t>Auxiliar de reguladora</t>
  </si>
  <si>
    <t>Auxiliar de socadora</t>
  </si>
  <si>
    <t>Encarregado de Superestrutura</t>
  </si>
  <si>
    <t>Feitor de obras</t>
  </si>
  <si>
    <t>Inspetor de trem</t>
  </si>
  <si>
    <t>Líder de equipamento</t>
  </si>
  <si>
    <t>Meio-oficial</t>
  </si>
  <si>
    <t>Motorista de caminhão basculante</t>
  </si>
  <si>
    <t>Motorista de caminhão pipa</t>
  </si>
  <si>
    <t>Motorista de carreta prancha</t>
  </si>
  <si>
    <t>Motorista de veículo pesado</t>
  </si>
  <si>
    <t>Motorista op. caminhão munck</t>
  </si>
  <si>
    <t>Oficial de ferrovia</t>
  </si>
  <si>
    <t>Oficial de obra civil</t>
  </si>
  <si>
    <t>Operador de equipamento ferroviário</t>
  </si>
  <si>
    <t>Operador de equipamento infra</t>
  </si>
  <si>
    <t>Operador de reguladora</t>
  </si>
  <si>
    <t>Operador de socadora</t>
  </si>
  <si>
    <t>Operador mantenedor I</t>
  </si>
  <si>
    <t>Operador mantenedor II</t>
  </si>
  <si>
    <t>Operador mantenedor III</t>
  </si>
  <si>
    <t>Sinaleiro</t>
  </si>
  <si>
    <t>Sinaleiro rigger</t>
  </si>
  <si>
    <t>Soldador aluminotérmico</t>
  </si>
  <si>
    <t>Soldador eletrofusão</t>
  </si>
  <si>
    <t>Supervisor de equipamento ferroviário</t>
  </si>
  <si>
    <t>Técnico eletroeletrônico</t>
  </si>
  <si>
    <t>Técnico mecânico</t>
  </si>
  <si>
    <t>TOTAL</t>
  </si>
  <si>
    <t>Mão de obra indireta</t>
  </si>
  <si>
    <t>Apontador de produção</t>
  </si>
  <si>
    <t>Assistente administrativo Compras</t>
  </si>
  <si>
    <t>Assistente administrativo RH</t>
  </si>
  <si>
    <t>Assistente social</t>
  </si>
  <si>
    <t>Auxiliar administrativo</t>
  </si>
  <si>
    <t>Auxiliar de inspetor de END</t>
  </si>
  <si>
    <t>Auxiliar de mecânico</t>
  </si>
  <si>
    <t>Auxiliar de serviços gerais [alojamento]</t>
  </si>
  <si>
    <t>Auxiliar de serviços gerais [canteiro]</t>
  </si>
  <si>
    <t>Auxiliar de topografia</t>
  </si>
  <si>
    <t>Chefe administrativo</t>
  </si>
  <si>
    <t>Controlador de equipamentos</t>
  </si>
  <si>
    <t>Eletricista</t>
  </si>
  <si>
    <t>Eletrotécnico</t>
  </si>
  <si>
    <t>Encarregado geral de NTC</t>
  </si>
  <si>
    <t>Engenheiro de meio ambiente</t>
  </si>
  <si>
    <t>Engenheiro de planejamento</t>
  </si>
  <si>
    <t>Engenheiro de produção</t>
  </si>
  <si>
    <t>Engenheiro de qualidade</t>
  </si>
  <si>
    <t>Engenheiro de segurança</t>
  </si>
  <si>
    <t>Engenheiro mecânico</t>
  </si>
  <si>
    <t>Gerente de contrato</t>
  </si>
  <si>
    <t>Inspetor de END</t>
  </si>
  <si>
    <t>Lubrificador</t>
  </si>
  <si>
    <t>Mecânico de locomotivas</t>
  </si>
  <si>
    <t>Mecânico de vagões</t>
  </si>
  <si>
    <t>Mecânico pesado</t>
  </si>
  <si>
    <t>Médico do trabalho</t>
  </si>
  <si>
    <t>Motorista de caminhão comboio</t>
  </si>
  <si>
    <t>Motorista de ônibus</t>
  </si>
  <si>
    <t>Motorista de veículo leve</t>
  </si>
  <si>
    <t>Nivelador de topografia</t>
  </si>
  <si>
    <t>Prefeito</t>
  </si>
  <si>
    <t>Psicólogo</t>
  </si>
  <si>
    <t>Soldador</t>
  </si>
  <si>
    <t>Técnico de enfermagem</t>
  </si>
  <si>
    <t>Técnico de meio ambiente</t>
  </si>
  <si>
    <t>Engenheiro de medição</t>
  </si>
  <si>
    <t>Técnico de qualidade</t>
  </si>
  <si>
    <t>Técnico de segurança</t>
  </si>
  <si>
    <t>Topógrafo I</t>
  </si>
  <si>
    <t>Topógrafo II</t>
  </si>
  <si>
    <t>Equipamentos indiretos</t>
  </si>
  <si>
    <t>Viatura</t>
  </si>
  <si>
    <t>Van</t>
  </si>
  <si>
    <t>Ônibus</t>
  </si>
  <si>
    <t>Caminhão comboio</t>
  </si>
  <si>
    <t>Equipamentos diretos</t>
  </si>
  <si>
    <t>Caminhão basculante</t>
  </si>
  <si>
    <t>Caminhão munck</t>
  </si>
  <si>
    <t>Caminhão pipa</t>
  </si>
  <si>
    <t>Carreta prancha</t>
  </si>
  <si>
    <t>Escavadeira</t>
  </si>
  <si>
    <t>Locomotiva</t>
  </si>
  <si>
    <t>Máquina de solda</t>
  </si>
  <si>
    <t>Motoniveladora</t>
  </si>
  <si>
    <t>NTC</t>
  </si>
  <si>
    <t>Pá carregadeira</t>
  </si>
  <si>
    <t>Reguladora</t>
  </si>
  <si>
    <t>Retroescavadeira</t>
  </si>
  <si>
    <t>Rolo compactador</t>
  </si>
  <si>
    <t>Socadora</t>
  </si>
  <si>
    <t>Trator de esteira</t>
  </si>
  <si>
    <t>Vagão de brita</t>
  </si>
  <si>
    <t>Vaiacar</t>
  </si>
  <si>
    <t>Solda elétrica</t>
  </si>
  <si>
    <t>fev/26</t>
  </si>
  <si>
    <t>mar/26</t>
  </si>
  <si>
    <t>abr/26</t>
  </si>
  <si>
    <t>mai/26</t>
  </si>
  <si>
    <t>jun/26</t>
  </si>
  <si>
    <t>jul/26</t>
  </si>
  <si>
    <t>ago/26</t>
  </si>
  <si>
    <t>set/26</t>
  </si>
  <si>
    <t>out/26</t>
  </si>
  <si>
    <t>nov/26</t>
  </si>
  <si>
    <t>dez/26</t>
  </si>
  <si>
    <t>jan/27</t>
  </si>
  <si>
    <t>fev/27</t>
  </si>
  <si>
    <t>mar/27</t>
  </si>
  <si>
    <t>abr/27</t>
  </si>
  <si>
    <t>mai/27</t>
  </si>
  <si>
    <t>jun/27</t>
  </si>
  <si>
    <t>jul/27</t>
  </si>
  <si>
    <t>ago/27</t>
  </si>
  <si>
    <t>set/27</t>
  </si>
  <si>
    <t>out/27</t>
  </si>
  <si>
    <t>Previsto (unid.)</t>
  </si>
  <si>
    <t>Dias trabalhados</t>
  </si>
  <si>
    <t>Produtividade</t>
  </si>
  <si>
    <t>Realizado (unid.)</t>
  </si>
  <si>
    <t>Tendência (unid.)</t>
  </si>
  <si>
    <t>Previsto (m)</t>
  </si>
  <si>
    <t>Realizado (m)</t>
  </si>
  <si>
    <t>Tendência (m)</t>
  </si>
  <si>
    <t>Descarga de brita</t>
  </si>
  <si>
    <t>Previsto (m³)</t>
  </si>
  <si>
    <t>Realizado (m³)</t>
  </si>
  <si>
    <t/>
  </si>
  <si>
    <t>Tendência (m³)</t>
  </si>
  <si>
    <t>Nº vagões/dia</t>
  </si>
  <si>
    <t>Solda aluminotérmica</t>
  </si>
  <si>
    <t>Socaria</t>
  </si>
  <si>
    <t xml:space="preserve">Bela Vista </t>
  </si>
  <si>
    <t xml:space="preserve">Itapaci </t>
  </si>
  <si>
    <t>Hochschild</t>
  </si>
  <si>
    <t>Consumo de brita</t>
  </si>
  <si>
    <t>DATA</t>
  </si>
  <si>
    <t>MÊS</t>
  </si>
  <si>
    <t>PRODUÇÃO (TON)</t>
  </si>
  <si>
    <t>ENTREGA (TON)</t>
  </si>
  <si>
    <t>PREVISTO (TON)</t>
  </si>
  <si>
    <t>REALIZADO (TON)</t>
  </si>
  <si>
    <t>ENTREGA</t>
  </si>
  <si>
    <t>PREVISTO</t>
  </si>
  <si>
    <t>CONSUMO</t>
  </si>
  <si>
    <t>ENTREGA + PREVISTO</t>
  </si>
  <si>
    <t>CONSUMO + PREVISTO</t>
  </si>
  <si>
    <t>ESTOQUE</t>
  </si>
  <si>
    <t>DESCRIÇÃO</t>
  </si>
  <si>
    <t>UNIDADE</t>
  </si>
  <si>
    <t>PCT 01.1</t>
  </si>
  <si>
    <t>PCT 01.2</t>
  </si>
  <si>
    <t>PCT 02</t>
  </si>
  <si>
    <t>PCT 03</t>
  </si>
  <si>
    <t>PCT 04</t>
  </si>
  <si>
    <t>PCT 05</t>
  </si>
  <si>
    <t>PCT 06</t>
  </si>
  <si>
    <t>PCT 07</t>
  </si>
  <si>
    <t>PCT 08</t>
  </si>
  <si>
    <t>TOTAL 1-8</t>
  </si>
  <si>
    <t>QNDE RECEBIDA</t>
  </si>
  <si>
    <t>QNDE CONSUMIDA</t>
  </si>
  <si>
    <t>Trilho</t>
  </si>
  <si>
    <t>t</t>
  </si>
  <si>
    <t>Dormente de concreto</t>
  </si>
  <si>
    <t>un</t>
  </si>
  <si>
    <t>Ombreira</t>
  </si>
  <si>
    <t>Palmilha</t>
  </si>
  <si>
    <t>Isolador</t>
  </si>
  <si>
    <t>Gampo E-2039</t>
  </si>
  <si>
    <t>Tala</t>
  </si>
  <si>
    <t>Cj Fixação</t>
  </si>
  <si>
    <t>cj</t>
  </si>
  <si>
    <t>AMV 1:14</t>
  </si>
  <si>
    <t>AMV 1:8</t>
  </si>
  <si>
    <t>Dor. de madeira 1:14</t>
  </si>
  <si>
    <t>jg</t>
  </si>
  <si>
    <t>Dor. de madeira 1:8</t>
  </si>
  <si>
    <t>Solda Aluminotérmica</t>
  </si>
  <si>
    <t>pç</t>
  </si>
  <si>
    <t>Lastro</t>
  </si>
  <si>
    <t>m3</t>
  </si>
  <si>
    <t>CONTRATO CONSÓRCIO CMC x SOMAFEL — PONTOS DE ATENÇÃO</t>
  </si>
  <si>
    <t>Data da última reunião</t>
  </si>
  <si>
    <t>Tema</t>
  </si>
  <si>
    <t>Ponto de atenção</t>
  </si>
  <si>
    <t>Encaminhamento</t>
  </si>
  <si>
    <t>Responsável</t>
  </si>
  <si>
    <t>Prazo</t>
  </si>
  <si>
    <t>Status</t>
  </si>
  <si>
    <t>Observações</t>
  </si>
  <si>
    <t>O acidente ocorrido em 25/07/2026 exige a revisão do planejamento das soldas até que todas as melhorias de segurança sejam implementadas.</t>
  </si>
  <si>
    <t>Replanejar o quantitativo de soldas da semana, considerando possíveis perdas, e retomar a atividade somente com segurança total.</t>
  </si>
  <si>
    <t>SOMAFEL</t>
  </si>
  <si>
    <t>Concluído</t>
  </si>
  <si>
    <t>Prazo a definir.</t>
  </si>
  <si>
    <t>Pré-lastro</t>
  </si>
  <si>
    <t>A atividade mantém ritmo suficiente para alcançar o km 104+500 com 14 dias de antecedência à chegada da grade.</t>
  </si>
  <si>
    <t>Incluir a atividade na programação semanal.</t>
  </si>
  <si>
    <t>O cronograma mensal prevê conclusão até 22/09/2026 e atende ao projeto, mas a programação semanal atual não reflete a produtividade necessária.</t>
  </si>
  <si>
    <t>Programar a execução em ciclo 4x1: quatro dias de construção de grade e um dia de descarga de trilhos. A SOMAFEL deve informar as paradas de manutenção da NTC; nessas semanas, aplicar ciclo 3x1 para preservar a conclusão.</t>
  </si>
  <si>
    <t xml:space="preserve">O Consórcio sinalizou que a montagem de grade das desviadas será com metodologia semi mecanizada. Sendo assim, a produção de 4.320 metros/semana para NTC, atende as expectativas do projeto. </t>
  </si>
  <si>
    <t>A produtividade aumentou após a adoção de carregamento dos vagões em dois locais.</t>
  </si>
  <si>
    <t>Considerar 13.104 m³ nas semanas até 08/08/2026. Após a chegada prevista de 45 vagões e duas locomotivas em 10/08/2026, recalcular o volume com base no realizado. A FICO deve viabilizar estoque para dormentes próximo ao km 105+700 ou km 111+000. A SOMAFEL deve indicar quando iniciar a descarga no km 58+000.</t>
  </si>
  <si>
    <t>FICO e SOMAFEL</t>
  </si>
  <si>
    <t xml:space="preserve">Alinhado com o Consórcio que até o dia 10/08, chegada dos próximos vagões, será executado 3 ciclos/semana com os 56 vagões disponíveis, totalizando 10.584m³ por semana. </t>
  </si>
  <si>
    <t>Nivelamento e correção geométrica</t>
  </si>
  <si>
    <t>A programação de 22.500 metros de socaria é otimista em relação à produtividade realizada.</t>
  </si>
  <si>
    <t>Aplicar inicialmente: Harsco no 1º e 2º levantes; Plasser no 3º e 4º; Matisa no 5º e acabamento. No sábado, inverter: Matisa no 1º e 2º; Plasser no 3º e 4º; Harsco no 5º e acabamento. A FICO deve manter topógrafo dedicado e agilizar as manobras de troca.</t>
  </si>
  <si>
    <t xml:space="preserve">O Consórcio definiu que faria a troca das máquinas apenas no dia 08/08. Enquanto isso, a produtividade está sendo mensurada por equipamento. </t>
  </si>
  <si>
    <t>É necessário validar a produtividade máxima real e a janela diária em temperatura neutra.</t>
  </si>
  <si>
    <t>A SOMAFEL deve informar a produtividade máxima real. SOMAFEL e FICO devem avaliar a temperatura histórica da região e quantificar as horas diárias em temperatura neutra.</t>
  </si>
  <si>
    <t xml:space="preserve">Já foi avaliado o histórico de temperatura neutra da FICO. O Consórcio sinalizou que com uma equipe, conseguem executar 960 metros de grade por dia. Previsão de início da atividade no dia 10/08 com a chegada das soldas em 07/08. </t>
  </si>
  <si>
    <t>PNs</t>
  </si>
  <si>
    <t>A produtividade do novo projeto e a definição do projeto executivo condicionam o pedido das placas de concreto.</t>
  </si>
  <si>
    <t>A SOMAFEL deve informar a produtividade média das PNs. Até 05/08/2026, a FICO deve definir o projeto; após a decisão, a SOMAFEL deve solicitar as placas para início das atividades em 02/09/2026.</t>
  </si>
  <si>
    <t xml:space="preserve">Formalizado pela FICO que o projeto a ser utilizado é o projeto original na PN. Consórcio ficou de encaminhar lead time para aquisição das placas pré moldadas, assim como execução das PNs. </t>
  </si>
  <si>
    <t xml:space="preserve">Atividade de pré lastro já está no km 87+000. </t>
  </si>
  <si>
    <t xml:space="preserve">A VALE e o Consórcio devem avaliar em campo novo estoque para recebimento de brita para aplicação no pré lastro. </t>
  </si>
  <si>
    <t xml:space="preserve">No estoque do km 58, já tem dormentes suficiente para construir até o km 126. </t>
  </si>
  <si>
    <t xml:space="preserve">A VALE e o Consórcio devem avaliar em campo a possibilidade de armazenar novos dormentes no km 112. </t>
  </si>
  <si>
    <t xml:space="preserve">No momento, o estoque de soldas está zerado. </t>
  </si>
  <si>
    <t xml:space="preserve">Chegada de 1.200 kits de solda aluminotérmica em 07/08. </t>
  </si>
  <si>
    <t>FICO</t>
  </si>
  <si>
    <t>Serviços remanescentes arranque</t>
  </si>
  <si>
    <t xml:space="preserve">Pendente o envio de orçamento para execução de soldas aluminotérmicas e substituição de dormentes do arranque. </t>
  </si>
  <si>
    <t xml:space="preserve">O Consórcio deve encaminhar à VALE, orçamento e lead time para execução de ambos os serviços. </t>
  </si>
  <si>
    <t>Estaleiro de solda</t>
  </si>
  <si>
    <t xml:space="preserve">Paradas do estaleiro de solda. </t>
  </si>
  <si>
    <t>Visando reduzir as paradas operacionais no estaleiro de solda, o Consórcio se comprometeu a deslocar nova escavadeira para atuação no estaleiro de solda elétrica.</t>
  </si>
  <si>
    <t>Em andamento</t>
  </si>
  <si>
    <t>Visando reduzir as paradas operacionais no estaleiro de solda, o Consórcio se comprometeu a colocar outro gerador ao lado do gerador existente.</t>
  </si>
  <si>
    <t>Topografia/Socaria</t>
  </si>
  <si>
    <t>Encaminhar data de entrada do Jarlan na super</t>
  </si>
  <si>
    <t>Profissional capacitado para apoiar na sala técnica.</t>
  </si>
  <si>
    <t>Qualidade</t>
  </si>
  <si>
    <t>Alinhamento com Qualidade para atividade de alívio de tensão</t>
  </si>
  <si>
    <t xml:space="preserve">Alinhamento interno com a Qualidade para o quantitativo de roletes a ser utilizado na atividade de alívio de tensão. </t>
  </si>
  <si>
    <t>Agendamento de reunião com topografia</t>
  </si>
  <si>
    <t>Agendamento de reunião com topografia para melhorias na atividade de socaria.</t>
  </si>
  <si>
    <t>Iniciar o planejamento do pré lastro nos colchões drenantes do pacote 04</t>
  </si>
  <si>
    <t>Compartilhar colchões drenantes do pacote 04 com o time.</t>
  </si>
  <si>
    <t>Planejar a atividade de pré lastro e recebimento de brita considerando os acessos existentes no pacote 04.</t>
  </si>
  <si>
    <t>FICO/SOMAFEL</t>
  </si>
  <si>
    <t>Montagem de PNs</t>
  </si>
  <si>
    <t xml:space="preserve">Primeira entrega das placas de concretos das PNs. </t>
  </si>
  <si>
    <t xml:space="preserve">Definir a metodologia construtiva das PNs da FICO. </t>
  </si>
  <si>
    <t>Pendências/RNCs</t>
  </si>
  <si>
    <t xml:space="preserve">Cronograma de retirada de pendências e RNCs </t>
  </si>
  <si>
    <t xml:space="preserve">Recebimento e controle de cronograma de retirada de pendências e RNCs do Consórcio. </t>
  </si>
  <si>
    <t>COORDENAÇÃO SUPER — PLANO DE AÇÃO</t>
  </si>
  <si>
    <t>INDICADORES</t>
  </si>
  <si>
    <t>Abertas</t>
  </si>
  <si>
    <t>Atrasadas</t>
  </si>
  <si>
    <t>Concluídas</t>
  </si>
  <si>
    <t>Impedidas</t>
  </si>
  <si>
    <t>Contexto</t>
  </si>
  <si>
    <t>Ações / Histórico</t>
  </si>
  <si>
    <t>Data da atualização</t>
  </si>
  <si>
    <t>Data limite</t>
  </si>
  <si>
    <t>VAGÕES RUMO</t>
  </si>
  <si>
    <t>Com a paralisação do projeto FMT da RUMO, ficou alinhado a antecipação da devolução dos vagões emprestados pela VALE. Ao todo são 56 vagões HNS com capacidade para 50m³ cada. Alinhado que em julho desceriam 40 vagões (1º lote) e 16 em setembro (2º lote).</t>
  </si>
  <si>
    <t xml:space="preserve">1. Alinhamento com a RUMO para deslocamento do 1º lote de vagões para a FICO. 
14/07: Está previsto o deslocamento dos vagões para ZTO em 14/07. Previsão de deslocamento para a FICO em 18/07.
27/07: Não estamos tendo retorno da RUMO, mas a princípio os vagões não deslocaram para ZTO com a justificativa de estarem sem locomotiva. 
03/08: Ainda não desceram para ZTO. Programação prevista para hoje, dia 03/08. 
10/08: Começaram o deslocamento dos vagões na semana anterior. Estão vindo 55 vagões, e 1 vagão não deslocou por problemas no rodeiro. Chegarão na FICO esta semana. 
17/08: 55 Vagões que foram locados pela RUMO chegaram no sábado, dia 16/08. </t>
  </si>
  <si>
    <t>Luiz Cláudio</t>
  </si>
  <si>
    <t>VAGÕES BRITA</t>
  </si>
  <si>
    <t>Alinhado com a EFC o empréstimo de 62 vagões HNT de 63m³ para a FICO. Atualmente, só realizaram o emprestimo de 57 vagões. Pendente 3 vagões.</t>
  </si>
  <si>
    <t xml:space="preserve">1. Alinhamento com a VALE para deslocamento dos 5 vagões para a FICO. 
14/07: Em conversa com a VALE, sinalizaram que os vagões já estão liberados e a previsão é que chegue no projeto até 31/07. 
20/07: Os vagões de brita chegarão junto do trem de trilho na FICO, que está previsto para chegar em 07/08.
27/07: Haverá atraso visto que o trem ainda está parado - teve um tombamento e uma das causas é a fabricação de um rodeiro específico. Com isso, todos os vagões que possuem esses rodeiros, estão sendo investigados e manobrando nos pátios, causando esse atraso.
03/08: Já estão realizando o carregamento do trilho com previsão de concluir em 11/08, para dia 12/08 deslocar para a FICO, com previsão de chegada dia 17/08. 
10/08: O carregamento do trem deve ser concluído até sábado, para posterior deslocamento para a FICO. A data do dia 17/08 terá um atraso de aproximadamento 4 dias. 
17/08: Os vagões não vieram junto do trem de trilho, que saiu de São Luís em 15/08. Os vagões estavam no pátio mas devido as dificuldades de manobra, não entraram na composição para não atrasar o trem de trilho. 
31/08: Permanece o status anterior, do dia 17/08. </t>
  </si>
  <si>
    <t>Sebastião</t>
  </si>
  <si>
    <t>VAGÕES DORMENTES</t>
  </si>
  <si>
    <t>Alinhado com a EFC o empréstimo de 36 vagões plataforma para a FICO. Atualmente, só realizaram o emprestimo de 29 vagões. Pendente 7 vagões.</t>
  </si>
  <si>
    <t xml:space="preserve">1. Alinhamento com a VALE para deslocamento dos 7 vagões para a FICO. 
14/07: Em conversa com a VALE, sinalizaram que os vagões já estão liberados e a previsão é que chegue no projeto até 31/07. 
20/07: No trem anterior de trilho curto anterior, vieram 3 vagões plataforma. No próximo virão mais 5 vagões, totalizando 37 vagões. Previsto chegada na FICO em 07/08
27/07: Haverá atraso visto que o trem ainda está parado - teve um tombamento e uma das causas é a fabricação de um rodeiro específico. Com isso, todos os vagões que possuem esses rodeiros, estão sendo investigados e manobrando nos pátios, causando esse atraso. 
03/08: A EFC sinalizou que irão circular apenas 3 vagões junto com o trem de trilho, com chegada prevista em 17/08. 
10/08: Começaram o deslocamento dos vagões na semana anterior. Estão vindo 55 vagões, e 1 vagão não deslocou por problemas no rodeiro. Chegarão na FICO esta semana. 
17/08: Atualmente temos 32 vagões na FICO. Com o trem de trilho que saiu de São Luis no sábado, dia 15/08, vieram 3 vagões plataforma. Os demais estão no pátio porém não foram manobrados nesse trem de trilho, serão manobrados no próximo.
31/08: Permanece o status anterior, do dia 17/08. </t>
  </si>
  <si>
    <t>LOCOMOTIVAS RES</t>
  </si>
  <si>
    <t>Foram locadas 5 locomotivas com a RES. Das 5, 2 locomotivas já estão no projeto, pendente a chegada das 3 remanescentes. Pelos marcos contratuais, 1 locomotiva deve ser disponibilizada em 07/02/2026, 1 em 09/03/2026, 1 em 24/03/2026 e 2 em 18/05/2026.</t>
  </si>
  <si>
    <t xml:space="preserve">1. Das 5 locomotivas, 2 já estão no projeto e outras 2 estão liberadas para deslocamento. Pendente o alinhamento do deslocamento das máquinas e a liberação da última máquina, que contratualmente já deveria ter sido liberada. 
14/07: O check list foi emitido em 13/07, porém não no padrão da RUMO. Estão adequando a documentação para envio em 14/07. 
A última locomotiva está com previsão de liberação no final de julho. 
20/07: No dia 17/07 foi enviado o check list à RUMO, e no momento estão aguardando autorização para deslocamento dos equipamentos. Alinhar liberação da última locomotiva no início de agosto para não precisar de aditivo no contrato de deslocamento das máquinas. 
27/07: Check list aprovado pela RUMO - aguardando programação. 
03/08: Iniciaram a movimentação, e estão no pátio de Boa Vista, com previsão de seguir para o projeto em 03/08 às 17h. 
10/08: Duas locomotivas chegaram no dia 07/08. Uma está liberada com restrições pois não possui registro de velocidade , a outra está em processo de ajustes. Já está sendo conversado com a RES para tratativa das pendências. </t>
  </si>
  <si>
    <t xml:space="preserve">2. A última locomotiva da RES tem previsão de liberação para deslocamento para a FICO apenas na primeira quinzena de agosto - com alguns riscos de atraso. 
27/07: O contrato de transporte com a RUMO vence em 31/08 - é um contrato bipartite sem REIDI. O contrato deve ser aditivado em pelo menos 90 dias. 
03/08: A expectativa da última locomotiva é ser entregue em 25/08. Suprimentos confirmou que o contrato está vigente até setembro/2026, dado isso, não será aditivado. 
10/08: Atualizado com o suprimentos que a data do contrato é até 22/setembro. A liberação da última locomotiva está previsto para 20/08. 
17/08: A previsão da última locomotiva permanece para final deste mês. 
31/08: Previsão de liberação até o dia 11/09. Necessário TAC de prazo com a RUMO. </t>
  </si>
  <si>
    <t>Júlia Guerra</t>
  </si>
  <si>
    <t>CONTRATO HOCHSCHILD</t>
  </si>
  <si>
    <t>O contrato com a Hochschild foi assinado e o estéril está liberado para fornecimento.</t>
  </si>
  <si>
    <t xml:space="preserve">1. Elaboração de vistoria da planta e envio de relatório para validação da GSA e VALE. 
14/07: Laudo enviado em 10/07 pela HOC. A GSA enviou o laudo emitido por eles em 13/07. Os relatórios são semelhantes porém a GSA sinaliza que a planta não consegue operar em sua totalidade. Recebimento de lista de peças de prioridade 0 em 14/07. Entender com a GSA qual o prazo para obter as peças e realizar as devidas manutenções. 
20/07: Ainda não obtivemos devolutiva dos valores das peças e data de entrega das mesmas. A HOC irá fornecer algumas peças e equipe de manutenção, e o time vai tentar viabilizar o início da operação do britador primário com essas peças.
27/07: O time de manutenção da HOC trabalhou apenas 2 dias na última semana, foram fornecidas algumas peças porém outras não foram liberadas visto que eles sinalizaram que só seriam mediante pagamento - foi solicitado da HOC valor para aquisição das peças e posterior regularização via TAC. 
03/08: As peças foram retiradas da HOC no dia 31/08. A previsão é de que nesta semana inicie a operação do primário. 
10/08: Manutenção da correia no britador secundário de hoje para amanha. A expectativa é que comece o primário no dia 13/08. 
17/08: Operação de rachão iniciada no dia 15/08. Pendente atualização com relação a produção de lastro que inicialmente está previsto para o final desta semana. 
31/08: Produção de lastro iniciada em 24/08, porém equipamentos apresentaram quebra das peneiras. Produção foi reestabelecida hoje, em 31/08 porém de forma bem modesta. </t>
  </si>
  <si>
    <t>Thyago Viegas</t>
  </si>
  <si>
    <t xml:space="preserve">2. Solicitação de dispensa de licença ambiental para a SEMAD de novo estoque da HOC - a solicitação deve ser feita pela HOC. 
14/07: HOC ainda não deu entrada na dispensa da licença. Previsão de entrar ainda em julho. 
10/08: A HOC sinalizou que a licença do novo estoque só será solicitada após a renovação da licença deles, que acontecerá no final do ano. Ação será colocada on hold até lá. </t>
  </si>
  <si>
    <t>Impedido</t>
  </si>
  <si>
    <t>Letícia Morais</t>
  </si>
  <si>
    <t xml:space="preserve">3. Fazer simulação desconsiderando a produção de 30.000 ton com a Hochschild em julho.
20/07: Simulação realizada e apresentada aos gestores. Para o lote 01, não há impacto na entrega, porém será necessário aquisição de aproximadamento 120.000 toneladas de lastro comercial para o lote 02. 
27/07: Refazer simulação com postergação de início da HOC com 30.000 toneladas para setembro/26 e entender qual a nova necessidade de produção diária das pedreiras comerciais para suprir a quantidade da Somafel. 
03/08: Realizar nova simulação com o levantamento dos estoques do km 6 e 34, e com as tratativas feitas com a Somafel em reunião de planejamento. 
10/08: Refazer a simulação considerando 55 vagões descendo da RUMO e produção da Bela Vista e Itapaci até sábado. 
17/08: Simulação feita. O quantitativo de brita fornecido pela Bela Vista e Itapaci não seria suficiente para os 55 vagões. Necessário início imediato da Hochschild. </t>
  </si>
  <si>
    <t>OPERAÇÃO PLANTA GSA</t>
  </si>
  <si>
    <t>Firmado em 27/05/2026 o contrato com a GSA para operação da planta de britagem da Hochschild. Está previsto a mobilização em 45 dias, com prazo final de 11/07/2026.</t>
  </si>
  <si>
    <t xml:space="preserve">1. Mobilização completa até o dia 11/07 para início da operação. 
14/07: Mão de obra: 55 previsto | 34 mobilizados no SGC. Equipamentos: 21 previsto | 9 mobilizados.
27/07: Mão de obra: 56 previsto | 56 mobilizados no SGC (com ressalvas)
O operador do munck e do caminhão comboio saíram do projeto mas permanecem no sistema. Os equipamentos principais, eles possuem porém está pendente o ônibus. O time FICO vai ajudar na mobilização desse recurso junto ao time de Saúde e Segurança. Solicitar prazo para regularização da mão de obra. 
03/08: O ônibus foi mobilizado e os operadores do munck e caminhão comboio foram regularizados. </t>
  </si>
  <si>
    <t xml:space="preserve">2. OIN para implementação de sistema da balança
14/07: OIN liberada. 
20/07: Avaliar prazo de implementação do sistema visto que é necessário para retirada de material. 
27/07: Verificar com o time da GSA o prazo necessário para implementação do sistema. A equipe da Toledo sinalizou que é necessário 1 semana para instalação. 
03/08: GSA está emitindo pedido para a Toledo. 
10/08: Balança já está medindo. </t>
  </si>
  <si>
    <t xml:space="preserve">3. OIN para ensaios de Qualidade
27/07: Entender com a Qualidade a real necessidade de realização desses ensaios. Como está a nova contratação. 
03/08: Tema on hold até que seja reestabelecida a operação da planta de britagem. 
31/08: OIN aberta e aprovada. </t>
  </si>
  <si>
    <t xml:space="preserve">Ação será colocada on hold até que outras prioridades sejam sanadas. </t>
  </si>
  <si>
    <t>ESTOQUE DE TRILHO - SÃO LUÍS</t>
  </si>
  <si>
    <t>O último navio de trilho, com 14.178 ton está previsto para atracar no dia 22/07 no porto de Itaqui. 
A estratégia definida foi realizar o embarque em um único lote, visando maximizar os ganhos financeiros da negociação. O lote atende até o PCT 08. 
Na data de chegada, o estoque do TFPM deveria estar vazio para recebimento deste novo lote. Devido alguns atrasos na FICO, esse estoque, em 10/07 ainda possui 4.560 ton armazenadas.</t>
  </si>
  <si>
    <r>
      <t xml:space="preserve">1. Movimentar ao menos mais um trem de trilho curto do TFPM para a FICO, liberando o espaço de mais 2.000 ton. 
14/07: Previsão de descida do trem de trilho em 15/07 para São Luís.
20/07: O trem de trilho saiu da FICO em 18/07 com previsão de chegada em São Luís dia 22/07. Será carregado e previsão de chegada com o trilho na FICO é em 08/07. 
27/07: Haverá atraso visto que o trem ainda está parado - teve um tombamento e uma das causas é a fabricação de um rodeiro específico. Com isso, todos os vagões que possuem esses rodeiros, estão sendo investigados e manobrando nos pátios, causando esse atraso.
</t>
    </r>
    <r>
      <rPr>
        <sz val="11"/>
        <color rgb="FFFF0000"/>
        <rFont val="Aptos Narrow"/>
        <family val="2"/>
      </rPr>
      <t xml:space="preserve">03/08: Movimentação do trem de trilho foi realizada, está em carregamento em São Luís com previsão de conclusão em 11/08, deslocamento para a FICO em 12/08 e chegada em 17/08.   </t>
    </r>
    <r>
      <rPr>
        <sz val="11"/>
        <color rgb="FF172033"/>
        <rFont val="Aptos Narrow"/>
        <family val="2"/>
      </rPr>
      <t xml:space="preserve">
10/08: Descarga do navio concluiu no dia 09/08. Nos próximos 3 dias, deve ocorrer o desembaraço aduaneiro. 
17/08: Transferência da carga do porto para TFPM será iniciada hoje, em 17/08.
31/08: Já foram descarregadas 435 carretas do total de 614. Previsto a conclusão para 06/09. </t>
    </r>
  </si>
  <si>
    <t>O último navio de trilho, com 14.000 ton está previsto para atracar no dia 22/07 no porto de Itaqui. 
A estratégia definida foi realizar o embarque em um único lote, visando maximizar os ganhos financeiros da negociação. O lote atende até o PCT 08. 
Na data de chegada, o estoque do TFPM deveria estar vazio para recebimento deste novo lote. Devido alguns atrasos na FICO, esse estoque, em 10/07 ainda possui 4.560 ton armazenadas.</t>
  </si>
  <si>
    <t xml:space="preserve">2. Encontrar no TFPM, outro espaço para armazenagem do trilho remanescente que não couber no pátio da FICO. 
14/07: Encontrado novo espaço dentro do estaleiro. Maior distância do que o local previsto anteriormente, o que pode ofender em produtividade. </t>
  </si>
  <si>
    <t>SOLDA ALUMINOTÉRMICA - ARRANQUE</t>
  </si>
  <si>
    <t>As soldas aluminotérmicas do arranque (Thermit) apresentaram martensita não revenida e por isso devem ser removidas. As novas soldas deverão ser feitas com material Railtech (Pandrol). Ao todo são 252 soldas.</t>
  </si>
  <si>
    <t xml:space="preserve">1. Alinhamento com a Somafel para realização dos cortes de trilho e novas soldas.
14/07: Realização das soldas aluminotérmicas está no TAC da Somafel. Será mobilizada nova equipe para atividade. Ainda não foi enviado o cronograma.
20/07: Cronograma será discutido em reunião de planejamento. 
03/08: Serão executadas na TAC. 
10/08: Não foi enviado até o momento o orçamento tanto pra solda quanto substituição de dormentes (mobilização de novas equipes). Envolver o Vinícius no tema. 
17/08: Orçamento foi concluído pela Somafel porém ainda está em aprovação interna da diretoria. Previsto para enviar em 17/08.
31/08: Proposta encaminhada na semana anterior, pendente análise do time de implantação. Em paralelo, deve se aguardar o retorno da OIA com relação a baixa da RNC e buscar um novo laboratório para ensaiar as soldas. </t>
  </si>
  <si>
    <t>PLATAFORMA CARREGAMENTO - HOC</t>
  </si>
  <si>
    <t>O PIT (Projeto de Interesse de Terceiros) foi assinado entre RUMO e VALE para utilização da rampa de carregamento ao lado da Hochschild para armazenagem de brita.</t>
  </si>
  <si>
    <t xml:space="preserve">1. Alinhamento com a empreiteira para limpeza e regularização da rampa de carregamento e com equipe de afugentamento da RUMO.
14/07: A RUMO ainda não validou o acompanhamento da equipe da FICO na semana do dia 20/07.
20/07: Alinhado com a RUMO o acompanhamento da equipa na semana do dia 27/07. 
27/07: Limpeza da rampa de carregamento deve ser iniciada em 28/07 e 29/07. 
03/08: Limpeza concluída. 
</t>
  </si>
  <si>
    <t xml:space="preserve">2. Treinamento de colaborador próprio da FICO para acesso à malha RUMO. O objetivo é que ele se torne multiplicador para treinar colaboradores Somafel. 
14/07: Programar o treinamento com a RUMO para Luciney.  
20/07: Pendente atualização. 
27/07: Pré agendado o treinamento do Adriano em 17/agosto. 
03/08: Treinamento do Adriano ainda não foi confirmado. 
17/08: O colaborador treinado do Consórcio, irá treinar o maquinista e o Luciney.  </t>
  </si>
  <si>
    <t>LOCAÇÃO DE CARREGADEIRAS</t>
  </si>
  <si>
    <t>Devido as discussões com a Somafel sobre o empilhamento de brita, optou-se por locar pá carregadeiras por fora do contrato para otimizar o carregamento de brita.</t>
  </si>
  <si>
    <t xml:space="preserve">1. Acompanhamento da locação de pás carregadeiras para atuação na superestrutura.
14/07: A equipe de infraestrutura vai fazer a locação do equipamento com a GSA. Será transferido o equipamento que está na planta para o km 34, até que a Somafel mobilize o equipamento deles. 
20/07: A carregadeira da SOMAFEL está previsto para chegar em 25/07. Foi sinalizado que o plano com a GSA não foi concretizado com o risco de "descalçar" a infraestrutura. 
27/07: A carregadeira da SOMAFEL chega na FICO até o final desta semana. Mobilização na semana seguinte. 
03/08: A carregadeira da SOMAFEL ainda não foi mobilizada. Cobrar retorno em reunião de planejamento. 
10/08: A carregadeira para carregamento foi mobilizada. Não foi mobilizada a carregadeira da CPU (empilhamento). 
17/08: A carregadeira da CPU de empilhamento ainda não foi mobilizada. 
31/08: A máquina adicional não deve ser mobilizada agora visto que ainda não estamos puxando material da HOC. A carregadeira existente hoje, está no estoque do km 34+000. </t>
  </si>
  <si>
    <t>PN'S</t>
  </si>
  <si>
    <t>A Somafel recebeu o projeto de PNs durante a contratação, porém o projeto foi alterado e ainda estão no aguardo para recebimento das alterações.</t>
  </si>
  <si>
    <t xml:space="preserve">1. Engenharia formalizar o novo projeto das PNs com a Somafel.
14/07: O projeto das PNs está pronto, validado internamente. Engenharia estará em Brasília na semana do dia 20/07 para validação junto a INFRA. 
20/07: A Engenharia vai apresentar o novo projeto das PNs para a INFRA S.A em 22/07. 
03/08: O novo projeto não será adotado dado o prazo que temos para execução. Importante formalizar via email que deverão seguir o projeto inicial. Em reunião de Planejamento, deve ser solicitado prazo para execução das PNs. </t>
  </si>
  <si>
    <t>Filipe Milani</t>
  </si>
  <si>
    <t xml:space="preserve">2. Calcular o prazo para execução das PNs do lote 01 e a data limite para obter o de acordo da INFRA S.A. Entender com a Engenharia se já podemos solicitar a Somafel à confecção de algumas placas de concreto. 
03/08: O projeto da nova PN não será seguido no lote 01. </t>
  </si>
  <si>
    <t xml:space="preserve">Ação foi cancelada visto que não houve mudança no projeto das PNs. </t>
  </si>
  <si>
    <t>TREM DE TRILHO</t>
  </si>
  <si>
    <t>Para atingimento da entrega da ponte em 17/abril, a Somafel e CMC precisa fazer 60 soldas/dia.</t>
  </si>
  <si>
    <t xml:space="preserve">1. Calcular a necessidade de trem de trilho curto para que o estaleiro não fique desabastecido. 
20/07: Necessidade calculada, e a partir do próximo trem de trilho que está previsto para chegar em 07/08, temos a necessidade de fazer um ciclo por mês. Caso contrário, ficaremos desabastecidos futuramente. </t>
  </si>
  <si>
    <t xml:space="preserve">2. Alinhamento com EFC e VLI para intervalos mensais. 
27/07: Alinhamento foi realizado, necessário reunião específica para apresentar a sensibilidade do problema. </t>
  </si>
  <si>
    <t xml:space="preserve">3. Alinhamento com a EFC para disponibilização dos vagões de trilho curto que estavam pendentes para que o trem de trilho curto chegue na FICO com 2.200 toneladas. 
03/08: No próximo ciclo, do dia 17/08, os vagões já estarão na composição porém carregados com dormentes. No próximo ciclo, serão carregados normalmente com trilhos. </t>
  </si>
  <si>
    <t xml:space="preserve">Vagões já foram disponibilizados. No ciclo que chega em 17/08, vieram carregados com dormentes. No próximo ciclo, já irão compor com trilhos. </t>
  </si>
  <si>
    <t>NAVIO DE TRILHO</t>
  </si>
  <si>
    <t>Navio com aproximadamente 14.200 toneladas. 
Previsão de chegada ao porto: 25/07
Previsão de atracação: 28/07
Operação de descarga: 28/07 a 05/08 (8 dias)
Liberação aduaneira: 06/08 a 10/08 (5 dias)
Transporte rodoviário: 11/08 a 01/09 (21 dias) - 10 veículos no carrossel, 3 viagens cada</t>
  </si>
  <si>
    <t xml:space="preserve">1. Mobilização de responsável em São Luís para acompanhamento do transporte rodoviário.
14/07: Responsável deve estar mobilizado até 06/08 
20/07: Luciney estará acompanhando inicialmente, até que o Sebastião seja mobilizado para São Luís. 
27/07: Luciney já em São Luís para acompanhamento. </t>
  </si>
  <si>
    <t>CONTRATAÇÃO DIRETA D GRANEL</t>
  </si>
  <si>
    <t>De acordo com cálculo do time de Gestão de Contratos, iniciando a partir do dia 23/07, temos saldo para mais 24 dias de operação - já considerando a redução do volume a ser entregue no pacote 06, alinhado com a liderança.</t>
  </si>
  <si>
    <t xml:space="preserve">20/07: Relatório de homologação em andamento pelo suprimentos - será enviado para a INFRA S.A em 30/07 com pedido de urgência. 
17/08: Já assinado pela INFRA S.A. Em assinatura pela VALE e fornecedor. </t>
  </si>
  <si>
    <t>Nara Saraiva</t>
  </si>
  <si>
    <t>LOCOMOTIVAS</t>
  </si>
  <si>
    <t xml:space="preserve">De acordo com RT da superestrutura, em janeiro/2027, a VALE irá fornecer duas novas locomotivas para a execução da obra. </t>
  </si>
  <si>
    <t xml:space="preserve">1. Essas locomotivas deverão ser emprestadas pela EFC visto que não há CAPEX previsto e nem locomotivas disponíveis para locação em mercado. 
17/08: Iniciar tratativas com a EFC. Elaboração de apresentação para reunião nesta semana na EFC - na apresentação deve constar as locomotivas disponíveis na FICO e suas respectivas capacidades de carga. </t>
  </si>
  <si>
    <t>Trilho 24m  consumida Barras</t>
  </si>
  <si>
    <t>Trilho 24m  consumida 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</si>
</sst>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1" x14ac:knownFonts="1">
    <font>
      <sz val="11"/>
      <color theme="1"/>
      <name val="Aptos Narrow"/>
    </font>
    <font>
      <sz val="11"/>
      <color theme="1"/>
      <name val="Aptos Narrow"/>
      <family val="2"/>
    </font>
    <font>
      <sz val="10"/>
      <name val="Arial"/>
      <family val="2"/>
    </font>
    <font>
      <sz val="10"/>
      <name val="Arial"/>
      <family val="2"/>
    </font>
    <font>
      <b/>
      <sz val="14"/>
      <color rgb="FF1F4E79"/>
      <name val="Arial"/>
      <family val="2"/>
    </font>
    <font>
      <sz val="10"/>
      <color rgb="FF000000"/>
      <name val="Arial"/>
      <family val="2"/>
    </font>
    <font>
      <b/>
      <sz val="11"/>
      <color rgb="FF1F4E79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i/>
      <sz val="9"/>
      <color rgb="FF555555"/>
      <name val="Arial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ptos Narrow"/>
      <family val="2"/>
    </font>
    <font>
      <sz val="11"/>
      <name val="Aptos Narrow"/>
      <family val="2"/>
    </font>
    <font>
      <b/>
      <sz val="10"/>
      <name val="Century Gothic"/>
      <family val="2"/>
    </font>
    <font>
      <sz val="10"/>
      <name val="Century Gothic"/>
      <family val="2"/>
    </font>
    <font>
      <b/>
      <sz val="11"/>
      <color rgb="FFFFFFFF"/>
      <name val="Aptos Narrow"/>
      <family val="2"/>
    </font>
    <font>
      <b/>
      <sz val="11"/>
      <color rgb="FF5B6472"/>
      <name val="Aptos Narrow"/>
      <family val="2"/>
    </font>
    <font>
      <b/>
      <sz val="11"/>
      <color rgb="FF172033"/>
      <name val="Aptos Narrow"/>
      <family val="2"/>
    </font>
    <font>
      <sz val="11"/>
      <color rgb="FF172033"/>
      <name val="Aptos Narrow"/>
      <family val="2"/>
    </font>
    <font>
      <b/>
      <sz val="11"/>
      <color rgb="FF45566B"/>
      <name val="Aptos Narrow"/>
      <family val="2"/>
    </font>
    <font>
      <b/>
      <sz val="11"/>
      <color theme="0"/>
      <name val="Calibri"/>
      <family val="2"/>
      <scheme val="minor"/>
    </font>
    <font>
      <sz val="11"/>
      <name val="Aptos Narrow"/>
      <family val="2"/>
      <charset val="1"/>
    </font>
    <font>
      <sz val="11"/>
      <color rgb="FFFF0000"/>
      <name val="Aptos Narrow"/>
      <family val="2"/>
    </font>
    <font>
      <sz val="11"/>
      <color theme="1"/>
      <name val="Aptos Narrow"/>
      <family val="2"/>
      <charset val="1"/>
    </font>
    <font>
      <sz val="9"/>
      <color theme="1"/>
      <name val="Aptos Narrow"/>
      <family val="2"/>
      <charset val="1"/>
    </font>
    <font>
      <sz val="11"/>
      <name val="Calibri"/>
      <family val="2"/>
      <scheme val="minor"/>
    </font>
    <font>
      <sz val="11"/>
      <color theme="1"/>
      <name val="Aptos Narrow"/>
      <family val="2"/>
    </font>
  </fonts>
  <fills count="24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97706"/>
      </patternFill>
    </fill>
    <fill>
      <patternFill patternType="solid">
        <fgColor rgb="FFFFF7E6"/>
      </patternFill>
    </fill>
    <fill>
      <patternFill patternType="solid">
        <fgColor rgb="FF3578BC"/>
      </patternFill>
    </fill>
    <fill>
      <patternFill patternType="solid">
        <fgColor rgb="FFEEF4FB"/>
      </patternFill>
    </fill>
    <fill>
      <patternFill patternType="solid">
        <fgColor rgb="FF172033"/>
      </patternFill>
    </fill>
    <fill>
      <patternFill patternType="solid">
        <fgColor rgb="FFFFF2CC"/>
        <bgColor rgb="FFE2EFDA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1F4E79"/>
        <bgColor rgb="FF003366"/>
      </patternFill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6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/>
      <top style="medium">
        <color auto="1"/>
      </top>
      <bottom style="medium">
        <color theme="0"/>
      </bottom>
      <diagonal/>
    </border>
    <border>
      <left/>
      <right style="medium">
        <color theme="0"/>
      </right>
      <top style="medium">
        <color auto="1"/>
      </top>
      <bottom style="medium">
        <color theme="0"/>
      </bottom>
      <diagonal/>
    </border>
    <border>
      <left/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/>
      <bottom/>
      <diagonal/>
    </border>
    <border>
      <left style="medium">
        <color theme="0"/>
      </left>
      <right style="thin">
        <color theme="0"/>
      </right>
      <top/>
      <bottom style="medium">
        <color theme="0"/>
      </bottom>
      <diagonal/>
    </border>
    <border>
      <left style="thin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theme="0"/>
      </left>
      <right style="medium">
        <color auto="1"/>
      </right>
      <top/>
      <bottom style="medium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theme="0" tint="-0.34998626667073579"/>
      </left>
      <right/>
      <top style="medium">
        <color theme="0"/>
      </top>
      <bottom/>
      <diagonal/>
    </border>
    <border>
      <left/>
      <right style="thin">
        <color theme="0" tint="-0.34998626667073579"/>
      </right>
      <top style="medium">
        <color theme="0"/>
      </top>
      <bottom/>
      <diagonal/>
    </border>
    <border>
      <left/>
      <right style="medium">
        <color indexed="64"/>
      </right>
      <top style="medium">
        <color theme="0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 tint="-0.34998626667073579"/>
      </left>
      <right/>
      <top/>
      <bottom style="medium">
        <color indexed="64"/>
      </bottom>
      <diagonal/>
    </border>
    <border>
      <left/>
      <right style="thin">
        <color theme="0" tint="-0.34998626667073579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0"/>
      </right>
      <top/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thin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indexed="64"/>
      </right>
      <top/>
      <bottom style="medium">
        <color theme="0"/>
      </bottom>
      <diagonal/>
    </border>
    <border>
      <left style="medium">
        <color indexed="64"/>
      </left>
      <right style="thin">
        <color theme="0" tint="-0.34998626667073579"/>
      </right>
      <top style="medium">
        <color theme="0"/>
      </top>
      <bottom/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medium">
        <color indexed="64"/>
      </left>
      <right style="thin">
        <color theme="0" tint="-0.34998626667073579"/>
      </right>
      <top/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  <border>
      <left style="thin">
        <color rgb="FFC9D8E8"/>
      </left>
      <right style="thin">
        <color rgb="FFC9D8E8"/>
      </right>
      <top style="thin">
        <color rgb="FFC9D8E8"/>
      </top>
      <bottom style="thin">
        <color rgb="FFC9D8E8"/>
      </bottom>
      <diagonal/>
    </border>
    <border>
      <left style="thin">
        <color rgb="FFD8DEE8"/>
      </left>
      <right style="thin">
        <color rgb="FFD8DEE8"/>
      </right>
      <top style="thin">
        <color rgb="FFD8DEE8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rgb="FFBFBFBF"/>
      </bottom>
      <diagonal/>
    </border>
  </borders>
  <cellStyleXfs count="7">
    <xf numFmtId="0" fontId="0" fillId="0" borderId="0"/>
    <xf numFmtId="0" fontId="3" fillId="0" borderId="0"/>
    <xf numFmtId="9" fontId="11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43" fontId="30" fillId="0" borderId="0" applyFont="0" applyFill="0" applyBorder="0" applyAlignment="0" applyProtection="0"/>
  </cellStyleXfs>
  <cellXfs count="212">
    <xf numFmtId="0" fontId="0" fillId="0" borderId="0" xfId="0"/>
    <xf numFmtId="0" fontId="6" fillId="0" borderId="0" xfId="0" applyFont="1"/>
    <xf numFmtId="0" fontId="7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2" fillId="0" borderId="0" xfId="0" applyFont="1"/>
    <xf numFmtId="0" fontId="0" fillId="0" borderId="18" xfId="0" applyBorder="1" applyAlignment="1">
      <alignment vertical="center"/>
    </xf>
    <xf numFmtId="3" fontId="0" fillId="0" borderId="19" xfId="0" applyNumberFormat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21" xfId="0" applyNumberFormat="1" applyBorder="1" applyAlignment="1">
      <alignment horizontal="center" vertical="center"/>
    </xf>
    <xf numFmtId="3" fontId="0" fillId="0" borderId="22" xfId="0" applyNumberFormat="1" applyBorder="1" applyAlignment="1">
      <alignment horizontal="center" vertical="center"/>
    </xf>
    <xf numFmtId="3" fontId="0" fillId="0" borderId="23" xfId="0" applyNumberFormat="1" applyBorder="1" applyAlignment="1">
      <alignment horizontal="center" vertical="center"/>
    </xf>
    <xf numFmtId="3" fontId="0" fillId="0" borderId="24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25" xfId="0" applyBorder="1" applyAlignment="1">
      <alignment vertical="center"/>
    </xf>
    <xf numFmtId="3" fontId="0" fillId="0" borderId="26" xfId="0" applyNumberFormat="1" applyBorder="1" applyAlignment="1">
      <alignment horizontal="center" vertical="center"/>
    </xf>
    <xf numFmtId="3" fontId="0" fillId="0" borderId="27" xfId="0" applyNumberFormat="1" applyBorder="1" applyAlignment="1">
      <alignment horizontal="center" vertical="center"/>
    </xf>
    <xf numFmtId="3" fontId="0" fillId="0" borderId="29" xfId="0" applyNumberFormat="1" applyBorder="1" applyAlignment="1">
      <alignment horizontal="center" vertical="center"/>
    </xf>
    <xf numFmtId="3" fontId="0" fillId="0" borderId="28" xfId="0" applyNumberFormat="1" applyBorder="1" applyAlignment="1">
      <alignment horizontal="center" vertical="center"/>
    </xf>
    <xf numFmtId="1" fontId="14" fillId="0" borderId="24" xfId="0" applyNumberFormat="1" applyFont="1" applyBorder="1" applyAlignment="1">
      <alignment horizontal="center" vertical="center"/>
    </xf>
    <xf numFmtId="1" fontId="14" fillId="0" borderId="28" xfId="0" applyNumberFormat="1" applyFont="1" applyBorder="1" applyAlignment="1">
      <alignment horizontal="center" vertical="center"/>
    </xf>
    <xf numFmtId="3" fontId="0" fillId="0" borderId="40" xfId="0" applyNumberFormat="1" applyBorder="1" applyAlignment="1">
      <alignment horizontal="center" vertical="center"/>
    </xf>
    <xf numFmtId="3" fontId="0" fillId="0" borderId="41" xfId="0" applyNumberFormat="1" applyBorder="1" applyAlignment="1">
      <alignment horizontal="center" vertical="center"/>
    </xf>
    <xf numFmtId="3" fontId="0" fillId="0" borderId="44" xfId="0" applyNumberFormat="1" applyBorder="1" applyAlignment="1">
      <alignment horizontal="center" vertical="center"/>
    </xf>
    <xf numFmtId="3" fontId="0" fillId="0" borderId="18" xfId="0" applyNumberFormat="1" applyBorder="1" applyAlignment="1">
      <alignment horizontal="center" vertical="center"/>
    </xf>
    <xf numFmtId="3" fontId="0" fillId="0" borderId="25" xfId="0" applyNumberFormat="1" applyBorder="1" applyAlignment="1">
      <alignment horizontal="center" vertical="center"/>
    </xf>
    <xf numFmtId="3" fontId="0" fillId="0" borderId="46" xfId="0" applyNumberFormat="1" applyBorder="1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3" fontId="15" fillId="0" borderId="47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wrapText="1"/>
    </xf>
    <xf numFmtId="3" fontId="15" fillId="0" borderId="18" xfId="0" applyNumberFormat="1" applyFont="1" applyBorder="1" applyAlignment="1">
      <alignment horizontal="center" wrapText="1"/>
    </xf>
    <xf numFmtId="3" fontId="15" fillId="0" borderId="0" xfId="0" applyNumberFormat="1" applyFont="1" applyAlignment="1">
      <alignment horizontal="center" wrapText="1"/>
    </xf>
    <xf numFmtId="3" fontId="15" fillId="0" borderId="24" xfId="0" applyNumberFormat="1" applyFont="1" applyBorder="1" applyAlignment="1">
      <alignment horizontal="center" wrapText="1"/>
    </xf>
    <xf numFmtId="3" fontId="15" fillId="0" borderId="51" xfId="0" applyNumberFormat="1" applyFont="1" applyBorder="1" applyAlignment="1">
      <alignment horizontal="center" vertical="center" wrapText="1"/>
    </xf>
    <xf numFmtId="3" fontId="15" fillId="0" borderId="52" xfId="0" applyNumberFormat="1" applyFont="1" applyBorder="1" applyAlignment="1">
      <alignment horizontal="center" vertical="center" wrapText="1"/>
    </xf>
    <xf numFmtId="3" fontId="0" fillId="0" borderId="18" xfId="0" applyNumberFormat="1" applyBorder="1" applyAlignment="1">
      <alignment horizontal="center" wrapText="1"/>
    </xf>
    <xf numFmtId="3" fontId="0" fillId="0" borderId="0" xfId="0" applyNumberFormat="1" applyAlignment="1">
      <alignment horizontal="center" wrapText="1"/>
    </xf>
    <xf numFmtId="3" fontId="0" fillId="0" borderId="24" xfId="0" applyNumberFormat="1" applyBorder="1" applyAlignment="1">
      <alignment horizontal="center" wrapText="1"/>
    </xf>
    <xf numFmtId="0" fontId="0" fillId="0" borderId="24" xfId="0" applyBorder="1" applyAlignment="1">
      <alignment horizontal="center"/>
    </xf>
    <xf numFmtId="0" fontId="0" fillId="0" borderId="48" xfId="0" applyBorder="1"/>
    <xf numFmtId="0" fontId="0" fillId="0" borderId="50" xfId="0" applyBorder="1"/>
    <xf numFmtId="0" fontId="0" fillId="0" borderId="18" xfId="0" applyBorder="1"/>
    <xf numFmtId="0" fontId="0" fillId="0" borderId="24" xfId="0" applyBorder="1"/>
    <xf numFmtId="0" fontId="15" fillId="0" borderId="51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14" fontId="0" fillId="0" borderId="18" xfId="0" applyNumberFormat="1" applyBorder="1"/>
    <xf numFmtId="17" fontId="0" fillId="0" borderId="0" xfId="0" applyNumberFormat="1" applyAlignment="1">
      <alignment horizontal="center" vertical="center"/>
    </xf>
    <xf numFmtId="16" fontId="0" fillId="0" borderId="0" xfId="0" applyNumberFormat="1"/>
    <xf numFmtId="14" fontId="0" fillId="0" borderId="0" xfId="0" applyNumberFormat="1"/>
    <xf numFmtId="14" fontId="0" fillId="0" borderId="53" xfId="0" applyNumberFormat="1" applyBorder="1"/>
    <xf numFmtId="0" fontId="0" fillId="0" borderId="54" xfId="0" applyBorder="1" applyAlignment="1">
      <alignment horizontal="center"/>
    </xf>
    <xf numFmtId="3" fontId="0" fillId="0" borderId="53" xfId="0" applyNumberFormat="1" applyBorder="1" applyAlignment="1">
      <alignment horizontal="center" wrapText="1"/>
    </xf>
    <xf numFmtId="3" fontId="0" fillId="0" borderId="55" xfId="0" applyNumberFormat="1" applyBorder="1" applyAlignment="1">
      <alignment horizontal="center" wrapText="1"/>
    </xf>
    <xf numFmtId="3" fontId="18" fillId="0" borderId="1" xfId="1" applyNumberFormat="1" applyFont="1" applyBorder="1" applyAlignment="1">
      <alignment horizontal="center" vertical="center"/>
    </xf>
    <xf numFmtId="3" fontId="18" fillId="0" borderId="1" xfId="1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8" fillId="4" borderId="9" xfId="0" applyFont="1" applyFill="1" applyBorder="1" applyAlignment="1">
      <alignment horizontal="center" vertical="center"/>
    </xf>
    <xf numFmtId="9" fontId="8" fillId="0" borderId="9" xfId="2" applyFont="1" applyFill="1" applyBorder="1" applyAlignment="1">
      <alignment horizontal="center" vertical="center"/>
    </xf>
    <xf numFmtId="9" fontId="8" fillId="10" borderId="9" xfId="2" applyFont="1" applyFill="1" applyBorder="1" applyAlignment="1">
      <alignment horizontal="center" vertical="center"/>
    </xf>
    <xf numFmtId="3" fontId="0" fillId="11" borderId="20" xfId="0" applyNumberFormat="1" applyFill="1" applyBorder="1" applyAlignment="1">
      <alignment horizontal="center" vertical="center"/>
    </xf>
    <xf numFmtId="3" fontId="0" fillId="11" borderId="23" xfId="0" applyNumberFormat="1" applyFill="1" applyBorder="1" applyAlignment="1">
      <alignment horizontal="center" vertical="center"/>
    </xf>
    <xf numFmtId="3" fontId="0" fillId="11" borderId="27" xfId="0" applyNumberFormat="1" applyFill="1" applyBorder="1" applyAlignment="1">
      <alignment horizontal="center" vertical="center"/>
    </xf>
    <xf numFmtId="3" fontId="0" fillId="12" borderId="23" xfId="0" applyNumberFormat="1" applyFill="1" applyBorder="1" applyAlignment="1">
      <alignment horizontal="center" vertical="center"/>
    </xf>
    <xf numFmtId="3" fontId="0" fillId="13" borderId="46" xfId="0" applyNumberFormat="1" applyFill="1" applyBorder="1" applyAlignment="1">
      <alignment horizontal="center" vertical="center"/>
    </xf>
    <xf numFmtId="3" fontId="0" fillId="14" borderId="46" xfId="0" applyNumberFormat="1" applyFill="1" applyBorder="1" applyAlignment="1">
      <alignment horizontal="center" vertical="center"/>
    </xf>
    <xf numFmtId="3" fontId="25" fillId="0" borderId="46" xfId="0" applyNumberFormat="1" applyFont="1" applyBorder="1" applyAlignment="1">
      <alignment horizontal="center" vertical="center"/>
    </xf>
    <xf numFmtId="0" fontId="0" fillId="16" borderId="0" xfId="0" applyFill="1"/>
    <xf numFmtId="17" fontId="24" fillId="17" borderId="46" xfId="0" applyNumberFormat="1" applyFont="1" applyFill="1" applyBorder="1" applyAlignment="1">
      <alignment horizontal="center" vertical="center"/>
    </xf>
    <xf numFmtId="3" fontId="18" fillId="18" borderId="1" xfId="1" applyNumberFormat="1" applyFont="1" applyFill="1" applyBorder="1" applyAlignment="1">
      <alignment horizontal="center" vertical="center"/>
    </xf>
    <xf numFmtId="0" fontId="9" fillId="19" borderId="60" xfId="0" applyFont="1" applyFill="1" applyBorder="1" applyAlignment="1">
      <alignment horizontal="center" vertical="center"/>
    </xf>
    <xf numFmtId="0" fontId="9" fillId="19" borderId="61" xfId="0" applyFont="1" applyFill="1" applyBorder="1" applyAlignment="1">
      <alignment horizontal="center" vertical="center"/>
    </xf>
    <xf numFmtId="0" fontId="9" fillId="19" borderId="62" xfId="0" applyFont="1" applyFill="1" applyBorder="1" applyAlignment="1">
      <alignment horizontal="center" vertical="center"/>
    </xf>
    <xf numFmtId="0" fontId="9" fillId="19" borderId="63" xfId="0" applyFont="1" applyFill="1" applyBorder="1" applyAlignment="1">
      <alignment horizontal="center" vertical="center"/>
    </xf>
    <xf numFmtId="0" fontId="2" fillId="0" borderId="60" xfId="0" applyFont="1" applyBorder="1"/>
    <xf numFmtId="0" fontId="8" fillId="10" borderId="64" xfId="0" applyFont="1" applyFill="1" applyBorder="1" applyAlignment="1">
      <alignment horizontal="center" vertical="center"/>
    </xf>
    <xf numFmtId="0" fontId="8" fillId="10" borderId="65" xfId="0" applyFont="1" applyFill="1" applyBorder="1" applyAlignment="1">
      <alignment horizontal="center" vertical="center"/>
    </xf>
    <xf numFmtId="14" fontId="8" fillId="10" borderId="9" xfId="0" applyNumberFormat="1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13" fillId="20" borderId="0" xfId="0" applyFont="1" applyFill="1"/>
    <xf numFmtId="0" fontId="28" fillId="0" borderId="0" xfId="0" applyFont="1"/>
    <xf numFmtId="0" fontId="9" fillId="19" borderId="9" xfId="0" applyFont="1" applyFill="1" applyBorder="1" applyAlignment="1">
      <alignment horizontal="center" vertical="center"/>
    </xf>
    <xf numFmtId="17" fontId="9" fillId="19" borderId="9" xfId="0" applyNumberFormat="1" applyFont="1" applyFill="1" applyBorder="1" applyAlignment="1">
      <alignment horizontal="center" vertical="center"/>
    </xf>
    <xf numFmtId="1" fontId="8" fillId="0" borderId="9" xfId="2" applyNumberFormat="1" applyFont="1" applyFill="1" applyBorder="1" applyAlignment="1">
      <alignment horizontal="center" vertical="center"/>
    </xf>
    <xf numFmtId="1" fontId="8" fillId="10" borderId="9" xfId="2" applyNumberFormat="1" applyFont="1" applyFill="1" applyBorder="1" applyAlignment="1">
      <alignment horizontal="center" vertical="center"/>
    </xf>
    <xf numFmtId="0" fontId="24" fillId="21" borderId="10" xfId="0" applyFont="1" applyFill="1" applyBorder="1" applyAlignment="1">
      <alignment vertical="center"/>
    </xf>
    <xf numFmtId="17" fontId="24" fillId="21" borderId="11" xfId="0" applyNumberFormat="1" applyFont="1" applyFill="1" applyBorder="1" applyAlignment="1">
      <alignment horizontal="centerContinuous" vertical="center"/>
    </xf>
    <xf numFmtId="17" fontId="24" fillId="21" borderId="12" xfId="0" applyNumberFormat="1" applyFont="1" applyFill="1" applyBorder="1" applyAlignment="1">
      <alignment horizontal="centerContinuous" vertical="center"/>
    </xf>
    <xf numFmtId="17" fontId="24" fillId="21" borderId="13" xfId="0" applyNumberFormat="1" applyFont="1" applyFill="1" applyBorder="1" applyAlignment="1">
      <alignment horizontal="centerContinuous" vertical="center"/>
    </xf>
    <xf numFmtId="17" fontId="24" fillId="21" borderId="36" xfId="0" applyNumberFormat="1" applyFont="1" applyFill="1" applyBorder="1" applyAlignment="1">
      <alignment horizontal="center" vertical="center"/>
    </xf>
    <xf numFmtId="17" fontId="24" fillId="21" borderId="11" xfId="0" applyNumberFormat="1" applyFont="1" applyFill="1" applyBorder="1" applyAlignment="1">
      <alignment horizontal="center" vertical="center"/>
    </xf>
    <xf numFmtId="17" fontId="24" fillId="21" borderId="37" xfId="0" applyNumberFormat="1" applyFont="1" applyFill="1" applyBorder="1" applyAlignment="1">
      <alignment horizontal="center" vertical="center"/>
    </xf>
    <xf numFmtId="0" fontId="24" fillId="21" borderId="14" xfId="0" applyFont="1" applyFill="1" applyBorder="1" applyAlignment="1">
      <alignment vertical="center"/>
    </xf>
    <xf numFmtId="17" fontId="24" fillId="21" borderId="15" xfId="0" applyNumberFormat="1" applyFont="1" applyFill="1" applyBorder="1" applyAlignment="1">
      <alignment horizontal="center" vertical="center"/>
    </xf>
    <xf numFmtId="17" fontId="24" fillId="21" borderId="16" xfId="0" applyNumberFormat="1" applyFont="1" applyFill="1" applyBorder="1" applyAlignment="1">
      <alignment horizontal="center" vertical="center"/>
    </xf>
    <xf numFmtId="17" fontId="24" fillId="21" borderId="17" xfId="0" applyNumberFormat="1" applyFont="1" applyFill="1" applyBorder="1" applyAlignment="1">
      <alignment horizontal="center" vertical="center"/>
    </xf>
    <xf numFmtId="17" fontId="24" fillId="21" borderId="38" xfId="0" applyNumberFormat="1" applyFont="1" applyFill="1" applyBorder="1" applyAlignment="1">
      <alignment horizontal="center" vertical="center"/>
    </xf>
    <xf numFmtId="17" fontId="24" fillId="21" borderId="39" xfId="0" applyNumberFormat="1" applyFont="1" applyFill="1" applyBorder="1" applyAlignment="1">
      <alignment horizontal="center" vertical="center"/>
    </xf>
    <xf numFmtId="0" fontId="0" fillId="22" borderId="18" xfId="0" applyFill="1" applyBorder="1" applyAlignment="1">
      <alignment vertical="center"/>
    </xf>
    <xf numFmtId="3" fontId="0" fillId="22" borderId="22" xfId="0" applyNumberFormat="1" applyFill="1" applyBorder="1" applyAlignment="1">
      <alignment horizontal="center" vertical="center"/>
    </xf>
    <xf numFmtId="3" fontId="0" fillId="22" borderId="23" xfId="0" applyNumberFormat="1" applyFill="1" applyBorder="1" applyAlignment="1">
      <alignment horizontal="center" vertical="center"/>
    </xf>
    <xf numFmtId="3" fontId="0" fillId="22" borderId="24" xfId="0" applyNumberFormat="1" applyFill="1" applyBorder="1" applyAlignment="1">
      <alignment horizontal="center" vertical="center"/>
    </xf>
    <xf numFmtId="3" fontId="0" fillId="22" borderId="41" xfId="0" applyNumberFormat="1" applyFill="1" applyBorder="1" applyAlignment="1">
      <alignment horizontal="center" vertical="center"/>
    </xf>
    <xf numFmtId="0" fontId="0" fillId="22" borderId="25" xfId="0" applyFill="1" applyBorder="1" applyAlignment="1">
      <alignment vertical="center"/>
    </xf>
    <xf numFmtId="3" fontId="0" fillId="22" borderId="26" xfId="0" applyNumberFormat="1" applyFill="1" applyBorder="1" applyAlignment="1">
      <alignment horizontal="center" vertical="center"/>
    </xf>
    <xf numFmtId="3" fontId="0" fillId="22" borderId="27" xfId="0" applyNumberFormat="1" applyFill="1" applyBorder="1" applyAlignment="1">
      <alignment horizontal="center" vertical="center"/>
    </xf>
    <xf numFmtId="3" fontId="0" fillId="22" borderId="28" xfId="0" applyNumberFormat="1" applyFill="1" applyBorder="1" applyAlignment="1">
      <alignment horizontal="center" vertical="center"/>
    </xf>
    <xf numFmtId="3" fontId="0" fillId="22" borderId="42" xfId="0" applyNumberFormat="1" applyFill="1" applyBorder="1" applyAlignment="1">
      <alignment horizontal="center" vertical="center"/>
    </xf>
    <xf numFmtId="1" fontId="24" fillId="21" borderId="30" xfId="0" applyNumberFormat="1" applyFont="1" applyFill="1" applyBorder="1" applyAlignment="1">
      <alignment horizontal="left" vertical="center"/>
    </xf>
    <xf numFmtId="1" fontId="24" fillId="21" borderId="31" xfId="0" applyNumberFormat="1" applyFont="1" applyFill="1" applyBorder="1" applyAlignment="1">
      <alignment horizontal="center" vertical="center"/>
    </xf>
    <xf numFmtId="1" fontId="24" fillId="21" borderId="32" xfId="0" applyNumberFormat="1" applyFont="1" applyFill="1" applyBorder="1" applyAlignment="1">
      <alignment horizontal="center" vertical="center"/>
    </xf>
    <xf numFmtId="1" fontId="24" fillId="21" borderId="33" xfId="0" applyNumberFormat="1" applyFont="1" applyFill="1" applyBorder="1" applyAlignment="1">
      <alignment horizontal="center" vertical="center"/>
    </xf>
    <xf numFmtId="1" fontId="24" fillId="21" borderId="43" xfId="0" applyNumberFormat="1" applyFont="1" applyFill="1" applyBorder="1" applyAlignment="1">
      <alignment horizontal="center" vertical="center"/>
    </xf>
    <xf numFmtId="3" fontId="0" fillId="22" borderId="0" xfId="0" applyNumberFormat="1" applyFill="1" applyAlignment="1">
      <alignment horizontal="center" vertical="center"/>
    </xf>
    <xf numFmtId="3" fontId="0" fillId="22" borderId="29" xfId="0" applyNumberFormat="1" applyFill="1" applyBorder="1" applyAlignment="1">
      <alignment horizontal="center" vertical="center"/>
    </xf>
    <xf numFmtId="1" fontId="24" fillId="21" borderId="34" xfId="0" applyNumberFormat="1" applyFont="1" applyFill="1" applyBorder="1" applyAlignment="1">
      <alignment horizontal="center" vertical="center"/>
    </xf>
    <xf numFmtId="1" fontId="24" fillId="21" borderId="25" xfId="0" applyNumberFormat="1" applyFont="1" applyFill="1" applyBorder="1" applyAlignment="1">
      <alignment horizontal="center" vertical="center"/>
    </xf>
    <xf numFmtId="1" fontId="24" fillId="21" borderId="45" xfId="0" applyNumberFormat="1" applyFont="1" applyFill="1" applyBorder="1" applyAlignment="1">
      <alignment horizontal="center" vertical="center"/>
    </xf>
    <xf numFmtId="1" fontId="24" fillId="21" borderId="28" xfId="0" applyNumberFormat="1" applyFont="1" applyFill="1" applyBorder="1" applyAlignment="1">
      <alignment horizontal="center" vertical="center"/>
    </xf>
    <xf numFmtId="3" fontId="0" fillId="22" borderId="19" xfId="0" applyNumberFormat="1" applyFill="1" applyBorder="1" applyAlignment="1">
      <alignment horizontal="center" vertical="center"/>
    </xf>
    <xf numFmtId="3" fontId="0" fillId="22" borderId="20" xfId="0" applyNumberFormat="1" applyFill="1" applyBorder="1" applyAlignment="1">
      <alignment horizontal="center" vertical="center"/>
    </xf>
    <xf numFmtId="1" fontId="14" fillId="22" borderId="24" xfId="0" applyNumberFormat="1" applyFont="1" applyFill="1" applyBorder="1" applyAlignment="1">
      <alignment horizontal="center" vertical="center"/>
    </xf>
    <xf numFmtId="3" fontId="0" fillId="22" borderId="18" xfId="0" applyNumberFormat="1" applyFill="1" applyBorder="1" applyAlignment="1">
      <alignment horizontal="center" vertical="center"/>
    </xf>
    <xf numFmtId="0" fontId="0" fillId="12" borderId="18" xfId="0" applyFill="1" applyBorder="1" applyAlignment="1">
      <alignment vertical="center"/>
    </xf>
    <xf numFmtId="3" fontId="0" fillId="12" borderId="22" xfId="0" applyNumberFormat="1" applyFill="1" applyBorder="1" applyAlignment="1">
      <alignment horizontal="center" vertical="center"/>
    </xf>
    <xf numFmtId="3" fontId="0" fillId="12" borderId="0" xfId="0" applyNumberFormat="1" applyFill="1" applyAlignment="1">
      <alignment horizontal="center" vertical="center"/>
    </xf>
    <xf numFmtId="1" fontId="14" fillId="12" borderId="24" xfId="0" applyNumberFormat="1" applyFont="1" applyFill="1" applyBorder="1" applyAlignment="1">
      <alignment horizontal="center" vertical="center"/>
    </xf>
    <xf numFmtId="3" fontId="0" fillId="12" borderId="18" xfId="0" applyNumberFormat="1" applyFill="1" applyBorder="1" applyAlignment="1">
      <alignment horizontal="center" vertical="center"/>
    </xf>
    <xf numFmtId="3" fontId="0" fillId="12" borderId="24" xfId="0" applyNumberFormat="1" applyFill="1" applyBorder="1" applyAlignment="1">
      <alignment horizontal="center" vertical="center"/>
    </xf>
    <xf numFmtId="0" fontId="24" fillId="17" borderId="46" xfId="0" applyFont="1" applyFill="1" applyBorder="1" applyAlignment="1">
      <alignment vertical="center"/>
    </xf>
    <xf numFmtId="17" fontId="24" fillId="0" borderId="46" xfId="0" applyNumberFormat="1" applyFont="1" applyBorder="1" applyAlignment="1">
      <alignment horizontal="center" vertical="center"/>
    </xf>
    <xf numFmtId="14" fontId="29" fillId="0" borderId="46" xfId="0" applyNumberFormat="1" applyFont="1" applyBorder="1" applyAlignment="1">
      <alignment horizontal="center" vertical="center"/>
    </xf>
    <xf numFmtId="0" fontId="0" fillId="13" borderId="46" xfId="0" applyFill="1" applyBorder="1" applyAlignment="1">
      <alignment vertical="center"/>
    </xf>
    <xf numFmtId="3" fontId="0" fillId="16" borderId="0" xfId="0" applyNumberFormat="1" applyFill="1"/>
    <xf numFmtId="0" fontId="0" fillId="16" borderId="0" xfId="0" applyFill="1" applyAlignment="1">
      <alignment horizontal="center"/>
    </xf>
    <xf numFmtId="3" fontId="0" fillId="16" borderId="0" xfId="0" applyNumberFormat="1" applyFill="1" applyAlignment="1">
      <alignment horizontal="center"/>
    </xf>
    <xf numFmtId="14" fontId="16" fillId="16" borderId="0" xfId="0" applyNumberFormat="1" applyFont="1" applyFill="1" applyAlignment="1">
      <alignment horizontal="center"/>
    </xf>
    <xf numFmtId="0" fontId="0" fillId="0" borderId="46" xfId="0" applyBorder="1" applyAlignment="1">
      <alignment horizontal="left" vertical="center" indent="1"/>
    </xf>
    <xf numFmtId="1" fontId="0" fillId="16" borderId="0" xfId="0" applyNumberFormat="1" applyFill="1" applyAlignment="1">
      <alignment horizontal="center"/>
    </xf>
    <xf numFmtId="0" fontId="0" fillId="14" borderId="46" xfId="0" applyFill="1" applyBorder="1" applyAlignment="1">
      <alignment vertical="center"/>
    </xf>
    <xf numFmtId="0" fontId="25" fillId="0" borderId="46" xfId="0" applyFont="1" applyBorder="1" applyAlignment="1">
      <alignment horizontal="left" vertical="center" indent="1"/>
    </xf>
    <xf numFmtId="0" fontId="25" fillId="16" borderId="0" xfId="0" applyFont="1" applyFill="1"/>
    <xf numFmtId="3" fontId="25" fillId="16" borderId="0" xfId="0" applyNumberFormat="1" applyFont="1" applyFill="1" applyAlignment="1">
      <alignment horizontal="center"/>
    </xf>
    <xf numFmtId="0" fontId="25" fillId="15" borderId="46" xfId="0" applyFont="1" applyFill="1" applyBorder="1" applyAlignment="1">
      <alignment vertical="center"/>
    </xf>
    <xf numFmtId="3" fontId="25" fillId="15" borderId="46" xfId="0" applyNumberFormat="1" applyFont="1" applyFill="1" applyBorder="1" applyAlignment="1">
      <alignment horizontal="center" vertical="center"/>
    </xf>
    <xf numFmtId="3" fontId="25" fillId="16" borderId="0" xfId="0" applyNumberFormat="1" applyFont="1" applyFill="1"/>
    <xf numFmtId="0" fontId="25" fillId="16" borderId="0" xfId="0" applyFont="1" applyFill="1" applyAlignment="1">
      <alignment horizontal="center"/>
    </xf>
    <xf numFmtId="0" fontId="25" fillId="13" borderId="46" xfId="0" applyFont="1" applyFill="1" applyBorder="1" applyAlignment="1">
      <alignment vertical="center"/>
    </xf>
    <xf numFmtId="3" fontId="25" fillId="13" borderId="46" xfId="0" applyNumberFormat="1" applyFont="1" applyFill="1" applyBorder="1" applyAlignment="1">
      <alignment horizontal="center" vertical="center"/>
    </xf>
    <xf numFmtId="0" fontId="25" fillId="14" borderId="46" xfId="0" applyFont="1" applyFill="1" applyBorder="1" applyAlignment="1">
      <alignment vertical="center"/>
    </xf>
    <xf numFmtId="3" fontId="25" fillId="14" borderId="46" xfId="0" applyNumberFormat="1" applyFont="1" applyFill="1" applyBorder="1" applyAlignment="1">
      <alignment horizontal="center" vertical="center"/>
    </xf>
    <xf numFmtId="0" fontId="15" fillId="0" borderId="48" xfId="0" applyFont="1" applyBorder="1" applyAlignment="1">
      <alignment wrapText="1"/>
    </xf>
    <xf numFmtId="0" fontId="15" fillId="0" borderId="49" xfId="0" applyFont="1" applyBorder="1" applyAlignment="1">
      <alignment wrapText="1"/>
    </xf>
    <xf numFmtId="0" fontId="15" fillId="0" borderId="50" xfId="0" applyFont="1" applyBorder="1" applyAlignment="1">
      <alignment wrapText="1"/>
    </xf>
    <xf numFmtId="1" fontId="0" fillId="0" borderId="18" xfId="0" applyNumberFormat="1" applyBorder="1" applyAlignment="1">
      <alignment horizontal="center" wrapText="1"/>
    </xf>
    <xf numFmtId="17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1" fontId="0" fillId="0" borderId="0" xfId="0" applyNumberFormat="1"/>
    <xf numFmtId="0" fontId="0" fillId="0" borderId="24" xfId="0" applyBorder="1" applyAlignment="1">
      <alignment horizontal="center" wrapText="1"/>
    </xf>
    <xf numFmtId="1" fontId="0" fillId="0" borderId="54" xfId="0" applyNumberFormat="1" applyBorder="1" applyAlignment="1">
      <alignment horizontal="center"/>
    </xf>
    <xf numFmtId="1" fontId="0" fillId="0" borderId="53" xfId="0" applyNumberFormat="1" applyBorder="1" applyAlignment="1">
      <alignment horizontal="center" wrapText="1"/>
    </xf>
    <xf numFmtId="0" fontId="17" fillId="23" borderId="0" xfId="1" applyFont="1" applyFill="1" applyAlignment="1">
      <alignment vertical="center"/>
    </xf>
    <xf numFmtId="4" fontId="17" fillId="23" borderId="0" xfId="1" applyNumberFormat="1" applyFont="1" applyFill="1" applyAlignment="1">
      <alignment horizontal="center" vertical="center"/>
    </xf>
    <xf numFmtId="49" fontId="18" fillId="0" borderId="1" xfId="3" applyNumberFormat="1" applyFont="1" applyBorder="1" applyAlignment="1">
      <alignment horizontal="left" vertical="center" wrapText="1"/>
    </xf>
    <xf numFmtId="0" fontId="18" fillId="0" borderId="1" xfId="4" applyFont="1" applyBorder="1" applyAlignment="1" applyProtection="1">
      <alignment horizontal="center" vertical="center" wrapText="1"/>
      <protection locked="0"/>
    </xf>
    <xf numFmtId="3" fontId="18" fillId="0" borderId="0" xfId="1" applyNumberFormat="1" applyFont="1" applyAlignment="1">
      <alignment horizontal="center" vertical="center"/>
    </xf>
    <xf numFmtId="0" fontId="1" fillId="0" borderId="0" xfId="5"/>
    <xf numFmtId="0" fontId="20" fillId="6" borderId="0" xfId="5" applyFont="1" applyFill="1"/>
    <xf numFmtId="14" fontId="21" fillId="6" borderId="0" xfId="5" applyNumberFormat="1" applyFont="1" applyFill="1"/>
    <xf numFmtId="0" fontId="19" fillId="5" borderId="56" xfId="5" applyFont="1" applyFill="1" applyBorder="1" applyAlignment="1">
      <alignment horizontal="center" vertical="center" wrapText="1"/>
    </xf>
    <xf numFmtId="0" fontId="22" fillId="0" borderId="57" xfId="5" applyFont="1" applyBorder="1" applyAlignment="1">
      <alignment vertical="top" wrapText="1"/>
    </xf>
    <xf numFmtId="14" fontId="22" fillId="0" borderId="57" xfId="5" applyNumberFormat="1" applyFont="1" applyBorder="1" applyAlignment="1">
      <alignment vertical="top" wrapText="1"/>
    </xf>
    <xf numFmtId="0" fontId="22" fillId="0" borderId="59" xfId="5" applyFont="1" applyBorder="1" applyAlignment="1">
      <alignment vertical="top" wrapText="1"/>
    </xf>
    <xf numFmtId="14" fontId="22" fillId="0" borderId="59" xfId="5" applyNumberFormat="1" applyFont="1" applyBorder="1" applyAlignment="1">
      <alignment vertical="top" wrapText="1"/>
    </xf>
    <xf numFmtId="0" fontId="23" fillId="8" borderId="0" xfId="5" applyFont="1" applyFill="1"/>
    <xf numFmtId="14" fontId="21" fillId="8" borderId="0" xfId="5" applyNumberFormat="1" applyFont="1" applyFill="1"/>
    <xf numFmtId="0" fontId="21" fillId="8" borderId="58" xfId="5" applyFont="1" applyFill="1" applyBorder="1" applyAlignment="1">
      <alignment horizontal="center"/>
    </xf>
    <xf numFmtId="1" fontId="21" fillId="8" borderId="58" xfId="5" applyNumberFormat="1" applyFont="1" applyFill="1" applyBorder="1" applyAlignment="1">
      <alignment horizontal="center"/>
    </xf>
    <xf numFmtId="0" fontId="19" fillId="7" borderId="56" xfId="5" applyFont="1" applyFill="1" applyBorder="1" applyAlignment="1">
      <alignment horizontal="center" vertical="center" wrapText="1"/>
    </xf>
    <xf numFmtId="1" fontId="0" fillId="0" borderId="24" xfId="0" applyNumberFormat="1" applyBorder="1" applyAlignment="1">
      <alignment horizontal="center"/>
    </xf>
    <xf numFmtId="0" fontId="22" fillId="0" borderId="59" xfId="5" applyFont="1" applyBorder="1" applyAlignment="1">
      <alignment vertical="center" wrapText="1"/>
    </xf>
    <xf numFmtId="14" fontId="22" fillId="0" borderId="59" xfId="5" applyNumberFormat="1" applyFont="1" applyBorder="1" applyAlignment="1">
      <alignment vertical="center" wrapText="1"/>
    </xf>
    <xf numFmtId="0" fontId="22" fillId="0" borderId="57" xfId="5" applyFont="1" applyBorder="1" applyAlignment="1">
      <alignment vertical="center" wrapText="1"/>
    </xf>
    <xf numFmtId="0" fontId="1" fillId="0" borderId="0" xfId="5" applyAlignment="1">
      <alignment vertical="center"/>
    </xf>
    <xf numFmtId="0" fontId="22" fillId="0" borderId="57" xfId="0" applyFont="1" applyBorder="1" applyAlignment="1">
      <alignment vertical="top" wrapText="1"/>
    </xf>
    <xf numFmtId="14" fontId="22" fillId="0" borderId="57" xfId="0" applyNumberFormat="1" applyFont="1" applyBorder="1" applyAlignment="1">
      <alignment vertical="top" wrapText="1"/>
    </xf>
    <xf numFmtId="0" fontId="22" fillId="0" borderId="59" xfId="0" applyFont="1" applyBorder="1" applyAlignment="1">
      <alignment vertical="top" wrapText="1"/>
    </xf>
    <xf numFmtId="14" fontId="22" fillId="0" borderId="59" xfId="0" applyNumberFormat="1" applyFont="1" applyBorder="1" applyAlignment="1">
      <alignment vertical="top" wrapText="1"/>
    </xf>
    <xf numFmtId="0" fontId="9" fillId="3" borderId="9" xfId="0" applyFont="1" applyFill="1" applyBorder="1" applyAlignment="1">
      <alignment horizontal="center" vertical="center"/>
    </xf>
    <xf numFmtId="0" fontId="2" fillId="0" borderId="9" xfId="0" applyFont="1" applyBorder="1"/>
    <xf numFmtId="43" fontId="0" fillId="0" borderId="0" xfId="6" applyFont="1"/>
    <xf numFmtId="43" fontId="0" fillId="0" borderId="0" xfId="0" applyNumberFormat="1"/>
    <xf numFmtId="0" fontId="1" fillId="0" borderId="0" xfId="0" applyFont="1"/>
    <xf numFmtId="0" fontId="4" fillId="0" borderId="0" xfId="0" applyFont="1" applyAlignment="1">
      <alignment horizontal="left" vertical="center"/>
    </xf>
    <xf numFmtId="0" fontId="0" fillId="0" borderId="0" xfId="0"/>
    <xf numFmtId="0" fontId="5" fillId="2" borderId="9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4" fillId="21" borderId="10" xfId="0" applyFont="1" applyFill="1" applyBorder="1" applyAlignment="1">
      <alignment horizontal="center" vertical="center"/>
    </xf>
    <xf numFmtId="0" fontId="24" fillId="21" borderId="14" xfId="0" applyFont="1" applyFill="1" applyBorder="1" applyAlignment="1">
      <alignment horizontal="center" vertical="center"/>
    </xf>
    <xf numFmtId="0" fontId="24" fillId="21" borderId="35" xfId="0" applyFont="1" applyFill="1" applyBorder="1" applyAlignment="1">
      <alignment horizontal="center" vertical="center"/>
    </xf>
    <xf numFmtId="0" fontId="19" fillId="5" borderId="0" xfId="5" applyFont="1" applyFill="1" applyAlignment="1">
      <alignment horizontal="center" vertical="center"/>
    </xf>
    <xf numFmtId="0" fontId="19" fillId="7" borderId="0" xfId="5" applyFont="1" applyFill="1" applyAlignment="1">
      <alignment horizontal="center" vertical="center"/>
    </xf>
    <xf numFmtId="0" fontId="19" fillId="9" borderId="0" xfId="5" applyFont="1" applyFill="1" applyAlignment="1">
      <alignment horizontal="center"/>
    </xf>
  </cellXfs>
  <cellStyles count="7">
    <cellStyle name="Normal" xfId="0" builtinId="0"/>
    <cellStyle name="Normal 10" xfId="4" xr:uid="{00000000-0005-0000-0000-000001000000}"/>
    <cellStyle name="Normal 10 10" xfId="1" xr:uid="{00000000-0005-0000-0000-000002000000}"/>
    <cellStyle name="Normal 3" xfId="5" xr:uid="{7C80A04F-F605-4CCE-A63F-3076120C0650}"/>
    <cellStyle name="Normal_Licitadas" xfId="3" xr:uid="{00000000-0005-0000-0000-000003000000}"/>
    <cellStyle name="Porcentagem" xfId="2" xr:uid="{00000000-0005-0000-0000-000004000000}"/>
    <cellStyle name="Vírgula" xfId="6" builtinId="3"/>
  </cellStyles>
  <dxfs count="15">
    <dxf>
      <font>
        <color rgb="FF166534"/>
      </font>
      <fill>
        <patternFill patternType="solid">
          <bgColor rgb="FFE8F5EE"/>
        </patternFill>
      </fill>
    </dxf>
    <dxf>
      <font>
        <color rgb="FF9F1239"/>
      </font>
      <fill>
        <patternFill patternType="solid">
          <bgColor rgb="FFFDE7EA"/>
        </patternFill>
      </fill>
    </dxf>
    <dxf>
      <font>
        <color rgb="FF166534"/>
      </font>
      <fill>
        <patternFill patternType="solid">
          <bgColor rgb="FFE8F5EE"/>
        </patternFill>
      </fill>
    </dxf>
    <dxf>
      <font>
        <color rgb="FF9F1239"/>
      </font>
      <fill>
        <patternFill patternType="solid">
          <bgColor rgb="FFFDE7EA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72033"/>
        <name val="Aptos Narrow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72033"/>
        <name val="Aptos Narrow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72033"/>
        <name val="Aptos Narrow"/>
        <family val="2"/>
        <scheme val="none"/>
      </font>
      <numFmt numFmtId="19" formatCode="dd/mm/yyyy"/>
      <alignment horizontal="general" vertical="top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72033"/>
        <name val="Aptos Narrow"/>
        <family val="2"/>
        <scheme val="none"/>
      </font>
      <numFmt numFmtId="19" formatCode="dd/mm/yyyy"/>
      <alignment horizontal="general" vertical="top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72033"/>
        <name val="Aptos Narrow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72033"/>
        <name val="Aptos Narrow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72033"/>
        <name val="Aptos Narrow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72033"/>
        <name val="Aptos Narrow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8DEE8"/>
        </left>
        <right style="thin">
          <color rgb="FFD8DEE8"/>
        </right>
        <top style="thin">
          <color rgb="FFD8DEE8"/>
        </top>
        <bottom style="thin">
          <color rgb="FFD8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72033"/>
        <name val="Aptos Narrow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88888"/>
      <rgbColor rgb="FF9999FF"/>
      <rgbColor rgb="FF993366"/>
      <rgbColor rgb="FFFFF2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A6CAEC"/>
      <rgbColor rgb="FFFF99CC"/>
      <rgbColor rgb="FFCC99FF"/>
      <rgbColor rgb="FFFFCC99"/>
      <rgbColor rgb="FF3366FF"/>
      <rgbColor rgb="FF84E291"/>
      <rgbColor rgb="FF99CC00"/>
      <rgbColor rgb="FFFFC0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11</xdr:col>
      <xdr:colOff>9525</xdr:colOff>
      <xdr:row>61</xdr:row>
      <xdr:rowOff>0</xdr:rowOff>
    </xdr:to>
    <xdr:sp macro="" textlink="">
      <xdr:nvSpPr>
        <xdr:cNvPr id="1043" name="Text Box 19" hidden="1">
          <a:extLst>
            <a:ext uri="{FF2B5EF4-FFF2-40B4-BE49-F238E27FC236}">
              <a16:creationId xmlns:a16="http://schemas.microsoft.com/office/drawing/2014/main" id="{1415B296-9572-573F-E84A-BB5476CFFCE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11</xdr:col>
      <xdr:colOff>9525</xdr:colOff>
      <xdr:row>61</xdr:row>
      <xdr:rowOff>0</xdr:rowOff>
    </xdr:to>
    <xdr:sp macro="" textlink="">
      <xdr:nvSpPr>
        <xdr:cNvPr id="2" name="AutoShape 19">
          <a:extLst>
            <a:ext uri="{FF2B5EF4-FFF2-40B4-BE49-F238E27FC236}">
              <a16:creationId xmlns:a16="http://schemas.microsoft.com/office/drawing/2014/main" id="{C65E4DC9-BCFF-F591-53B5-CEA2AB50AB3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engtv\Downloads\Modelo%20Acompanhamento%20Super%20-%20FINAL%20RPP.xlsx" TargetMode="External"/><Relationship Id="rId2" Type="http://schemas.microsoft.com/office/2019/04/relationships/externalLinkLongPath" Target="Modelo%20Acompanhamento%20Super%20-%20FINAL%20RPP.xlsx?F2E31B3E" TargetMode="External"/><Relationship Id="rId1" Type="http://schemas.openxmlformats.org/officeDocument/2006/relationships/externalLinkPath" Target="file:///\\F2E31B3E\Modelo%20Acompanhamento%20Super%20-%20FINAL%20RP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81044126\Downloads\Modelo%20Acompanhamento%20Super2%20-%20FINAL.xlsx" TargetMode="External"/><Relationship Id="rId1" Type="http://schemas.openxmlformats.org/officeDocument/2006/relationships/externalLinkPath" Target="file:///C:\Users\81044126\Downloads\Modelo%20Acompanhamento%20Super2%20-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ENTRADA"/>
      <sheetName val="CURVAS"/>
      <sheetName val="HISTOGRAMA"/>
      <sheetName val="SERVIÇOS NOTÁVEIS"/>
      <sheetName val="PRODUÇÃO"/>
      <sheetName val="LASTRO"/>
      <sheetName val="MATERIAIS"/>
      <sheetName val="PONTOS DE ATENÇÃO"/>
      <sheetName val="PLANO DE AÇÃO"/>
    </sheetNames>
    <sheetDataSet>
      <sheetData sheetId="0"/>
      <sheetData sheetId="1">
        <row r="20">
          <cell r="B20">
            <v>45992</v>
          </cell>
        </row>
      </sheetData>
      <sheetData sheetId="2">
        <row r="1">
          <cell r="A1" t="str">
            <v>Mão de obra direta</v>
          </cell>
        </row>
        <row r="33">
          <cell r="C33">
            <v>5</v>
          </cell>
          <cell r="E33">
            <v>89</v>
          </cell>
          <cell r="G33">
            <v>127</v>
          </cell>
          <cell r="I33">
            <v>150</v>
          </cell>
          <cell r="K33">
            <v>144</v>
          </cell>
          <cell r="M33">
            <v>194</v>
          </cell>
          <cell r="O33">
            <v>198</v>
          </cell>
        </row>
        <row r="79">
          <cell r="C79">
            <v>4</v>
          </cell>
          <cell r="E79">
            <v>34</v>
          </cell>
          <cell r="G79">
            <v>56</v>
          </cell>
          <cell r="I79">
            <v>64</v>
          </cell>
          <cell r="K79">
            <v>72</v>
          </cell>
          <cell r="M79">
            <v>84</v>
          </cell>
          <cell r="O79">
            <v>88</v>
          </cell>
          <cell r="Q79">
            <v>102</v>
          </cell>
        </row>
        <row r="90">
          <cell r="C90">
            <v>0</v>
          </cell>
          <cell r="E90">
            <v>13</v>
          </cell>
          <cell r="G90">
            <v>25</v>
          </cell>
          <cell r="I90">
            <v>25</v>
          </cell>
          <cell r="K90">
            <v>38</v>
          </cell>
          <cell r="M90">
            <v>41</v>
          </cell>
          <cell r="O90">
            <v>42</v>
          </cell>
          <cell r="Q90">
            <v>47</v>
          </cell>
        </row>
        <row r="116">
          <cell r="C116">
            <v>1</v>
          </cell>
          <cell r="E116">
            <v>11</v>
          </cell>
          <cell r="G116">
            <v>17</v>
          </cell>
          <cell r="I116">
            <v>21</v>
          </cell>
          <cell r="K116">
            <v>26</v>
          </cell>
          <cell r="M116">
            <v>32</v>
          </cell>
          <cell r="O116">
            <v>38</v>
          </cell>
          <cell r="Q116">
            <v>44</v>
          </cell>
        </row>
      </sheetData>
      <sheetData sheetId="3"/>
      <sheetData sheetId="4"/>
      <sheetData sheetId="5">
        <row r="2">
          <cell r="D2">
            <v>106810.56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TRADA"/>
      <sheetName val="CURVAS"/>
      <sheetName val="HISTOGRAMA"/>
      <sheetName val="SERVIÇOS NOTÁVEIS"/>
      <sheetName val="LASTRO"/>
      <sheetName val="MATERIAIS"/>
      <sheetName val="PONTOS DE ATENÇÃO"/>
      <sheetName val="PLANO DE AÇÃO"/>
      <sheetName val="Modelo Acompanhamento Super2 -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E1C5DE-E60F-4B52-83DB-2EAF2A7012D1}" name="PontosAtencaoTable3" displayName="PontosAtencaoTable3" ref="A4:G25" totalsRowShown="0">
  <tableColumns count="7">
    <tableColumn id="1" xr3:uid="{2CFA9708-2C84-480A-A903-34F9BF350A48}" name="Tema"/>
    <tableColumn id="2" xr3:uid="{AB527540-4467-4D15-BA40-0D9848C9CFCB}" name="Ponto de atenção"/>
    <tableColumn id="3" xr3:uid="{80F70679-9731-41C2-B8A9-2316CF506583}" name="Encaminhamento"/>
    <tableColumn id="4" xr3:uid="{E0791C72-7336-4645-A188-3AF62F71C37C}" name="Responsável"/>
    <tableColumn id="5" xr3:uid="{FA748AC9-3E08-4432-A941-428BB1D4F1B3}" name="Prazo"/>
    <tableColumn id="6" xr3:uid="{045AF25D-D293-4EA6-8D8E-0A6B731BA325}" name="Status"/>
    <tableColumn id="7" xr3:uid="{DEDEEA78-51D8-403F-9FE0-4F78281177E4}" name="Observaçõ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9330B0-7C37-43AA-A2E0-5D85DD506F88}" name="PlanoAcaoCoordTable45" displayName="PlanoAcaoCoordTable45" ref="A4:H29" totalsRowShown="0" dataDxfId="14">
  <tableColumns count="8">
    <tableColumn id="1" xr3:uid="{461EAD2B-C447-40DC-A61A-78BC48232585}" name="Tema" dataDxfId="13"/>
    <tableColumn id="2" xr3:uid="{A81E58EA-CDBC-4A43-ACD5-DE8B74F4B5D8}" name="Contexto" dataDxfId="12"/>
    <tableColumn id="3" xr3:uid="{50CCBDD6-4C32-4B7E-981B-B26A19C5C6D9}" name="Ações / Histórico" dataDxfId="11"/>
    <tableColumn id="4" xr3:uid="{047DCFDC-B55F-4458-9AB6-1E9C20E51768}" name="Status" dataDxfId="10"/>
    <tableColumn id="5" xr3:uid="{80BA55E3-F7FE-4AD6-9248-B824024A9259}" name="Data da atualização" dataDxfId="9"/>
    <tableColumn id="6" xr3:uid="{C3CDA50F-3B56-4F3A-AC85-F3DBE81FB416}" name="Data limite" dataDxfId="8"/>
    <tableColumn id="7" xr3:uid="{832E50D8-3B8D-4E5F-9BCD-47F68D139759}" name="Responsável" dataDxfId="7"/>
    <tableColumn id="8" xr3:uid="{A09EB21F-CEB0-40C9-9A9E-1D3F2EF7FCBB}" name="Observações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9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BF640D4-58C9-4553-B599-8999B690ECE8}">
  <we:reference id="wa200009404" version="1.0.0.8" store="pt-BR" storeType="OMEX"/>
  <we:alternateReferences>
    <we:reference id="wa200009404" version="1.0.0.8" store="" storeType="OMEX"/>
  </we:alternateReferences>
  <we:properties>
    <we:property name="claude.fileId" value="&quot;4158c485-fb97-4791-8b53-13fad1bd4cc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61"/>
  <sheetViews>
    <sheetView showGridLines="0" tabSelected="1" topLeftCell="A10" workbookViewId="0">
      <pane xSplit="2" ySplit="4" topLeftCell="C14" activePane="bottomRight" state="frozen"/>
      <selection activeCell="A10" sqref="A10"/>
      <selection pane="topRight" activeCell="C10" sqref="C10"/>
      <selection pane="bottomLeft" activeCell="A14" sqref="A14"/>
      <selection pane="bottomRight" activeCell="C11" sqref="C11"/>
    </sheetView>
  </sheetViews>
  <sheetFormatPr defaultColWidth="8.5703125" defaultRowHeight="15" x14ac:dyDescent="0.25"/>
  <cols>
    <col min="1" max="1" width="3" customWidth="1"/>
    <col min="2" max="2" width="30" customWidth="1"/>
    <col min="3" max="5" width="22.42578125" customWidth="1"/>
    <col min="6" max="6" width="22.42578125" style="4" customWidth="1"/>
    <col min="7" max="12" width="22.42578125" customWidth="1"/>
    <col min="13" max="19" width="22.140625" customWidth="1"/>
    <col min="20" max="20" width="19.85546875" customWidth="1"/>
    <col min="21" max="22" width="16.7109375" customWidth="1"/>
  </cols>
  <sheetData>
    <row r="1" spans="2:22" hidden="1" x14ac:dyDescent="0.25"/>
    <row r="2" spans="2:22" ht="21.75" hidden="1" customHeight="1" x14ac:dyDescent="0.25">
      <c r="B2" s="196" t="s">
        <v>0</v>
      </c>
      <c r="C2" s="197"/>
      <c r="D2" s="197"/>
      <c r="E2" s="197"/>
      <c r="F2" s="197"/>
      <c r="G2" s="197"/>
    </row>
    <row r="3" spans="2:22" ht="15" hidden="1" customHeight="1" x14ac:dyDescent="0.25">
      <c r="B3" s="198" t="s">
        <v>1</v>
      </c>
      <c r="C3" s="199"/>
      <c r="D3" s="199"/>
      <c r="E3" s="199"/>
      <c r="F3" s="199"/>
      <c r="G3" s="200"/>
    </row>
    <row r="4" spans="2:22" ht="15" hidden="1" customHeight="1" x14ac:dyDescent="0.25">
      <c r="B4" s="201"/>
      <c r="C4" s="197"/>
      <c r="D4" s="197"/>
      <c r="E4" s="197"/>
      <c r="F4" s="197"/>
      <c r="G4" s="202"/>
    </row>
    <row r="5" spans="2:22" ht="15" hidden="1" customHeight="1" x14ac:dyDescent="0.25">
      <c r="B5" s="201"/>
      <c r="C5" s="197"/>
      <c r="D5" s="197"/>
      <c r="E5" s="197"/>
      <c r="F5" s="197"/>
      <c r="G5" s="202"/>
    </row>
    <row r="6" spans="2:22" ht="15" hidden="1" customHeight="1" x14ac:dyDescent="0.25">
      <c r="B6" s="201"/>
      <c r="C6" s="197"/>
      <c r="D6" s="197"/>
      <c r="E6" s="197"/>
      <c r="F6" s="197"/>
      <c r="G6" s="202"/>
    </row>
    <row r="7" spans="2:22" ht="15" hidden="1" customHeight="1" x14ac:dyDescent="0.25">
      <c r="B7" s="203"/>
      <c r="C7" s="204"/>
      <c r="D7" s="204"/>
      <c r="E7" s="204"/>
      <c r="F7" s="204"/>
      <c r="G7" s="205"/>
    </row>
    <row r="8" spans="2:22" hidden="1" x14ac:dyDescent="0.25"/>
    <row r="9" spans="2:22" ht="15" customHeight="1" x14ac:dyDescent="0.25">
      <c r="B9" s="1" t="s">
        <v>2</v>
      </c>
    </row>
    <row r="10" spans="2:22" ht="15" customHeight="1" x14ac:dyDescent="0.25">
      <c r="B10" s="2" t="s">
        <v>3</v>
      </c>
      <c r="C10" s="80">
        <v>46312</v>
      </c>
    </row>
    <row r="12" spans="2:22" ht="15" customHeight="1" x14ac:dyDescent="0.25">
      <c r="B12" s="1" t="s">
        <v>4</v>
      </c>
    </row>
    <row r="13" spans="2:22" ht="15" customHeight="1" x14ac:dyDescent="0.25">
      <c r="B13" s="73" t="s">
        <v>5</v>
      </c>
      <c r="C13" s="74" t="s">
        <v>6</v>
      </c>
      <c r="D13" s="75" t="s">
        <v>7</v>
      </c>
      <c r="E13" s="76" t="s">
        <v>6</v>
      </c>
      <c r="F13" s="75" t="s">
        <v>7</v>
      </c>
      <c r="G13" s="76" t="s">
        <v>6</v>
      </c>
      <c r="H13" s="75" t="s">
        <v>7</v>
      </c>
      <c r="I13" s="76" t="s">
        <v>6</v>
      </c>
      <c r="J13" s="75" t="s">
        <v>7</v>
      </c>
      <c r="K13" s="76" t="s">
        <v>6</v>
      </c>
      <c r="L13" s="75" t="s">
        <v>7</v>
      </c>
      <c r="M13" s="76" t="s">
        <v>6</v>
      </c>
      <c r="N13" s="75" t="s">
        <v>7</v>
      </c>
      <c r="O13" s="76" t="s">
        <v>6</v>
      </c>
      <c r="P13" s="75" t="s">
        <v>7</v>
      </c>
      <c r="Q13" s="76" t="s">
        <v>6</v>
      </c>
      <c r="R13" s="75" t="s">
        <v>7</v>
      </c>
      <c r="S13" s="76" t="s">
        <v>6</v>
      </c>
      <c r="T13" s="75" t="s">
        <v>7</v>
      </c>
      <c r="U13" s="76" t="s">
        <v>6</v>
      </c>
      <c r="V13" s="75" t="s">
        <v>7</v>
      </c>
    </row>
    <row r="14" spans="2:22" ht="15" customHeight="1" x14ac:dyDescent="0.25">
      <c r="B14" s="77" t="s">
        <v>8</v>
      </c>
      <c r="C14" s="78">
        <v>71220</v>
      </c>
      <c r="D14" s="79">
        <v>96640</v>
      </c>
      <c r="E14" s="78">
        <v>97180</v>
      </c>
      <c r="F14" s="79">
        <v>98340</v>
      </c>
      <c r="G14" s="78">
        <v>102460</v>
      </c>
      <c r="H14" s="79">
        <v>104400</v>
      </c>
      <c r="I14" s="78">
        <v>98840</v>
      </c>
      <c r="J14" s="79">
        <v>99500</v>
      </c>
      <c r="K14" s="78">
        <v>100086</v>
      </c>
      <c r="L14" s="79">
        <v>100292</v>
      </c>
      <c r="M14" s="78">
        <v>105010</v>
      </c>
      <c r="N14" s="79">
        <v>105184</v>
      </c>
      <c r="O14" s="78">
        <v>108670</v>
      </c>
      <c r="P14" s="79">
        <v>108940</v>
      </c>
      <c r="Q14" s="78"/>
      <c r="R14" s="79"/>
      <c r="S14" s="78"/>
      <c r="T14" s="79"/>
      <c r="U14" s="78"/>
      <c r="V14" s="79"/>
    </row>
    <row r="15" spans="2:22" ht="15" customHeight="1" x14ac:dyDescent="0.25">
      <c r="B15" s="77" t="s">
        <v>9</v>
      </c>
      <c r="C15" s="78">
        <v>0</v>
      </c>
      <c r="D15" s="79">
        <v>110800</v>
      </c>
      <c r="E15" s="78"/>
      <c r="F15" s="79"/>
      <c r="G15" s="78"/>
      <c r="H15" s="79"/>
      <c r="I15" s="78"/>
      <c r="J15" s="79"/>
      <c r="K15" s="78"/>
      <c r="L15" s="79"/>
      <c r="M15" s="78"/>
      <c r="N15" s="79"/>
      <c r="O15" s="78"/>
      <c r="P15" s="79"/>
      <c r="Q15" s="78"/>
      <c r="R15" s="79"/>
      <c r="S15" s="78"/>
      <c r="T15" s="79"/>
      <c r="U15" s="78"/>
      <c r="V15" s="79"/>
    </row>
    <row r="16" spans="2:22" ht="15" customHeight="1" x14ac:dyDescent="0.25">
      <c r="B16" s="77" t="s">
        <v>10</v>
      </c>
      <c r="C16" s="78">
        <v>0</v>
      </c>
      <c r="D16" s="79">
        <v>100960</v>
      </c>
      <c r="E16" s="78"/>
      <c r="F16" s="79"/>
      <c r="G16" s="78"/>
      <c r="H16" s="79"/>
      <c r="I16" s="78"/>
      <c r="J16" s="79"/>
      <c r="K16" s="78"/>
      <c r="L16" s="79"/>
      <c r="M16" s="78"/>
      <c r="N16" s="79"/>
      <c r="O16" s="78"/>
      <c r="P16" s="79"/>
      <c r="Q16" s="78"/>
      <c r="R16" s="79"/>
      <c r="S16" s="78"/>
      <c r="T16" s="79"/>
      <c r="U16" s="78"/>
      <c r="V16" s="79"/>
    </row>
    <row r="17" spans="2:22" ht="15" customHeight="1" x14ac:dyDescent="0.25">
      <c r="B17" s="77" t="s">
        <v>11</v>
      </c>
      <c r="C17" s="78">
        <v>0</v>
      </c>
      <c r="D17" s="79">
        <v>100960</v>
      </c>
      <c r="E17" s="78"/>
      <c r="F17" s="79"/>
      <c r="G17" s="78"/>
      <c r="H17" s="79"/>
      <c r="I17" s="78"/>
      <c r="J17" s="79"/>
      <c r="K17" s="78"/>
      <c r="L17" s="79"/>
      <c r="M17" s="78"/>
      <c r="N17" s="79"/>
      <c r="O17" s="78"/>
      <c r="P17" s="79"/>
      <c r="Q17" s="78"/>
      <c r="R17" s="79"/>
      <c r="S17" s="78"/>
      <c r="T17" s="79"/>
      <c r="U17" s="78"/>
      <c r="V17" s="79"/>
    </row>
    <row r="18" spans="2:22" ht="15" customHeight="1" x14ac:dyDescent="0.25">
      <c r="B18" s="77" t="s">
        <v>12</v>
      </c>
      <c r="C18" s="78">
        <v>0</v>
      </c>
      <c r="D18" s="79">
        <v>80880</v>
      </c>
      <c r="E18" s="78">
        <v>58560</v>
      </c>
      <c r="F18" s="79">
        <v>78560</v>
      </c>
      <c r="G18" s="78">
        <v>83420</v>
      </c>
      <c r="H18" s="79">
        <v>85220</v>
      </c>
      <c r="I18" s="78">
        <v>65400</v>
      </c>
      <c r="J18" s="79">
        <v>78560</v>
      </c>
      <c r="K18" s="78">
        <v>82200</v>
      </c>
      <c r="L18" s="79">
        <v>82860</v>
      </c>
      <c r="M18" s="78">
        <v>85400</v>
      </c>
      <c r="N18" s="79">
        <v>86970</v>
      </c>
      <c r="O18" s="78">
        <v>93700</v>
      </c>
      <c r="P18" s="79">
        <v>100900</v>
      </c>
      <c r="Q18" s="78"/>
      <c r="R18" s="79"/>
      <c r="S18" s="78"/>
      <c r="T18" s="79"/>
      <c r="U18" s="78"/>
      <c r="V18" s="79"/>
    </row>
    <row r="19" spans="2:22" ht="15" customHeight="1" x14ac:dyDescent="0.25">
      <c r="B19" s="77" t="s">
        <v>13</v>
      </c>
      <c r="C19" s="78">
        <v>0</v>
      </c>
      <c r="D19" s="79">
        <v>54250</v>
      </c>
      <c r="E19" s="78">
        <v>57320</v>
      </c>
      <c r="F19" s="79">
        <v>59880</v>
      </c>
      <c r="G19" s="78">
        <v>61900</v>
      </c>
      <c r="H19" s="79">
        <v>66270</v>
      </c>
      <c r="I19" s="78"/>
      <c r="J19" s="79"/>
      <c r="K19" s="78"/>
      <c r="L19" s="79"/>
      <c r="M19" s="78"/>
      <c r="N19" s="79"/>
      <c r="O19" s="78"/>
      <c r="P19" s="79"/>
      <c r="Q19" s="78"/>
      <c r="R19" s="79"/>
      <c r="S19" s="78"/>
      <c r="T19" s="79"/>
      <c r="U19" s="78"/>
      <c r="V19" s="79"/>
    </row>
    <row r="20" spans="2:22" ht="15" customHeight="1" x14ac:dyDescent="0.25">
      <c r="B20" s="77" t="s">
        <v>14</v>
      </c>
      <c r="C20" s="78">
        <v>0</v>
      </c>
      <c r="D20" s="79">
        <v>21600</v>
      </c>
      <c r="E20" s="78">
        <v>23000</v>
      </c>
      <c r="F20" s="79">
        <v>55400</v>
      </c>
      <c r="G20" s="78">
        <v>60000</v>
      </c>
      <c r="H20" s="79">
        <v>71000</v>
      </c>
      <c r="I20" s="78">
        <v>71775</v>
      </c>
      <c r="J20" s="79">
        <v>75100</v>
      </c>
      <c r="K20" s="78">
        <v>77000</v>
      </c>
      <c r="L20" s="79">
        <v>77400</v>
      </c>
      <c r="M20" s="78">
        <v>57660</v>
      </c>
      <c r="N20" s="79">
        <v>58440</v>
      </c>
      <c r="O20" s="78"/>
      <c r="P20" s="79"/>
      <c r="Q20" s="78"/>
      <c r="R20" s="79"/>
      <c r="S20" s="78"/>
      <c r="T20" s="79"/>
      <c r="U20" s="78"/>
      <c r="V20" s="79"/>
    </row>
    <row r="21" spans="2:22" ht="15" customHeight="1" x14ac:dyDescent="0.25">
      <c r="B21" s="77" t="s">
        <v>15</v>
      </c>
      <c r="C21" s="78">
        <v>0</v>
      </c>
      <c r="D21" s="79">
        <v>21600</v>
      </c>
      <c r="E21" s="78">
        <v>23000</v>
      </c>
      <c r="F21" s="79">
        <v>33700</v>
      </c>
      <c r="G21" s="78">
        <v>35000</v>
      </c>
      <c r="H21" s="79">
        <v>40000</v>
      </c>
      <c r="I21" s="78">
        <v>40120</v>
      </c>
      <c r="J21" s="79">
        <v>45680</v>
      </c>
      <c r="K21" s="78">
        <v>71775</v>
      </c>
      <c r="L21" s="79">
        <v>71940</v>
      </c>
      <c r="M21" s="78">
        <v>47030</v>
      </c>
      <c r="N21" s="79">
        <v>50000</v>
      </c>
      <c r="O21" s="78">
        <v>60000</v>
      </c>
      <c r="P21" s="79">
        <v>61700</v>
      </c>
      <c r="Q21" s="78">
        <v>50040</v>
      </c>
      <c r="R21" s="79">
        <v>57660</v>
      </c>
      <c r="S21" s="78">
        <v>58560</v>
      </c>
      <c r="T21" s="79">
        <v>59860</v>
      </c>
      <c r="U21" s="78">
        <v>61950</v>
      </c>
      <c r="V21" s="79">
        <v>62200</v>
      </c>
    </row>
    <row r="22" spans="2:22" ht="15" customHeight="1" x14ac:dyDescent="0.25">
      <c r="B22" s="77" t="s">
        <v>16</v>
      </c>
      <c r="C22" s="78">
        <v>0</v>
      </c>
      <c r="D22" s="79">
        <v>47000</v>
      </c>
      <c r="E22" s="78"/>
      <c r="F22" s="79"/>
      <c r="G22" s="78"/>
      <c r="H22" s="79"/>
      <c r="I22" s="78"/>
      <c r="J22" s="79"/>
      <c r="K22" s="78"/>
      <c r="L22" s="79"/>
      <c r="M22" s="78"/>
      <c r="N22" s="79"/>
      <c r="O22" s="78"/>
      <c r="P22" s="79"/>
      <c r="Q22" s="78"/>
      <c r="R22" s="79"/>
      <c r="S22" s="78"/>
      <c r="T22" s="79"/>
      <c r="U22" s="78"/>
      <c r="V22" s="79"/>
    </row>
    <row r="23" spans="2:22" ht="15" customHeight="1" x14ac:dyDescent="0.25">
      <c r="B23" s="77" t="s">
        <v>17</v>
      </c>
      <c r="C23" s="78">
        <v>0</v>
      </c>
      <c r="D23" s="79">
        <f>D21</f>
        <v>21600</v>
      </c>
      <c r="E23" s="78">
        <v>23000</v>
      </c>
      <c r="F23" s="79">
        <v>33900</v>
      </c>
      <c r="G23" s="78">
        <v>34980</v>
      </c>
      <c r="H23" s="79">
        <v>36700</v>
      </c>
      <c r="I23" s="78">
        <v>38340</v>
      </c>
      <c r="J23" s="79">
        <v>40060</v>
      </c>
      <c r="K23" s="78">
        <v>40100</v>
      </c>
      <c r="L23" s="79">
        <v>50260</v>
      </c>
      <c r="M23" s="78">
        <v>50540</v>
      </c>
      <c r="N23" s="79">
        <v>52260</v>
      </c>
      <c r="O23" s="78">
        <v>60000</v>
      </c>
      <c r="P23" s="79">
        <v>61340</v>
      </c>
      <c r="Q23" s="78"/>
      <c r="R23" s="79"/>
      <c r="S23" s="78"/>
      <c r="T23" s="79"/>
      <c r="U23" s="78"/>
      <c r="V23" s="79"/>
    </row>
    <row r="24" spans="2:22" ht="15" customHeight="1" x14ac:dyDescent="0.25">
      <c r="B24" s="77" t="s">
        <v>18</v>
      </c>
      <c r="C24" s="78">
        <v>0</v>
      </c>
      <c r="D24" s="79">
        <v>18080</v>
      </c>
      <c r="E24" s="78">
        <v>34600</v>
      </c>
      <c r="F24" s="79">
        <v>45000</v>
      </c>
      <c r="G24" s="78"/>
      <c r="H24" s="79"/>
      <c r="I24" s="78"/>
      <c r="J24" s="79"/>
      <c r="K24" s="78"/>
      <c r="L24" s="79"/>
      <c r="M24" s="78"/>
      <c r="N24" s="79"/>
      <c r="O24" s="78"/>
      <c r="P24" s="79"/>
      <c r="Q24" s="78"/>
      <c r="R24" s="79"/>
      <c r="S24" s="78"/>
      <c r="T24" s="79"/>
      <c r="U24" s="78"/>
      <c r="V24" s="79"/>
    </row>
    <row r="25" spans="2:22" ht="15" customHeight="1" x14ac:dyDescent="0.25">
      <c r="B25" s="77" t="s">
        <v>19</v>
      </c>
      <c r="C25" s="78">
        <v>7000</v>
      </c>
      <c r="D25" s="79">
        <v>10700</v>
      </c>
      <c r="E25" s="78">
        <v>11100</v>
      </c>
      <c r="F25" s="79">
        <v>15160</v>
      </c>
      <c r="G25" s="78">
        <v>16000</v>
      </c>
      <c r="H25" s="79">
        <v>17200</v>
      </c>
      <c r="I25" s="78">
        <v>17360</v>
      </c>
      <c r="J25" s="79">
        <v>18040</v>
      </c>
      <c r="K25" s="78">
        <v>18540</v>
      </c>
      <c r="L25" s="79">
        <v>20000</v>
      </c>
      <c r="M25" s="78"/>
      <c r="N25" s="79"/>
      <c r="O25" s="78"/>
      <c r="P25" s="79"/>
      <c r="Q25" s="78"/>
      <c r="R25" s="79"/>
      <c r="S25" s="78"/>
      <c r="T25" s="79"/>
      <c r="U25" s="78"/>
      <c r="V25" s="79"/>
    </row>
    <row r="26" spans="2:22" ht="15" customHeight="1" x14ac:dyDescent="0.25">
      <c r="B26" s="77" t="s">
        <v>20</v>
      </c>
      <c r="C26" s="78">
        <v>8150</v>
      </c>
      <c r="D26" s="79">
        <v>8700</v>
      </c>
      <c r="E26" s="78">
        <v>34400</v>
      </c>
      <c r="F26" s="79">
        <v>35000</v>
      </c>
      <c r="G26" s="78"/>
      <c r="H26" s="79"/>
      <c r="I26" s="78"/>
      <c r="J26" s="79"/>
      <c r="K26" s="78"/>
      <c r="L26" s="79"/>
      <c r="M26" s="78"/>
      <c r="N26" s="79"/>
      <c r="O26" s="78"/>
      <c r="P26" s="79"/>
      <c r="Q26" s="78"/>
      <c r="R26" s="79"/>
      <c r="S26" s="78"/>
      <c r="T26" s="79"/>
      <c r="U26" s="78"/>
      <c r="V26" s="79"/>
    </row>
    <row r="27" spans="2:22" ht="15" customHeight="1" x14ac:dyDescent="0.25">
      <c r="B27" s="77" t="s">
        <v>21</v>
      </c>
      <c r="C27" s="78">
        <v>0</v>
      </c>
      <c r="D27" s="79">
        <v>10661</v>
      </c>
      <c r="E27" s="78">
        <v>11607</v>
      </c>
      <c r="F27" s="79">
        <v>21540</v>
      </c>
      <c r="G27" s="78">
        <v>23020</v>
      </c>
      <c r="H27" s="79">
        <v>47754</v>
      </c>
      <c r="I27" s="78"/>
      <c r="J27" s="79"/>
      <c r="K27" s="78"/>
      <c r="L27" s="79"/>
      <c r="M27" s="78"/>
      <c r="N27" s="79"/>
      <c r="O27" s="78"/>
      <c r="P27" s="79"/>
      <c r="Q27" s="78"/>
      <c r="R27" s="79"/>
      <c r="S27" s="78"/>
      <c r="T27" s="79"/>
      <c r="U27" s="78"/>
      <c r="V27" s="79"/>
    </row>
    <row r="29" spans="2:22" ht="15" customHeight="1" x14ac:dyDescent="0.25">
      <c r="B29" s="1" t="s">
        <v>22</v>
      </c>
    </row>
    <row r="30" spans="2:22" ht="15" customHeight="1" x14ac:dyDescent="0.25">
      <c r="B30" s="2" t="s">
        <v>23</v>
      </c>
      <c r="C30" s="60">
        <v>131260</v>
      </c>
    </row>
    <row r="31" spans="2:22" ht="15" customHeight="1" x14ac:dyDescent="0.25">
      <c r="B31" s="3" t="s">
        <v>24</v>
      </c>
    </row>
    <row r="32" spans="2:22" ht="15" customHeight="1" x14ac:dyDescent="0.25">
      <c r="B32" s="191" t="s">
        <v>25</v>
      </c>
      <c r="C32" s="191" t="s">
        <v>26</v>
      </c>
      <c r="D32" s="191" t="s">
        <v>27</v>
      </c>
    </row>
    <row r="33" spans="2:5" ht="15" customHeight="1" x14ac:dyDescent="0.25">
      <c r="B33" s="192" t="s">
        <v>28</v>
      </c>
      <c r="C33" s="81">
        <v>0</v>
      </c>
      <c r="D33" s="81">
        <v>106160</v>
      </c>
    </row>
    <row r="34" spans="2:5" ht="15" customHeight="1" x14ac:dyDescent="0.25">
      <c r="B34" s="192" t="s">
        <v>29</v>
      </c>
      <c r="C34" s="81">
        <v>107440</v>
      </c>
      <c r="D34" s="81">
        <v>108500</v>
      </c>
    </row>
    <row r="35" spans="2:5" ht="15" customHeight="1" x14ac:dyDescent="0.25">
      <c r="B35" s="192" t="s">
        <v>30</v>
      </c>
      <c r="C35" s="81">
        <v>109200</v>
      </c>
      <c r="D35" s="81">
        <v>110700</v>
      </c>
    </row>
    <row r="36" spans="2:5" ht="15" customHeight="1" x14ac:dyDescent="0.25">
      <c r="B36" s="192" t="s">
        <v>31</v>
      </c>
      <c r="C36" s="81">
        <v>112720</v>
      </c>
      <c r="D36" s="81">
        <v>114720</v>
      </c>
    </row>
    <row r="37" spans="2:5" ht="15" customHeight="1" x14ac:dyDescent="0.25">
      <c r="B37" s="192" t="s">
        <v>32</v>
      </c>
      <c r="C37" s="81"/>
      <c r="D37" s="81"/>
    </row>
    <row r="38" spans="2:5" ht="15" customHeight="1" x14ac:dyDescent="0.25">
      <c r="B38" s="192" t="s">
        <v>33</v>
      </c>
      <c r="C38" s="81"/>
      <c r="D38" s="81"/>
    </row>
    <row r="39" spans="2:5" ht="15" customHeight="1" x14ac:dyDescent="0.25">
      <c r="B39" s="192" t="s">
        <v>34</v>
      </c>
      <c r="C39" s="81"/>
      <c r="D39" s="81"/>
    </row>
    <row r="40" spans="2:5" ht="15" customHeight="1" x14ac:dyDescent="0.25">
      <c r="B40" s="192" t="s">
        <v>35</v>
      </c>
      <c r="C40" s="81"/>
      <c r="D40" s="81"/>
    </row>
    <row r="42" spans="2:5" x14ac:dyDescent="0.25">
      <c r="B42" s="1" t="s">
        <v>36</v>
      </c>
    </row>
    <row r="43" spans="2:5" x14ac:dyDescent="0.25">
      <c r="B43" s="3" t="s">
        <v>37</v>
      </c>
    </row>
    <row r="44" spans="2:5" x14ac:dyDescent="0.25">
      <c r="B44" s="191" t="s">
        <v>25</v>
      </c>
      <c r="C44" s="191" t="s">
        <v>26</v>
      </c>
      <c r="D44" s="191" t="s">
        <v>27</v>
      </c>
      <c r="E44" s="191" t="s">
        <v>38</v>
      </c>
    </row>
    <row r="45" spans="2:5" x14ac:dyDescent="0.25">
      <c r="B45" s="192" t="s">
        <v>28</v>
      </c>
      <c r="C45" s="60">
        <v>6820</v>
      </c>
      <c r="D45" s="60">
        <v>7540</v>
      </c>
      <c r="E45" s="60" t="s">
        <v>39</v>
      </c>
    </row>
    <row r="46" spans="2:5" x14ac:dyDescent="0.25">
      <c r="B46" s="192" t="s">
        <v>29</v>
      </c>
      <c r="C46" s="60">
        <v>7760</v>
      </c>
      <c r="D46" s="60">
        <v>8580</v>
      </c>
      <c r="E46" s="60" t="s">
        <v>39</v>
      </c>
    </row>
    <row r="47" spans="2:5" x14ac:dyDescent="0.25">
      <c r="B47" s="192" t="s">
        <v>30</v>
      </c>
      <c r="C47" s="60">
        <v>9680</v>
      </c>
      <c r="D47" s="60">
        <v>9700</v>
      </c>
      <c r="E47" s="60" t="s">
        <v>39</v>
      </c>
    </row>
    <row r="48" spans="2:5" x14ac:dyDescent="0.25">
      <c r="B48" s="192" t="s">
        <v>31</v>
      </c>
      <c r="C48" s="60">
        <v>9960</v>
      </c>
      <c r="D48" s="60">
        <v>10160</v>
      </c>
      <c r="E48" s="60" t="s">
        <v>39</v>
      </c>
    </row>
    <row r="49" spans="2:6" x14ac:dyDescent="0.25">
      <c r="B49" s="192" t="s">
        <v>32</v>
      </c>
      <c r="C49" s="60">
        <v>10780</v>
      </c>
      <c r="D49" s="60">
        <v>10980</v>
      </c>
      <c r="E49" s="60" t="s">
        <v>39</v>
      </c>
    </row>
    <row r="50" spans="2:6" x14ac:dyDescent="0.25">
      <c r="B50" s="192" t="s">
        <v>33</v>
      </c>
      <c r="C50" s="60">
        <v>11460</v>
      </c>
      <c r="D50" s="60">
        <v>11760</v>
      </c>
      <c r="E50" s="60" t="s">
        <v>39</v>
      </c>
    </row>
    <row r="51" spans="2:6" x14ac:dyDescent="0.25">
      <c r="B51" s="192" t="s">
        <v>34</v>
      </c>
      <c r="C51" s="60">
        <v>21540</v>
      </c>
      <c r="D51" s="60">
        <v>23020</v>
      </c>
      <c r="E51" s="60" t="s">
        <v>39</v>
      </c>
    </row>
    <row r="52" spans="2:6" x14ac:dyDescent="0.25">
      <c r="B52" s="192" t="s">
        <v>35</v>
      </c>
      <c r="C52" s="60">
        <v>23600</v>
      </c>
      <c r="D52" s="60">
        <v>26440</v>
      </c>
      <c r="E52" s="60" t="s">
        <v>39</v>
      </c>
    </row>
    <row r="53" spans="2:6" x14ac:dyDescent="0.25">
      <c r="B53" s="192" t="s">
        <v>40</v>
      </c>
      <c r="C53" s="60">
        <v>50280</v>
      </c>
      <c r="D53" s="60">
        <v>50630</v>
      </c>
      <c r="E53" s="60" t="s">
        <v>39</v>
      </c>
    </row>
    <row r="54" spans="2:6" x14ac:dyDescent="0.25">
      <c r="B54" s="192" t="s">
        <v>41</v>
      </c>
      <c r="C54" s="60">
        <v>53250</v>
      </c>
      <c r="D54" s="60">
        <v>53420</v>
      </c>
      <c r="E54" s="60" t="s">
        <v>39</v>
      </c>
    </row>
    <row r="55" spans="2:6" x14ac:dyDescent="0.25">
      <c r="B55" s="192" t="s">
        <v>42</v>
      </c>
      <c r="C55" s="60">
        <v>56240</v>
      </c>
      <c r="D55" s="60">
        <v>56900</v>
      </c>
      <c r="E55" s="60" t="s">
        <v>39</v>
      </c>
    </row>
    <row r="56" spans="2:6" x14ac:dyDescent="0.25">
      <c r="B56" s="192" t="s">
        <v>43</v>
      </c>
      <c r="C56" s="60">
        <v>80920</v>
      </c>
      <c r="D56" s="60">
        <v>81100</v>
      </c>
      <c r="E56" s="60" t="s">
        <v>39</v>
      </c>
      <c r="F56" s="59"/>
    </row>
    <row r="57" spans="2:6" x14ac:dyDescent="0.25">
      <c r="B57" s="192" t="s">
        <v>44</v>
      </c>
      <c r="C57" s="60">
        <v>82660</v>
      </c>
      <c r="D57" s="60">
        <v>82860</v>
      </c>
      <c r="E57" s="60" t="s">
        <v>39</v>
      </c>
    </row>
    <row r="58" spans="2:6" x14ac:dyDescent="0.25">
      <c r="B58" s="192" t="s">
        <v>45</v>
      </c>
      <c r="C58" s="60">
        <v>83580</v>
      </c>
      <c r="D58" s="60">
        <v>84000</v>
      </c>
      <c r="E58" s="60" t="s">
        <v>39</v>
      </c>
    </row>
    <row r="59" spans="2:6" x14ac:dyDescent="0.25">
      <c r="B59" s="192" t="s">
        <v>46</v>
      </c>
      <c r="C59" s="60">
        <v>84750</v>
      </c>
      <c r="D59" s="60">
        <v>85200</v>
      </c>
      <c r="E59" s="60" t="s">
        <v>39</v>
      </c>
    </row>
    <row r="60" spans="2:6" x14ac:dyDescent="0.25">
      <c r="B60" s="192" t="s">
        <v>47</v>
      </c>
      <c r="C60" s="60">
        <v>89140</v>
      </c>
      <c r="D60" s="60">
        <v>89400</v>
      </c>
      <c r="E60" s="60" t="s">
        <v>39</v>
      </c>
    </row>
    <row r="61" spans="2:6" x14ac:dyDescent="0.25">
      <c r="B61" s="192" t="s">
        <v>48</v>
      </c>
      <c r="C61" s="60">
        <v>96100</v>
      </c>
      <c r="D61" s="60">
        <v>96740</v>
      </c>
      <c r="E61" s="60"/>
    </row>
  </sheetData>
  <mergeCells count="2">
    <mergeCell ref="B2:G2"/>
    <mergeCell ref="B3:G7"/>
  </mergeCells>
  <dataValidations count="1">
    <dataValidation type="list" allowBlank="1" sqref="E45:E56" xr:uid="{61DFD415-9191-4706-9B72-C815724A869D}">
      <formula1>"C,"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37"/>
  <sheetViews>
    <sheetView topLeftCell="A25" zoomScaleNormal="100" workbookViewId="0">
      <selection activeCell="L38" sqref="L38"/>
    </sheetView>
  </sheetViews>
  <sheetFormatPr defaultRowHeight="15" outlineLevelCol="1" x14ac:dyDescent="0.25"/>
  <cols>
    <col min="1" max="1" width="27.42578125" style="7" customWidth="1"/>
    <col min="2" max="10" width="9.140625" style="7" customWidth="1" outlineLevel="1"/>
    <col min="11" max="24" width="9.140625" style="7"/>
    <col min="25" max="39" width="9.140625" style="83"/>
  </cols>
  <sheetData>
    <row r="1" spans="1:25" x14ac:dyDescent="0.25">
      <c r="A1" s="82" t="s">
        <v>49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</row>
    <row r="2" spans="1:25" x14ac:dyDescent="0.25">
      <c r="A2" s="84" t="s">
        <v>50</v>
      </c>
      <c r="B2" s="85">
        <v>45992</v>
      </c>
      <c r="C2" s="85">
        <v>46023</v>
      </c>
      <c r="D2" s="85">
        <v>46054</v>
      </c>
      <c r="E2" s="85">
        <v>46082</v>
      </c>
      <c r="F2" s="85">
        <v>46113</v>
      </c>
      <c r="G2" s="85">
        <v>46143</v>
      </c>
      <c r="H2" s="85">
        <v>46174</v>
      </c>
      <c r="I2" s="85">
        <v>46204</v>
      </c>
      <c r="J2" s="85">
        <v>46235</v>
      </c>
      <c r="K2" s="85">
        <v>46266</v>
      </c>
      <c r="L2" s="85">
        <v>46296</v>
      </c>
      <c r="M2" s="85">
        <v>46327</v>
      </c>
      <c r="N2" s="85">
        <v>46357</v>
      </c>
      <c r="O2" s="85">
        <v>46388</v>
      </c>
      <c r="P2" s="85">
        <v>46419</v>
      </c>
      <c r="Q2" s="85">
        <v>46447</v>
      </c>
      <c r="R2" s="85">
        <v>46478</v>
      </c>
      <c r="S2" s="85">
        <v>46508</v>
      </c>
      <c r="T2" s="85">
        <v>46539</v>
      </c>
      <c r="U2" s="85">
        <v>46569</v>
      </c>
      <c r="V2" s="85">
        <v>46600</v>
      </c>
      <c r="W2" s="85">
        <v>46631</v>
      </c>
      <c r="X2" s="85">
        <v>46661</v>
      </c>
    </row>
    <row r="3" spans="1:25" x14ac:dyDescent="0.25">
      <c r="A3" s="7" t="s">
        <v>51</v>
      </c>
      <c r="B3" s="61">
        <v>0</v>
      </c>
      <c r="C3" s="61">
        <v>0</v>
      </c>
      <c r="D3" s="61">
        <v>1.6999999999999999E-3</v>
      </c>
      <c r="E3" s="61">
        <v>2.7799999999999998E-2</v>
      </c>
      <c r="F3" s="61">
        <v>4.8800000000000003E-2</v>
      </c>
      <c r="G3" s="61">
        <v>5.9200000000000003E-2</v>
      </c>
      <c r="H3" s="61">
        <v>6.2700000000000006E-2</v>
      </c>
      <c r="I3" s="61">
        <v>7.2900000000000006E-2</v>
      </c>
      <c r="J3" s="61">
        <v>7.1499999999999994E-2</v>
      </c>
      <c r="K3" s="61">
        <v>8.2600000000000007E-2</v>
      </c>
      <c r="L3" s="61">
        <v>3.6700000000000003E-2</v>
      </c>
      <c r="M3" s="61">
        <v>4.3799999999999999E-2</v>
      </c>
      <c r="N3" s="61">
        <v>3.7400000000000003E-2</v>
      </c>
      <c r="O3" s="61">
        <v>5.45E-2</v>
      </c>
      <c r="P3" s="61">
        <v>4.6600000000000003E-2</v>
      </c>
      <c r="Q3" s="61">
        <v>6.1699999999999998E-2</v>
      </c>
      <c r="R3" s="61">
        <v>6.2E-2</v>
      </c>
      <c r="S3" s="61">
        <v>5.6300000000000003E-2</v>
      </c>
      <c r="T3" s="61">
        <v>6.3299999999999995E-2</v>
      </c>
      <c r="U3" s="61">
        <v>6.2399999999999997E-2</v>
      </c>
      <c r="V3" s="61">
        <v>4.3499999999999997E-2</v>
      </c>
      <c r="W3" s="61">
        <v>4.5999999999999999E-3</v>
      </c>
      <c r="X3" s="61">
        <v>0</v>
      </c>
    </row>
    <row r="4" spans="1:25" x14ac:dyDescent="0.25">
      <c r="A4" s="7" t="s">
        <v>52</v>
      </c>
      <c r="B4" s="61">
        <f>B3</f>
        <v>0</v>
      </c>
      <c r="C4" s="61">
        <f>C3+B4</f>
        <v>0</v>
      </c>
      <c r="D4" s="61">
        <f t="shared" ref="D4:X4" si="0">D3+C4</f>
        <v>1.6999999999999999E-3</v>
      </c>
      <c r="E4" s="61">
        <f t="shared" si="0"/>
        <v>2.9499999999999998E-2</v>
      </c>
      <c r="F4" s="61">
        <f t="shared" si="0"/>
        <v>7.8300000000000008E-2</v>
      </c>
      <c r="G4" s="61">
        <f t="shared" si="0"/>
        <v>0.13750000000000001</v>
      </c>
      <c r="H4" s="61">
        <f t="shared" si="0"/>
        <v>0.20020000000000002</v>
      </c>
      <c r="I4" s="61">
        <f t="shared" si="0"/>
        <v>0.27310000000000001</v>
      </c>
      <c r="J4" s="61">
        <f t="shared" si="0"/>
        <v>0.34460000000000002</v>
      </c>
      <c r="K4" s="61">
        <f t="shared" si="0"/>
        <v>0.42720000000000002</v>
      </c>
      <c r="L4" s="61">
        <f t="shared" si="0"/>
        <v>0.46390000000000003</v>
      </c>
      <c r="M4" s="61">
        <f t="shared" si="0"/>
        <v>0.50770000000000004</v>
      </c>
      <c r="N4" s="61">
        <f t="shared" si="0"/>
        <v>0.54510000000000003</v>
      </c>
      <c r="O4" s="61">
        <f t="shared" si="0"/>
        <v>0.59960000000000002</v>
      </c>
      <c r="P4" s="61">
        <f t="shared" si="0"/>
        <v>0.6462</v>
      </c>
      <c r="Q4" s="61">
        <f t="shared" si="0"/>
        <v>0.70789999999999997</v>
      </c>
      <c r="R4" s="61">
        <f t="shared" si="0"/>
        <v>0.76990000000000003</v>
      </c>
      <c r="S4" s="61">
        <f t="shared" si="0"/>
        <v>0.82620000000000005</v>
      </c>
      <c r="T4" s="61">
        <f t="shared" si="0"/>
        <v>0.88950000000000007</v>
      </c>
      <c r="U4" s="61">
        <f t="shared" si="0"/>
        <v>0.95190000000000008</v>
      </c>
      <c r="V4" s="61">
        <f t="shared" si="0"/>
        <v>0.99540000000000006</v>
      </c>
      <c r="W4" s="61">
        <f t="shared" si="0"/>
        <v>1</v>
      </c>
      <c r="X4" s="61">
        <f t="shared" si="0"/>
        <v>1</v>
      </c>
    </row>
    <row r="5" spans="1:25" x14ac:dyDescent="0.25">
      <c r="A5" s="7" t="s">
        <v>53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2">
        <v>5.9927423404253916E-2</v>
      </c>
      <c r="M5" s="62">
        <f t="shared" ref="M5:X5" si="1">M6-L6</f>
        <v>8.0760796683505109E-2</v>
      </c>
      <c r="N5" s="62">
        <f t="shared" si="1"/>
        <v>5.7544614609517597E-2</v>
      </c>
      <c r="O5" s="62">
        <f t="shared" si="1"/>
        <v>5.7556545481491084E-2</v>
      </c>
      <c r="P5" s="62">
        <f t="shared" si="1"/>
        <v>5.5648513874657857E-2</v>
      </c>
      <c r="Q5" s="62">
        <f t="shared" si="1"/>
        <v>6.5950744922580129E-2</v>
      </c>
      <c r="R5" s="62">
        <f t="shared" si="1"/>
        <v>6.4162942140209567E-2</v>
      </c>
      <c r="S5" s="62">
        <f t="shared" si="1"/>
        <v>6.6605864908650725E-2</v>
      </c>
      <c r="T5" s="62">
        <f t="shared" si="1"/>
        <v>7.5634717087211367E-2</v>
      </c>
      <c r="U5" s="62">
        <f t="shared" si="1"/>
        <v>6.3685692355299861E-2</v>
      </c>
      <c r="V5" s="62">
        <f t="shared" si="1"/>
        <v>5.797165093240042E-2</v>
      </c>
      <c r="W5" s="62">
        <f t="shared" si="1"/>
        <v>5.8422499538519745E-2</v>
      </c>
      <c r="X5" s="62">
        <f t="shared" si="1"/>
        <v>4.8980331980249536E-3</v>
      </c>
    </row>
    <row r="6" spans="1:25" x14ac:dyDescent="0.25">
      <c r="A6" s="7" t="s">
        <v>54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2">
        <v>0.29115738426793158</v>
      </c>
      <c r="M6" s="62">
        <v>0.37191818095143669</v>
      </c>
      <c r="N6" s="62">
        <v>0.42946279556095429</v>
      </c>
      <c r="O6" s="62">
        <v>0.48701934104244538</v>
      </c>
      <c r="P6" s="62">
        <v>0.54266785491710323</v>
      </c>
      <c r="Q6" s="62">
        <v>0.60861859983968336</v>
      </c>
      <c r="R6" s="62">
        <v>0.67278154197989293</v>
      </c>
      <c r="S6" s="62">
        <v>0.73938740688854365</v>
      </c>
      <c r="T6" s="62">
        <v>0.81502212397575502</v>
      </c>
      <c r="U6" s="62">
        <v>0.87870781633105488</v>
      </c>
      <c r="V6" s="62">
        <v>0.9366794672634553</v>
      </c>
      <c r="W6" s="62">
        <v>0.99510196680197505</v>
      </c>
      <c r="X6" s="62">
        <v>1</v>
      </c>
      <c r="Y6" s="83">
        <v>1</v>
      </c>
    </row>
    <row r="7" spans="1:25" x14ac:dyDescent="0.25">
      <c r="A7" s="7" t="s">
        <v>55</v>
      </c>
      <c r="B7" s="61">
        <v>0</v>
      </c>
      <c r="C7" s="61">
        <v>0</v>
      </c>
      <c r="D7" s="61">
        <v>1.1000000000000001E-3</v>
      </c>
      <c r="E7" s="61">
        <v>3.3E-3</v>
      </c>
      <c r="F7" s="61">
        <v>1.67E-2</v>
      </c>
      <c r="G7" s="61">
        <v>2.3900000000000001E-2</v>
      </c>
      <c r="H7" s="61">
        <v>3.9300000000000002E-2</v>
      </c>
      <c r="I7" s="61">
        <v>5.6300000000000003E-2</v>
      </c>
      <c r="J7" s="61">
        <v>4.4499999999999984E-2</v>
      </c>
      <c r="K7" s="61">
        <v>4.7600000000000003E-2</v>
      </c>
      <c r="L7" s="62">
        <v>2.2900000000000004E-2</v>
      </c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</row>
    <row r="8" spans="1:25" x14ac:dyDescent="0.25">
      <c r="A8" s="7" t="s">
        <v>56</v>
      </c>
      <c r="B8" s="61">
        <f>B7</f>
        <v>0</v>
      </c>
      <c r="C8" s="61">
        <f>C7+B8</f>
        <v>0</v>
      </c>
      <c r="D8" s="61">
        <f t="shared" ref="D8:L8" si="2">D7+C8</f>
        <v>1.1000000000000001E-3</v>
      </c>
      <c r="E8" s="61">
        <f t="shared" si="2"/>
        <v>4.4000000000000003E-3</v>
      </c>
      <c r="F8" s="61">
        <f t="shared" si="2"/>
        <v>2.1100000000000001E-2</v>
      </c>
      <c r="G8" s="61">
        <f t="shared" si="2"/>
        <v>4.4999999999999998E-2</v>
      </c>
      <c r="H8" s="61">
        <f t="shared" si="2"/>
        <v>8.43E-2</v>
      </c>
      <c r="I8" s="61">
        <f t="shared" si="2"/>
        <v>0.1406</v>
      </c>
      <c r="J8" s="61">
        <f t="shared" si="2"/>
        <v>0.18509999999999999</v>
      </c>
      <c r="K8" s="61">
        <f t="shared" si="2"/>
        <v>0.23269999999999999</v>
      </c>
      <c r="L8" s="62">
        <f t="shared" si="2"/>
        <v>0.25559999999999999</v>
      </c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</row>
    <row r="10" spans="1:25" x14ac:dyDescent="0.25">
      <c r="A10" s="82" t="s">
        <v>57</v>
      </c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</row>
    <row r="11" spans="1:25" x14ac:dyDescent="0.25">
      <c r="A11" s="84" t="s">
        <v>50</v>
      </c>
      <c r="B11" s="85">
        <v>45992</v>
      </c>
      <c r="C11" s="85">
        <v>46023</v>
      </c>
      <c r="D11" s="85">
        <v>46054</v>
      </c>
      <c r="E11" s="85">
        <v>46082</v>
      </c>
      <c r="F11" s="85">
        <v>46113</v>
      </c>
      <c r="G11" s="85">
        <v>46143</v>
      </c>
      <c r="H11" s="85">
        <v>46174</v>
      </c>
      <c r="I11" s="85">
        <v>46204</v>
      </c>
      <c r="J11" s="85">
        <v>46235</v>
      </c>
      <c r="K11" s="85">
        <v>46266</v>
      </c>
      <c r="L11" s="85">
        <v>46296</v>
      </c>
      <c r="M11" s="85">
        <v>46327</v>
      </c>
      <c r="N11" s="85">
        <v>46357</v>
      </c>
      <c r="O11" s="85">
        <v>46388</v>
      </c>
      <c r="P11" s="85">
        <v>46419</v>
      </c>
      <c r="Q11" s="85">
        <v>46447</v>
      </c>
      <c r="R11" s="85">
        <v>46478</v>
      </c>
      <c r="S11" s="85">
        <v>46508</v>
      </c>
      <c r="T11" s="85">
        <v>46539</v>
      </c>
      <c r="U11" s="85">
        <v>46569</v>
      </c>
      <c r="V11" s="85">
        <v>46600</v>
      </c>
      <c r="W11" s="85">
        <v>46631</v>
      </c>
      <c r="X11" s="85">
        <v>46661</v>
      </c>
    </row>
    <row r="12" spans="1:25" x14ac:dyDescent="0.25">
      <c r="A12" s="7" t="s">
        <v>51</v>
      </c>
      <c r="B12" s="61">
        <v>0</v>
      </c>
      <c r="C12" s="61">
        <v>6.4333595409319993E-4</v>
      </c>
      <c r="D12" s="61">
        <v>9.9175180819338626E-3</v>
      </c>
      <c r="E12" s="61">
        <v>3.414205389288015E-2</v>
      </c>
      <c r="F12" s="61">
        <v>5.394543052840433E-2</v>
      </c>
      <c r="G12" s="61">
        <v>5.8991405542812354E-2</v>
      </c>
      <c r="H12" s="61">
        <v>5.9422565259280781E-2</v>
      </c>
      <c r="I12" s="61">
        <v>6.8141882134882606E-2</v>
      </c>
      <c r="J12" s="61">
        <v>6.6892273806522323E-2</v>
      </c>
      <c r="K12" s="61">
        <v>7.6374295605331433E-2</v>
      </c>
      <c r="L12" s="61">
        <v>3.7841055452758648E-2</v>
      </c>
      <c r="M12" s="61">
        <v>4.3912888525442451E-2</v>
      </c>
      <c r="N12" s="61">
        <v>3.7701468887471515E-2</v>
      </c>
      <c r="O12" s="61">
        <v>5.241483767375222E-2</v>
      </c>
      <c r="P12" s="61">
        <v>4.5591992865880039E-2</v>
      </c>
      <c r="Q12" s="61">
        <v>5.8505059712241361E-2</v>
      </c>
      <c r="R12" s="61">
        <v>5.8818552982326119E-2</v>
      </c>
      <c r="S12" s="61">
        <v>5.3936424443498589E-2</v>
      </c>
      <c r="T12" s="61">
        <v>5.9865440901881353E-2</v>
      </c>
      <c r="U12" s="61">
        <v>5.9137487761205497E-2</v>
      </c>
      <c r="V12" s="61">
        <v>4.3000850293942301E-2</v>
      </c>
      <c r="W12" s="61">
        <v>1.302028492382944E-2</v>
      </c>
      <c r="X12" s="61">
        <v>7.7828947696293024E-3</v>
      </c>
    </row>
    <row r="13" spans="1:25" x14ac:dyDescent="0.25">
      <c r="A13" s="7" t="s">
        <v>52</v>
      </c>
      <c r="B13" s="61">
        <v>0</v>
      </c>
      <c r="C13" s="61">
        <v>6.4333595409319993E-4</v>
      </c>
      <c r="D13" s="61">
        <v>1.0560854036027063E-2</v>
      </c>
      <c r="E13" s="61">
        <v>4.4702907928907215E-2</v>
      </c>
      <c r="F13" s="61">
        <v>9.8648338457311552E-2</v>
      </c>
      <c r="G13" s="61">
        <v>0.1576397440001239</v>
      </c>
      <c r="H13" s="61">
        <v>0.21706230925940467</v>
      </c>
      <c r="I13" s="61">
        <v>0.28520419139428727</v>
      </c>
      <c r="J13" s="61">
        <v>0.35209646520080962</v>
      </c>
      <c r="K13" s="61">
        <v>0.42847076080614105</v>
      </c>
      <c r="L13" s="61">
        <v>0.46631181625889973</v>
      </c>
      <c r="M13" s="61">
        <v>0.51022470478434223</v>
      </c>
      <c r="N13" s="61">
        <v>0.54792617367181373</v>
      </c>
      <c r="O13" s="61">
        <v>0.60034101134556594</v>
      </c>
      <c r="P13" s="61">
        <v>0.64593300421144595</v>
      </c>
      <c r="Q13" s="61">
        <v>0.70443806392368735</v>
      </c>
      <c r="R13" s="61">
        <v>0.76325661690601343</v>
      </c>
      <c r="S13" s="61">
        <v>0.81719304134951198</v>
      </c>
      <c r="T13" s="61">
        <v>0.87705848225139338</v>
      </c>
      <c r="U13" s="61">
        <v>0.93619597001259891</v>
      </c>
      <c r="V13" s="61">
        <v>0.9791968203065412</v>
      </c>
      <c r="W13" s="61">
        <v>0.99221710523037066</v>
      </c>
      <c r="X13" s="61">
        <v>1</v>
      </c>
    </row>
    <row r="14" spans="1:25" x14ac:dyDescent="0.25">
      <c r="A14" s="7" t="s">
        <v>53</v>
      </c>
      <c r="B14" s="61"/>
      <c r="C14" s="61"/>
      <c r="D14" s="61"/>
      <c r="E14" s="61"/>
      <c r="F14" s="61"/>
      <c r="G14" s="61"/>
      <c r="H14" s="61"/>
      <c r="I14" s="62"/>
      <c r="J14" s="62"/>
      <c r="K14" s="62">
        <v>4.4954074588108996E-2</v>
      </c>
      <c r="L14" s="62">
        <v>7.1648778434198451E-2</v>
      </c>
      <c r="M14" s="62">
        <v>7.7066110502763491E-2</v>
      </c>
      <c r="N14" s="62">
        <v>5.7820745361437505E-2</v>
      </c>
      <c r="O14" s="62">
        <v>6.0624254963656136E-2</v>
      </c>
      <c r="P14" s="62">
        <v>6.2174397015389411E-2</v>
      </c>
      <c r="Q14" s="62">
        <v>6.6099812139299413E-2</v>
      </c>
      <c r="R14" s="62">
        <v>6.4480911441211944E-2</v>
      </c>
      <c r="S14" s="62">
        <v>6.8277429333762393E-2</v>
      </c>
      <c r="T14" s="62">
        <v>7.2910649052511975E-2</v>
      </c>
      <c r="U14" s="62">
        <v>5.2995525304215557E-2</v>
      </c>
      <c r="V14" s="62">
        <v>4.8646737309020624E-2</v>
      </c>
      <c r="W14" s="62">
        <v>4.9575226371953732E-2</v>
      </c>
      <c r="X14" s="62">
        <v>1.9554403958884619E-2</v>
      </c>
    </row>
    <row r="15" spans="1:25" x14ac:dyDescent="0.25">
      <c r="A15" s="7" t="s">
        <v>54</v>
      </c>
      <c r="B15" s="61"/>
      <c r="C15" s="61"/>
      <c r="D15" s="61"/>
      <c r="E15" s="61"/>
      <c r="F15" s="61"/>
      <c r="G15" s="61"/>
      <c r="H15" s="61"/>
      <c r="I15" s="62"/>
      <c r="J15" s="62"/>
      <c r="K15" s="62">
        <v>0.22812501887508221</v>
      </c>
      <c r="L15" s="62">
        <f t="shared" ref="L15:X15" si="3">L14+K15</f>
        <v>0.29977379730928067</v>
      </c>
      <c r="M15" s="62">
        <f t="shared" si="3"/>
        <v>0.37683990781204413</v>
      </c>
      <c r="N15" s="62">
        <f t="shared" si="3"/>
        <v>0.43466065317348163</v>
      </c>
      <c r="O15" s="62">
        <f t="shared" si="3"/>
        <v>0.49528490813713777</v>
      </c>
      <c r="P15" s="62">
        <f t="shared" si="3"/>
        <v>0.55745930515252717</v>
      </c>
      <c r="Q15" s="62">
        <f t="shared" si="3"/>
        <v>0.62355911729182656</v>
      </c>
      <c r="R15" s="62">
        <f t="shared" si="3"/>
        <v>0.68804002873303849</v>
      </c>
      <c r="S15" s="62">
        <f t="shared" si="3"/>
        <v>0.75631745806680084</v>
      </c>
      <c r="T15" s="62">
        <f t="shared" si="3"/>
        <v>0.82922810711931283</v>
      </c>
      <c r="U15" s="62">
        <f t="shared" si="3"/>
        <v>0.88222363242352841</v>
      </c>
      <c r="V15" s="62">
        <f t="shared" si="3"/>
        <v>0.930870369732549</v>
      </c>
      <c r="W15" s="62">
        <f t="shared" si="3"/>
        <v>0.98044559610450277</v>
      </c>
      <c r="X15" s="62">
        <f t="shared" si="3"/>
        <v>1.0000000000633873</v>
      </c>
    </row>
    <row r="16" spans="1:25" x14ac:dyDescent="0.25">
      <c r="A16" s="7" t="s">
        <v>55</v>
      </c>
      <c r="B16" s="61">
        <v>4.0208218656663146E-3</v>
      </c>
      <c r="C16" s="61">
        <v>2.6019194424607029E-3</v>
      </c>
      <c r="D16" s="61">
        <v>4.9377404491000414E-3</v>
      </c>
      <c r="E16" s="61">
        <v>2.4588206361430005E-2</v>
      </c>
      <c r="F16" s="61">
        <v>1.8059052179606863E-2</v>
      </c>
      <c r="G16" s="61">
        <v>2.0943214723149188E-2</v>
      </c>
      <c r="H16" s="61">
        <v>3.0753542466759359E-2</v>
      </c>
      <c r="I16" s="62">
        <v>3.5420156901174026E-2</v>
      </c>
      <c r="J16" s="62">
        <v>4.1846289897626718E-2</v>
      </c>
      <c r="K16" s="62">
        <v>4.4954074588108996E-2</v>
      </c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</row>
    <row r="17" spans="1:24" x14ac:dyDescent="0.25">
      <c r="A17" s="7" t="s">
        <v>56</v>
      </c>
      <c r="B17" s="61">
        <f>B16</f>
        <v>4.0208218656663146E-3</v>
      </c>
      <c r="C17" s="61">
        <f>C16+B17</f>
        <v>6.6227413081270175E-3</v>
      </c>
      <c r="D17" s="61">
        <f t="shared" ref="D17:J17" si="4">D16+C17</f>
        <v>1.156048175722706E-2</v>
      </c>
      <c r="E17" s="61">
        <f t="shared" si="4"/>
        <v>3.6148688118657069E-2</v>
      </c>
      <c r="F17" s="61">
        <f t="shared" si="4"/>
        <v>5.4207740298263932E-2</v>
      </c>
      <c r="G17" s="61">
        <f t="shared" si="4"/>
        <v>7.5150955021413113E-2</v>
      </c>
      <c r="H17" s="61">
        <f t="shared" si="4"/>
        <v>0.10590449748817247</v>
      </c>
      <c r="I17" s="62">
        <f t="shared" si="4"/>
        <v>0.14132465438934649</v>
      </c>
      <c r="J17" s="62">
        <f t="shared" si="4"/>
        <v>0.18317094428697323</v>
      </c>
      <c r="K17" s="62">
        <v>0.22812501887508221</v>
      </c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</row>
    <row r="19" spans="1:24" x14ac:dyDescent="0.25">
      <c r="A19" s="82" t="s">
        <v>58</v>
      </c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</row>
    <row r="20" spans="1:24" x14ac:dyDescent="0.25">
      <c r="A20" s="84" t="s">
        <v>50</v>
      </c>
      <c r="B20" s="85">
        <v>45992</v>
      </c>
      <c r="C20" s="85">
        <v>46023</v>
      </c>
      <c r="D20" s="85">
        <v>46054</v>
      </c>
      <c r="E20" s="85">
        <v>46082</v>
      </c>
      <c r="F20" s="85">
        <v>46113</v>
      </c>
      <c r="G20" s="85">
        <v>46143</v>
      </c>
      <c r="H20" s="85">
        <v>46174</v>
      </c>
      <c r="I20" s="85">
        <v>46204</v>
      </c>
      <c r="J20" s="85">
        <v>46235</v>
      </c>
      <c r="K20" s="85">
        <v>46266</v>
      </c>
      <c r="L20" s="85">
        <v>46296</v>
      </c>
      <c r="M20" s="85">
        <v>46327</v>
      </c>
      <c r="N20" s="85">
        <v>46357</v>
      </c>
      <c r="O20" s="85">
        <v>46388</v>
      </c>
      <c r="P20" s="85">
        <v>46419</v>
      </c>
      <c r="Q20" s="85">
        <v>46447</v>
      </c>
      <c r="R20" s="85">
        <v>46478</v>
      </c>
      <c r="S20" s="85">
        <v>46508</v>
      </c>
      <c r="T20" s="85">
        <v>46539</v>
      </c>
      <c r="U20" s="85">
        <v>46569</v>
      </c>
      <c r="V20" s="85">
        <v>46600</v>
      </c>
      <c r="W20" s="85">
        <v>46631</v>
      </c>
      <c r="X20" s="85">
        <v>46661</v>
      </c>
    </row>
    <row r="21" spans="1:24" x14ac:dyDescent="0.25">
      <c r="A21" s="7" t="s">
        <v>51</v>
      </c>
      <c r="B21" s="86">
        <v>12</v>
      </c>
      <c r="C21" s="86">
        <v>140.5</v>
      </c>
      <c r="D21" s="86">
        <v>219</v>
      </c>
      <c r="E21" s="86">
        <v>250</v>
      </c>
      <c r="F21" s="86">
        <v>260</v>
      </c>
      <c r="G21" s="86">
        <v>260</v>
      </c>
      <c r="H21" s="86">
        <v>260</v>
      </c>
      <c r="I21" s="86">
        <v>260</v>
      </c>
      <c r="J21" s="86">
        <v>260</v>
      </c>
      <c r="K21" s="86">
        <v>260</v>
      </c>
      <c r="L21" s="86">
        <v>260</v>
      </c>
      <c r="M21" s="86">
        <v>256</v>
      </c>
      <c r="N21" s="86">
        <v>256</v>
      </c>
      <c r="O21" s="86">
        <v>256</v>
      </c>
      <c r="P21" s="86">
        <v>260</v>
      </c>
      <c r="Q21" s="86">
        <v>264</v>
      </c>
      <c r="R21" s="86">
        <v>264</v>
      </c>
      <c r="S21" s="86">
        <v>264</v>
      </c>
      <c r="T21" s="86">
        <v>264</v>
      </c>
      <c r="U21" s="86">
        <v>264</v>
      </c>
      <c r="V21" s="86">
        <v>264</v>
      </c>
      <c r="W21" s="86">
        <v>240</v>
      </c>
      <c r="X21" s="86">
        <v>114.5</v>
      </c>
    </row>
    <row r="22" spans="1:24" x14ac:dyDescent="0.25">
      <c r="A22" s="7" t="s">
        <v>55</v>
      </c>
      <c r="B22" s="86">
        <f>[1]HISTOGRAMA!C33</f>
        <v>5</v>
      </c>
      <c r="C22" s="86">
        <f>[1]HISTOGRAMA!E33</f>
        <v>89</v>
      </c>
      <c r="D22" s="86">
        <f>[1]HISTOGRAMA!G33</f>
        <v>127</v>
      </c>
      <c r="E22" s="86">
        <f>[1]HISTOGRAMA!I33</f>
        <v>150</v>
      </c>
      <c r="F22" s="86">
        <f>[1]HISTOGRAMA!K33</f>
        <v>144</v>
      </c>
      <c r="G22" s="86">
        <f>[1]HISTOGRAMA!M33</f>
        <v>194</v>
      </c>
      <c r="H22" s="86">
        <f>[1]HISTOGRAMA!O33</f>
        <v>198</v>
      </c>
      <c r="I22" s="86">
        <v>230</v>
      </c>
      <c r="J22" s="87">
        <v>239</v>
      </c>
      <c r="K22" s="86">
        <v>229</v>
      </c>
      <c r="L22" s="86">
        <f>HISTOGRAMA!W33</f>
        <v>227</v>
      </c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</row>
    <row r="24" spans="1:24" x14ac:dyDescent="0.25">
      <c r="A24" s="82" t="s">
        <v>59</v>
      </c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</row>
    <row r="25" spans="1:24" x14ac:dyDescent="0.25">
      <c r="A25" s="84" t="s">
        <v>50</v>
      </c>
      <c r="B25" s="85">
        <v>45992</v>
      </c>
      <c r="C25" s="85">
        <v>46023</v>
      </c>
      <c r="D25" s="85">
        <v>46054</v>
      </c>
      <c r="E25" s="85">
        <v>46082</v>
      </c>
      <c r="F25" s="85">
        <v>46113</v>
      </c>
      <c r="G25" s="85">
        <v>46143</v>
      </c>
      <c r="H25" s="85">
        <v>46174</v>
      </c>
      <c r="I25" s="85">
        <v>46204</v>
      </c>
      <c r="J25" s="85">
        <v>46235</v>
      </c>
      <c r="K25" s="85">
        <v>46266</v>
      </c>
      <c r="L25" s="85">
        <v>46296</v>
      </c>
      <c r="M25" s="85">
        <v>46327</v>
      </c>
      <c r="N25" s="85">
        <v>46357</v>
      </c>
      <c r="O25" s="85">
        <v>46388</v>
      </c>
      <c r="P25" s="85">
        <v>46419</v>
      </c>
      <c r="Q25" s="85">
        <v>46447</v>
      </c>
      <c r="R25" s="85">
        <v>46478</v>
      </c>
      <c r="S25" s="85">
        <v>46508</v>
      </c>
      <c r="T25" s="85">
        <v>46539</v>
      </c>
      <c r="U25" s="85">
        <v>46569</v>
      </c>
      <c r="V25" s="85">
        <v>46600</v>
      </c>
      <c r="W25" s="85">
        <v>46631</v>
      </c>
      <c r="X25" s="85">
        <v>46661</v>
      </c>
    </row>
    <row r="26" spans="1:24" x14ac:dyDescent="0.25">
      <c r="A26" s="7" t="s">
        <v>51</v>
      </c>
      <c r="B26" s="86">
        <v>0</v>
      </c>
      <c r="C26" s="86">
        <v>32.5</v>
      </c>
      <c r="D26" s="86">
        <v>97</v>
      </c>
      <c r="E26" s="86">
        <v>104</v>
      </c>
      <c r="F26" s="86">
        <v>107</v>
      </c>
      <c r="G26" s="86">
        <v>107</v>
      </c>
      <c r="H26" s="86">
        <v>107</v>
      </c>
      <c r="I26" s="86">
        <v>107</v>
      </c>
      <c r="J26" s="86">
        <v>107</v>
      </c>
      <c r="K26" s="86">
        <v>107</v>
      </c>
      <c r="L26" s="86">
        <v>107</v>
      </c>
      <c r="M26" s="86">
        <v>104</v>
      </c>
      <c r="N26" s="86">
        <v>104</v>
      </c>
      <c r="O26" s="86">
        <v>104</v>
      </c>
      <c r="P26" s="86">
        <v>107</v>
      </c>
      <c r="Q26" s="86">
        <v>108</v>
      </c>
      <c r="R26" s="86">
        <v>108</v>
      </c>
      <c r="S26" s="86">
        <v>108</v>
      </c>
      <c r="T26" s="86">
        <v>109</v>
      </c>
      <c r="U26" s="86">
        <v>109</v>
      </c>
      <c r="V26" s="86">
        <v>108</v>
      </c>
      <c r="W26" s="86">
        <v>101</v>
      </c>
      <c r="X26" s="86">
        <v>69.375</v>
      </c>
    </row>
    <row r="27" spans="1:24" x14ac:dyDescent="0.25">
      <c r="A27" s="7" t="s">
        <v>55</v>
      </c>
      <c r="B27" s="86">
        <f>[1]HISTOGRAMA!C79</f>
        <v>4</v>
      </c>
      <c r="C27" s="86">
        <f>[1]HISTOGRAMA!E79</f>
        <v>34</v>
      </c>
      <c r="D27" s="86">
        <f>[1]HISTOGRAMA!G79</f>
        <v>56</v>
      </c>
      <c r="E27" s="86">
        <f>[1]HISTOGRAMA!I79</f>
        <v>64</v>
      </c>
      <c r="F27" s="86">
        <f>[1]HISTOGRAMA!K79</f>
        <v>72</v>
      </c>
      <c r="G27" s="86">
        <f>[1]HISTOGRAMA!M79</f>
        <v>84</v>
      </c>
      <c r="H27" s="86">
        <f>[1]HISTOGRAMA!O79</f>
        <v>88</v>
      </c>
      <c r="I27" s="86">
        <f>[1]HISTOGRAMA!Q79</f>
        <v>102</v>
      </c>
      <c r="J27" s="87">
        <v>109</v>
      </c>
      <c r="K27" s="87">
        <v>115</v>
      </c>
      <c r="L27" s="86">
        <f>HISTOGRAMA!W79</f>
        <v>118</v>
      </c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</row>
    <row r="29" spans="1:24" x14ac:dyDescent="0.25">
      <c r="A29" s="82" t="s">
        <v>60</v>
      </c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</row>
    <row r="30" spans="1:24" x14ac:dyDescent="0.25">
      <c r="A30" s="84" t="s">
        <v>50</v>
      </c>
      <c r="B30" s="85">
        <v>45992</v>
      </c>
      <c r="C30" s="85">
        <v>46023</v>
      </c>
      <c r="D30" s="85">
        <v>46054</v>
      </c>
      <c r="E30" s="85">
        <v>46082</v>
      </c>
      <c r="F30" s="85">
        <v>46113</v>
      </c>
      <c r="G30" s="85">
        <v>46143</v>
      </c>
      <c r="H30" s="85">
        <v>46174</v>
      </c>
      <c r="I30" s="85">
        <v>46204</v>
      </c>
      <c r="J30" s="85">
        <v>46235</v>
      </c>
      <c r="K30" s="85">
        <v>46266</v>
      </c>
      <c r="L30" s="85">
        <v>46296</v>
      </c>
      <c r="M30" s="85">
        <v>46327</v>
      </c>
      <c r="N30" s="85">
        <v>46357</v>
      </c>
      <c r="O30" s="85">
        <v>46388</v>
      </c>
      <c r="P30" s="85">
        <v>46419</v>
      </c>
      <c r="Q30" s="85">
        <v>46447</v>
      </c>
      <c r="R30" s="85">
        <v>46478</v>
      </c>
      <c r="S30" s="85">
        <v>46508</v>
      </c>
      <c r="T30" s="85">
        <v>46539</v>
      </c>
      <c r="U30" s="85">
        <v>46569</v>
      </c>
      <c r="V30" s="85">
        <v>46600</v>
      </c>
      <c r="W30" s="85">
        <v>46631</v>
      </c>
      <c r="X30" s="85">
        <v>46661</v>
      </c>
    </row>
    <row r="31" spans="1:24" x14ac:dyDescent="0.25">
      <c r="A31" s="7" t="s">
        <v>51</v>
      </c>
      <c r="B31" s="86">
        <v>1</v>
      </c>
      <c r="C31" s="86">
        <v>1</v>
      </c>
      <c r="D31" s="86">
        <v>21</v>
      </c>
      <c r="E31" s="86">
        <v>36</v>
      </c>
      <c r="F31" s="86">
        <v>39</v>
      </c>
      <c r="G31" s="86">
        <v>39</v>
      </c>
      <c r="H31" s="86">
        <v>39</v>
      </c>
      <c r="I31" s="86">
        <v>39</v>
      </c>
      <c r="J31" s="86">
        <v>39</v>
      </c>
      <c r="K31" s="86">
        <v>39</v>
      </c>
      <c r="L31" s="86">
        <v>39</v>
      </c>
      <c r="M31" s="86">
        <v>37</v>
      </c>
      <c r="N31" s="86">
        <v>37</v>
      </c>
      <c r="O31" s="86">
        <v>37</v>
      </c>
      <c r="P31" s="86">
        <v>39</v>
      </c>
      <c r="Q31" s="86">
        <v>39</v>
      </c>
      <c r="R31" s="86">
        <v>39</v>
      </c>
      <c r="S31" s="86">
        <v>39</v>
      </c>
      <c r="T31" s="86">
        <v>39</v>
      </c>
      <c r="U31" s="86">
        <v>39</v>
      </c>
      <c r="V31" s="86">
        <v>39</v>
      </c>
      <c r="W31" s="86">
        <v>31</v>
      </c>
      <c r="X31" s="86">
        <v>4.5</v>
      </c>
    </row>
    <row r="32" spans="1:24" x14ac:dyDescent="0.25">
      <c r="A32" s="7" t="s">
        <v>55</v>
      </c>
      <c r="B32" s="86">
        <f>[1]HISTOGRAMA!C116</f>
        <v>1</v>
      </c>
      <c r="C32" s="86">
        <f>[1]HISTOGRAMA!E116</f>
        <v>11</v>
      </c>
      <c r="D32" s="86">
        <f>[1]HISTOGRAMA!G116</f>
        <v>17</v>
      </c>
      <c r="E32" s="86">
        <f>[1]HISTOGRAMA!I116</f>
        <v>21</v>
      </c>
      <c r="F32" s="86">
        <f>[1]HISTOGRAMA!K116</f>
        <v>26</v>
      </c>
      <c r="G32" s="86">
        <f>[1]HISTOGRAMA!M116</f>
        <v>32</v>
      </c>
      <c r="H32" s="86">
        <f>[1]HISTOGRAMA!O116</f>
        <v>38</v>
      </c>
      <c r="I32" s="86">
        <f>[1]HISTOGRAMA!Q116</f>
        <v>44</v>
      </c>
      <c r="J32" s="87">
        <v>46</v>
      </c>
      <c r="K32" s="86">
        <v>49</v>
      </c>
      <c r="L32" s="86">
        <f>HISTOGRAMA!W116</f>
        <v>46</v>
      </c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</row>
    <row r="34" spans="1:24" x14ac:dyDescent="0.25">
      <c r="A34" s="82" t="s">
        <v>61</v>
      </c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</row>
    <row r="35" spans="1:24" x14ac:dyDescent="0.25">
      <c r="A35" s="84" t="s">
        <v>50</v>
      </c>
      <c r="B35" s="85">
        <v>45992</v>
      </c>
      <c r="C35" s="85">
        <v>46023</v>
      </c>
      <c r="D35" s="85">
        <v>46054</v>
      </c>
      <c r="E35" s="85">
        <v>46082</v>
      </c>
      <c r="F35" s="85">
        <v>46113</v>
      </c>
      <c r="G35" s="85">
        <v>46143</v>
      </c>
      <c r="H35" s="85">
        <v>46174</v>
      </c>
      <c r="I35" s="85">
        <v>46204</v>
      </c>
      <c r="J35" s="85">
        <v>46235</v>
      </c>
      <c r="K35" s="85">
        <v>46266</v>
      </c>
      <c r="L35" s="85">
        <v>46296</v>
      </c>
      <c r="M35" s="85">
        <v>46327</v>
      </c>
      <c r="N35" s="85">
        <v>46357</v>
      </c>
      <c r="O35" s="85">
        <v>46388</v>
      </c>
      <c r="P35" s="85">
        <v>46419</v>
      </c>
      <c r="Q35" s="85">
        <v>46447</v>
      </c>
      <c r="R35" s="85">
        <v>46478</v>
      </c>
      <c r="S35" s="85">
        <v>46508</v>
      </c>
      <c r="T35" s="85">
        <v>46539</v>
      </c>
      <c r="U35" s="85">
        <v>46569</v>
      </c>
      <c r="V35" s="85">
        <v>46600</v>
      </c>
      <c r="W35" s="85">
        <v>46631</v>
      </c>
      <c r="X35" s="85">
        <v>46661</v>
      </c>
    </row>
    <row r="36" spans="1:24" x14ac:dyDescent="0.25">
      <c r="A36" s="7" t="s">
        <v>51</v>
      </c>
      <c r="B36" s="86">
        <v>0</v>
      </c>
      <c r="C36" s="86">
        <v>4</v>
      </c>
      <c r="D36" s="86">
        <v>20</v>
      </c>
      <c r="E36" s="86">
        <v>32</v>
      </c>
      <c r="F36" s="86">
        <v>34</v>
      </c>
      <c r="G36" s="86">
        <v>34</v>
      </c>
      <c r="H36" s="86">
        <v>34</v>
      </c>
      <c r="I36" s="86">
        <v>34</v>
      </c>
      <c r="J36" s="86">
        <v>34</v>
      </c>
      <c r="K36" s="86">
        <v>34</v>
      </c>
      <c r="L36" s="86">
        <v>34</v>
      </c>
      <c r="M36" s="86">
        <v>34</v>
      </c>
      <c r="N36" s="86">
        <v>34</v>
      </c>
      <c r="O36" s="86">
        <v>34</v>
      </c>
      <c r="P36" s="86">
        <v>34</v>
      </c>
      <c r="Q36" s="86">
        <v>35</v>
      </c>
      <c r="R36" s="86">
        <v>35</v>
      </c>
      <c r="S36" s="86">
        <v>35</v>
      </c>
      <c r="T36" s="86">
        <v>35</v>
      </c>
      <c r="U36" s="86">
        <v>35</v>
      </c>
      <c r="V36" s="86">
        <v>35</v>
      </c>
      <c r="W36" s="86">
        <v>32</v>
      </c>
      <c r="X36" s="86">
        <v>15</v>
      </c>
    </row>
    <row r="37" spans="1:24" x14ac:dyDescent="0.25">
      <c r="A37" s="7" t="s">
        <v>55</v>
      </c>
      <c r="B37" s="86">
        <f>[1]HISTOGRAMA!C90</f>
        <v>0</v>
      </c>
      <c r="C37" s="86">
        <f>[1]HISTOGRAMA!E90</f>
        <v>13</v>
      </c>
      <c r="D37" s="86">
        <f>[1]HISTOGRAMA!G90</f>
        <v>25</v>
      </c>
      <c r="E37" s="86">
        <f>[1]HISTOGRAMA!I90</f>
        <v>25</v>
      </c>
      <c r="F37" s="86">
        <f>[1]HISTOGRAMA!K90</f>
        <v>38</v>
      </c>
      <c r="G37" s="86">
        <f>[1]HISTOGRAMA!M90</f>
        <v>41</v>
      </c>
      <c r="H37" s="86">
        <f>[1]HISTOGRAMA!O90</f>
        <v>42</v>
      </c>
      <c r="I37" s="86">
        <f>[1]HISTOGRAMA!Q90</f>
        <v>47</v>
      </c>
      <c r="J37" s="87">
        <v>48</v>
      </c>
      <c r="K37" s="87">
        <v>46</v>
      </c>
      <c r="L37" s="87">
        <f>HISTOGRAMA!W90</f>
        <v>49</v>
      </c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135"/>
  <sheetViews>
    <sheetView topLeftCell="A88" workbookViewId="0">
      <pane xSplit="1" topLeftCell="N1" activePane="topRight" state="frozen"/>
      <selection pane="topRight" activeCell="W94" sqref="W94:W115"/>
    </sheetView>
  </sheetViews>
  <sheetFormatPr defaultRowHeight="15" outlineLevelCol="1" x14ac:dyDescent="0.25"/>
  <cols>
    <col min="1" max="1" width="31.5703125" bestFit="1" customWidth="1"/>
    <col min="2" max="47" width="8.7109375" customWidth="1" outlineLevel="1"/>
    <col min="48" max="70" width="8.7109375" customWidth="1"/>
  </cols>
  <sheetData>
    <row r="1" spans="1:70" x14ac:dyDescent="0.25">
      <c r="A1" s="88" t="s">
        <v>62</v>
      </c>
      <c r="B1" s="89">
        <v>45992</v>
      </c>
      <c r="C1" s="90"/>
      <c r="D1" s="89">
        <v>46023</v>
      </c>
      <c r="E1" s="90"/>
      <c r="F1" s="89">
        <v>46054</v>
      </c>
      <c r="G1" s="90"/>
      <c r="H1" s="89">
        <v>46082</v>
      </c>
      <c r="I1" s="90"/>
      <c r="J1" s="89">
        <v>46113</v>
      </c>
      <c r="K1" s="90"/>
      <c r="L1" s="89">
        <v>46143</v>
      </c>
      <c r="M1" s="90"/>
      <c r="N1" s="89">
        <v>46174</v>
      </c>
      <c r="O1" s="90"/>
      <c r="P1" s="89">
        <v>46204</v>
      </c>
      <c r="Q1" s="90"/>
      <c r="R1" s="89">
        <v>46235</v>
      </c>
      <c r="S1" s="90"/>
      <c r="T1" s="89">
        <v>46266</v>
      </c>
      <c r="U1" s="90"/>
      <c r="V1" s="89">
        <v>46296</v>
      </c>
      <c r="W1" s="90"/>
      <c r="X1" s="89">
        <v>46327</v>
      </c>
      <c r="Y1" s="90"/>
      <c r="Z1" s="89">
        <v>46357</v>
      </c>
      <c r="AA1" s="90"/>
      <c r="AB1" s="89">
        <v>46388</v>
      </c>
      <c r="AC1" s="90"/>
      <c r="AD1" s="89">
        <v>46419</v>
      </c>
      <c r="AE1" s="90"/>
      <c r="AF1" s="89">
        <v>46447</v>
      </c>
      <c r="AG1" s="90"/>
      <c r="AH1" s="89">
        <v>46478</v>
      </c>
      <c r="AI1" s="90"/>
      <c r="AJ1" s="89">
        <v>46508</v>
      </c>
      <c r="AK1" s="90"/>
      <c r="AL1" s="89">
        <v>46539</v>
      </c>
      <c r="AM1" s="90"/>
      <c r="AN1" s="89">
        <v>46569</v>
      </c>
      <c r="AO1" s="90"/>
      <c r="AP1" s="89">
        <v>46600</v>
      </c>
      <c r="AQ1" s="90"/>
      <c r="AR1" s="89">
        <v>46631</v>
      </c>
      <c r="AS1" s="90"/>
      <c r="AT1" s="89">
        <v>46661</v>
      </c>
      <c r="AU1" s="91"/>
      <c r="AV1" s="92">
        <v>45992</v>
      </c>
      <c r="AW1" s="93">
        <v>46023</v>
      </c>
      <c r="AX1" s="93">
        <v>46054</v>
      </c>
      <c r="AY1" s="93">
        <v>46082</v>
      </c>
      <c r="AZ1" s="93">
        <v>46113</v>
      </c>
      <c r="BA1" s="93">
        <v>46143</v>
      </c>
      <c r="BB1" s="93">
        <v>46174</v>
      </c>
      <c r="BC1" s="93">
        <v>46204</v>
      </c>
      <c r="BD1" s="93">
        <v>46235</v>
      </c>
      <c r="BE1" s="93">
        <v>46266</v>
      </c>
      <c r="BF1" s="93">
        <v>46296</v>
      </c>
      <c r="BG1" s="93">
        <v>46327</v>
      </c>
      <c r="BH1" s="93">
        <v>46357</v>
      </c>
      <c r="BI1" s="93">
        <v>46388</v>
      </c>
      <c r="BJ1" s="93">
        <v>46419</v>
      </c>
      <c r="BK1" s="93">
        <v>46447</v>
      </c>
      <c r="BL1" s="93">
        <v>46478</v>
      </c>
      <c r="BM1" s="93">
        <v>46508</v>
      </c>
      <c r="BN1" s="93">
        <v>46539</v>
      </c>
      <c r="BO1" s="93">
        <v>46569</v>
      </c>
      <c r="BP1" s="93">
        <v>46600</v>
      </c>
      <c r="BQ1" s="93">
        <v>46631</v>
      </c>
      <c r="BR1" s="94">
        <v>46661</v>
      </c>
    </row>
    <row r="2" spans="1:70" x14ac:dyDescent="0.25">
      <c r="A2" s="95"/>
      <c r="B2" s="96" t="s">
        <v>63</v>
      </c>
      <c r="C2" s="97" t="s">
        <v>64</v>
      </c>
      <c r="D2" s="96" t="s">
        <v>63</v>
      </c>
      <c r="E2" s="97" t="s">
        <v>64</v>
      </c>
      <c r="F2" s="96" t="s">
        <v>63</v>
      </c>
      <c r="G2" s="97" t="s">
        <v>64</v>
      </c>
      <c r="H2" s="96" t="s">
        <v>63</v>
      </c>
      <c r="I2" s="97" t="s">
        <v>64</v>
      </c>
      <c r="J2" s="96" t="s">
        <v>63</v>
      </c>
      <c r="K2" s="97" t="s">
        <v>64</v>
      </c>
      <c r="L2" s="96" t="s">
        <v>63</v>
      </c>
      <c r="M2" s="97" t="s">
        <v>64</v>
      </c>
      <c r="N2" s="96" t="s">
        <v>63</v>
      </c>
      <c r="O2" s="97" t="s">
        <v>64</v>
      </c>
      <c r="P2" s="96" t="s">
        <v>63</v>
      </c>
      <c r="Q2" s="97" t="s">
        <v>64</v>
      </c>
      <c r="R2" s="96" t="s">
        <v>63</v>
      </c>
      <c r="S2" s="97" t="s">
        <v>64</v>
      </c>
      <c r="T2" s="96" t="s">
        <v>63</v>
      </c>
      <c r="U2" s="97" t="s">
        <v>64</v>
      </c>
      <c r="V2" s="96" t="s">
        <v>63</v>
      </c>
      <c r="W2" s="97" t="s">
        <v>64</v>
      </c>
      <c r="X2" s="96" t="s">
        <v>63</v>
      </c>
      <c r="Y2" s="97" t="s">
        <v>64</v>
      </c>
      <c r="Z2" s="96" t="s">
        <v>63</v>
      </c>
      <c r="AA2" s="97" t="s">
        <v>64</v>
      </c>
      <c r="AB2" s="96" t="s">
        <v>63</v>
      </c>
      <c r="AC2" s="97" t="s">
        <v>64</v>
      </c>
      <c r="AD2" s="96" t="s">
        <v>63</v>
      </c>
      <c r="AE2" s="97" t="s">
        <v>64</v>
      </c>
      <c r="AF2" s="96" t="s">
        <v>63</v>
      </c>
      <c r="AG2" s="97" t="s">
        <v>64</v>
      </c>
      <c r="AH2" s="96" t="s">
        <v>63</v>
      </c>
      <c r="AI2" s="97" t="s">
        <v>64</v>
      </c>
      <c r="AJ2" s="96" t="s">
        <v>63</v>
      </c>
      <c r="AK2" s="97" t="s">
        <v>64</v>
      </c>
      <c r="AL2" s="96" t="s">
        <v>63</v>
      </c>
      <c r="AM2" s="97" t="s">
        <v>64</v>
      </c>
      <c r="AN2" s="96" t="s">
        <v>63</v>
      </c>
      <c r="AO2" s="97" t="s">
        <v>64</v>
      </c>
      <c r="AP2" s="96" t="s">
        <v>63</v>
      </c>
      <c r="AQ2" s="97" t="s">
        <v>64</v>
      </c>
      <c r="AR2" s="96" t="s">
        <v>63</v>
      </c>
      <c r="AS2" s="97" t="s">
        <v>64</v>
      </c>
      <c r="AT2" s="96" t="s">
        <v>63</v>
      </c>
      <c r="AU2" s="98" t="s">
        <v>64</v>
      </c>
      <c r="AV2" s="99" t="s">
        <v>65</v>
      </c>
      <c r="AW2" s="96" t="s">
        <v>65</v>
      </c>
      <c r="AX2" s="96" t="s">
        <v>65</v>
      </c>
      <c r="AY2" s="96" t="s">
        <v>65</v>
      </c>
      <c r="AZ2" s="96" t="s">
        <v>65</v>
      </c>
      <c r="BA2" s="96" t="s">
        <v>65</v>
      </c>
      <c r="BB2" s="96" t="s">
        <v>65</v>
      </c>
      <c r="BC2" s="96" t="s">
        <v>65</v>
      </c>
      <c r="BD2" s="96" t="s">
        <v>65</v>
      </c>
      <c r="BE2" s="96" t="s">
        <v>65</v>
      </c>
      <c r="BF2" s="96" t="s">
        <v>65</v>
      </c>
      <c r="BG2" s="96" t="s">
        <v>65</v>
      </c>
      <c r="BH2" s="96" t="s">
        <v>65</v>
      </c>
      <c r="BI2" s="96" t="s">
        <v>65</v>
      </c>
      <c r="BJ2" s="96" t="s">
        <v>65</v>
      </c>
      <c r="BK2" s="96" t="s">
        <v>65</v>
      </c>
      <c r="BL2" s="96" t="s">
        <v>65</v>
      </c>
      <c r="BM2" s="96" t="s">
        <v>65</v>
      </c>
      <c r="BN2" s="96" t="s">
        <v>65</v>
      </c>
      <c r="BO2" s="96" t="s">
        <v>65</v>
      </c>
      <c r="BP2" s="96" t="s">
        <v>65</v>
      </c>
      <c r="BQ2" s="96" t="s">
        <v>65</v>
      </c>
      <c r="BR2" s="100" t="s">
        <v>65</v>
      </c>
    </row>
    <row r="3" spans="1:70" x14ac:dyDescent="0.25">
      <c r="A3" s="8" t="s">
        <v>66</v>
      </c>
      <c r="B3" s="9">
        <v>1</v>
      </c>
      <c r="C3" s="10">
        <v>0</v>
      </c>
      <c r="D3" s="9">
        <v>2</v>
      </c>
      <c r="E3" s="10">
        <v>0</v>
      </c>
      <c r="F3" s="9">
        <v>5</v>
      </c>
      <c r="G3" s="10">
        <v>0</v>
      </c>
      <c r="H3" s="9">
        <v>5</v>
      </c>
      <c r="I3" s="10">
        <v>0</v>
      </c>
      <c r="J3" s="9">
        <v>5</v>
      </c>
      <c r="K3" s="10">
        <v>0</v>
      </c>
      <c r="L3" s="9">
        <v>5</v>
      </c>
      <c r="M3" s="10">
        <v>0</v>
      </c>
      <c r="N3" s="9">
        <v>5</v>
      </c>
      <c r="O3" s="10">
        <v>5</v>
      </c>
      <c r="P3" s="9">
        <v>5</v>
      </c>
      <c r="Q3" s="10">
        <v>1</v>
      </c>
      <c r="R3" s="9">
        <v>5</v>
      </c>
      <c r="S3" s="63">
        <v>1</v>
      </c>
      <c r="T3" s="9">
        <v>5</v>
      </c>
      <c r="U3" s="10">
        <v>1</v>
      </c>
      <c r="V3" s="9">
        <v>5</v>
      </c>
      <c r="W3" s="10">
        <v>1</v>
      </c>
      <c r="X3" s="9">
        <v>5</v>
      </c>
      <c r="Y3" s="10"/>
      <c r="Z3" s="9">
        <v>5</v>
      </c>
      <c r="AA3" s="10"/>
      <c r="AB3" s="9">
        <v>5</v>
      </c>
      <c r="AC3" s="10"/>
      <c r="AD3" s="9">
        <v>5</v>
      </c>
      <c r="AE3" s="10"/>
      <c r="AF3" s="9">
        <v>5</v>
      </c>
      <c r="AG3" s="10"/>
      <c r="AH3" s="9">
        <v>5</v>
      </c>
      <c r="AI3" s="10"/>
      <c r="AJ3" s="9">
        <v>5</v>
      </c>
      <c r="AK3" s="10"/>
      <c r="AL3" s="9">
        <v>5</v>
      </c>
      <c r="AM3" s="10"/>
      <c r="AN3" s="9">
        <v>5</v>
      </c>
      <c r="AO3" s="10"/>
      <c r="AP3" s="9">
        <v>5</v>
      </c>
      <c r="AQ3" s="10"/>
      <c r="AR3" s="9">
        <v>5</v>
      </c>
      <c r="AS3" s="10"/>
      <c r="AT3" s="9">
        <v>3.5</v>
      </c>
      <c r="AU3" s="11"/>
      <c r="AV3" s="23">
        <f>C3-B3</f>
        <v>-1</v>
      </c>
      <c r="AW3" s="10">
        <f>E3-D3</f>
        <v>-2</v>
      </c>
      <c r="AX3" s="10">
        <f>G3-F3</f>
        <v>-5</v>
      </c>
      <c r="AY3" s="10">
        <f>I3-H3</f>
        <v>-5</v>
      </c>
      <c r="AZ3" s="10">
        <f>K3-J3</f>
        <v>-5</v>
      </c>
      <c r="BA3" s="10">
        <f>M3-L3</f>
        <v>-5</v>
      </c>
      <c r="BB3" s="10">
        <f>O3-N3</f>
        <v>0</v>
      </c>
      <c r="BC3" s="10">
        <f>Q3-P3</f>
        <v>-4</v>
      </c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25"/>
    </row>
    <row r="4" spans="1:70" x14ac:dyDescent="0.25">
      <c r="A4" s="101" t="s">
        <v>67</v>
      </c>
      <c r="B4" s="102">
        <v>8</v>
      </c>
      <c r="C4" s="103">
        <v>0</v>
      </c>
      <c r="D4" s="102">
        <v>46</v>
      </c>
      <c r="E4" s="103">
        <v>34</v>
      </c>
      <c r="F4" s="102">
        <v>79</v>
      </c>
      <c r="G4" s="103">
        <v>37</v>
      </c>
      <c r="H4" s="102">
        <v>95</v>
      </c>
      <c r="I4" s="103">
        <v>38</v>
      </c>
      <c r="J4" s="102">
        <v>96</v>
      </c>
      <c r="K4" s="103">
        <v>42</v>
      </c>
      <c r="L4" s="102">
        <v>96</v>
      </c>
      <c r="M4" s="103">
        <v>45</v>
      </c>
      <c r="N4" s="102">
        <v>96</v>
      </c>
      <c r="O4" s="103">
        <v>41</v>
      </c>
      <c r="P4" s="102">
        <v>96</v>
      </c>
      <c r="Q4" s="103">
        <v>53</v>
      </c>
      <c r="R4" s="102">
        <v>96</v>
      </c>
      <c r="S4" s="64">
        <v>54</v>
      </c>
      <c r="T4" s="102">
        <v>96</v>
      </c>
      <c r="U4" s="103">
        <v>49</v>
      </c>
      <c r="V4" s="102">
        <v>96</v>
      </c>
      <c r="W4" s="103">
        <v>48</v>
      </c>
      <c r="X4" s="102">
        <v>96</v>
      </c>
      <c r="Y4" s="103"/>
      <c r="Z4" s="102">
        <v>96</v>
      </c>
      <c r="AA4" s="103"/>
      <c r="AB4" s="102">
        <v>96</v>
      </c>
      <c r="AC4" s="103"/>
      <c r="AD4" s="102">
        <v>96</v>
      </c>
      <c r="AE4" s="103"/>
      <c r="AF4" s="102">
        <v>96</v>
      </c>
      <c r="AG4" s="103"/>
      <c r="AH4" s="102">
        <v>96</v>
      </c>
      <c r="AI4" s="103"/>
      <c r="AJ4" s="102">
        <v>96</v>
      </c>
      <c r="AK4" s="103"/>
      <c r="AL4" s="102">
        <v>96</v>
      </c>
      <c r="AM4" s="103"/>
      <c r="AN4" s="102">
        <v>96</v>
      </c>
      <c r="AO4" s="103"/>
      <c r="AP4" s="102">
        <v>96</v>
      </c>
      <c r="AQ4" s="103"/>
      <c r="AR4" s="102">
        <v>85</v>
      </c>
      <c r="AS4" s="103"/>
      <c r="AT4" s="102">
        <v>37</v>
      </c>
      <c r="AU4" s="104"/>
      <c r="AV4" s="105">
        <f t="shared" ref="AV4:AV32" si="0">C4-B4</f>
        <v>-8</v>
      </c>
      <c r="AW4" s="103">
        <f t="shared" ref="AW4:AW32" si="1">E4-D4</f>
        <v>-12</v>
      </c>
      <c r="AX4" s="103">
        <f t="shared" ref="AX4:AX32" si="2">G4-F4</f>
        <v>-42</v>
      </c>
      <c r="AY4" s="103">
        <f t="shared" ref="AY4:AY32" si="3">I4-H4</f>
        <v>-57</v>
      </c>
      <c r="AZ4" s="103">
        <f t="shared" ref="AZ4:AZ32" si="4">K4-J4</f>
        <v>-54</v>
      </c>
      <c r="BA4" s="103">
        <f t="shared" ref="BA4:BA32" si="5">M4-L4</f>
        <v>-51</v>
      </c>
      <c r="BB4" s="103">
        <f t="shared" ref="BB4:BB32" si="6">O4-N4</f>
        <v>-55</v>
      </c>
      <c r="BC4" s="103">
        <f t="shared" ref="BC4:BC32" si="7">Q4-P4</f>
        <v>-43</v>
      </c>
      <c r="BD4" s="103"/>
      <c r="BE4" s="103"/>
      <c r="BF4" s="103"/>
      <c r="BG4" s="103"/>
      <c r="BH4" s="103"/>
      <c r="BI4" s="103"/>
      <c r="BJ4" s="103"/>
      <c r="BK4" s="103"/>
      <c r="BL4" s="103"/>
      <c r="BM4" s="103"/>
      <c r="BN4" s="103"/>
      <c r="BO4" s="103"/>
      <c r="BP4" s="103"/>
      <c r="BQ4" s="103"/>
      <c r="BR4" s="104"/>
    </row>
    <row r="5" spans="1:70" x14ac:dyDescent="0.25">
      <c r="A5" s="8" t="s">
        <v>68</v>
      </c>
      <c r="B5" s="12">
        <v>0</v>
      </c>
      <c r="C5" s="13">
        <v>0</v>
      </c>
      <c r="D5" s="12">
        <v>0</v>
      </c>
      <c r="E5" s="13">
        <v>0</v>
      </c>
      <c r="F5" s="12">
        <v>1</v>
      </c>
      <c r="G5" s="13">
        <v>0</v>
      </c>
      <c r="H5" s="12">
        <v>2</v>
      </c>
      <c r="I5" s="13">
        <v>0</v>
      </c>
      <c r="J5" s="12">
        <v>3</v>
      </c>
      <c r="K5" s="13">
        <v>0</v>
      </c>
      <c r="L5" s="12">
        <v>3</v>
      </c>
      <c r="M5" s="13">
        <v>0</v>
      </c>
      <c r="N5" s="12">
        <v>3</v>
      </c>
      <c r="O5" s="13">
        <v>0</v>
      </c>
      <c r="P5" s="12">
        <v>3</v>
      </c>
      <c r="Q5" s="13">
        <v>3</v>
      </c>
      <c r="R5" s="12">
        <v>3</v>
      </c>
      <c r="S5" s="64"/>
      <c r="T5" s="12">
        <v>3</v>
      </c>
      <c r="U5" s="13"/>
      <c r="V5" s="12">
        <v>3</v>
      </c>
      <c r="W5" s="13"/>
      <c r="X5" s="12">
        <v>2</v>
      </c>
      <c r="Y5" s="13"/>
      <c r="Z5" s="12">
        <v>2</v>
      </c>
      <c r="AA5" s="13"/>
      <c r="AB5" s="12">
        <v>2</v>
      </c>
      <c r="AC5" s="13"/>
      <c r="AD5" s="12">
        <v>3</v>
      </c>
      <c r="AE5" s="13"/>
      <c r="AF5" s="12">
        <v>3</v>
      </c>
      <c r="AG5" s="13"/>
      <c r="AH5" s="12">
        <v>3</v>
      </c>
      <c r="AI5" s="13"/>
      <c r="AJ5" s="12">
        <v>3</v>
      </c>
      <c r="AK5" s="13"/>
      <c r="AL5" s="12">
        <v>3</v>
      </c>
      <c r="AM5" s="13"/>
      <c r="AN5" s="12">
        <v>3</v>
      </c>
      <c r="AO5" s="13"/>
      <c r="AP5" s="12">
        <v>3</v>
      </c>
      <c r="AQ5" s="13"/>
      <c r="AR5" s="12">
        <v>2</v>
      </c>
      <c r="AS5" s="13"/>
      <c r="AT5" s="12">
        <v>1</v>
      </c>
      <c r="AU5" s="14"/>
      <c r="AV5" s="24">
        <f t="shared" si="0"/>
        <v>0</v>
      </c>
      <c r="AW5" s="13">
        <f t="shared" si="1"/>
        <v>0</v>
      </c>
      <c r="AX5" s="13">
        <f t="shared" si="2"/>
        <v>-1</v>
      </c>
      <c r="AY5" s="13">
        <f t="shared" si="3"/>
        <v>-2</v>
      </c>
      <c r="AZ5" s="13">
        <f t="shared" si="4"/>
        <v>-3</v>
      </c>
      <c r="BA5" s="13">
        <f t="shared" si="5"/>
        <v>-3</v>
      </c>
      <c r="BB5" s="13">
        <f t="shared" si="6"/>
        <v>-3</v>
      </c>
      <c r="BC5" s="13">
        <f t="shared" si="7"/>
        <v>0</v>
      </c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4"/>
    </row>
    <row r="6" spans="1:70" x14ac:dyDescent="0.25">
      <c r="A6" s="101" t="s">
        <v>69</v>
      </c>
      <c r="B6" s="102">
        <v>0</v>
      </c>
      <c r="C6" s="103">
        <v>0</v>
      </c>
      <c r="D6" s="102">
        <v>0</v>
      </c>
      <c r="E6" s="103">
        <v>0</v>
      </c>
      <c r="F6" s="102">
        <v>1</v>
      </c>
      <c r="G6" s="103">
        <v>0</v>
      </c>
      <c r="H6" s="102">
        <v>2</v>
      </c>
      <c r="I6" s="103">
        <v>0</v>
      </c>
      <c r="J6" s="102">
        <v>3</v>
      </c>
      <c r="K6" s="103">
        <v>0</v>
      </c>
      <c r="L6" s="102">
        <v>3</v>
      </c>
      <c r="M6" s="103">
        <v>0</v>
      </c>
      <c r="N6" s="102">
        <v>3</v>
      </c>
      <c r="O6" s="103">
        <v>2</v>
      </c>
      <c r="P6" s="102">
        <v>3</v>
      </c>
      <c r="Q6" s="103">
        <v>0</v>
      </c>
      <c r="R6" s="102">
        <v>3</v>
      </c>
      <c r="S6" s="64">
        <v>2</v>
      </c>
      <c r="T6" s="102">
        <v>3</v>
      </c>
      <c r="U6" s="103">
        <v>2</v>
      </c>
      <c r="V6" s="102">
        <v>3</v>
      </c>
      <c r="W6" s="103">
        <v>3</v>
      </c>
      <c r="X6" s="102">
        <v>2</v>
      </c>
      <c r="Y6" s="103"/>
      <c r="Z6" s="102">
        <v>2</v>
      </c>
      <c r="AA6" s="103"/>
      <c r="AB6" s="102">
        <v>2</v>
      </c>
      <c r="AC6" s="103"/>
      <c r="AD6" s="102">
        <v>3</v>
      </c>
      <c r="AE6" s="103"/>
      <c r="AF6" s="102">
        <v>3</v>
      </c>
      <c r="AG6" s="103"/>
      <c r="AH6" s="102">
        <v>3</v>
      </c>
      <c r="AI6" s="103"/>
      <c r="AJ6" s="102">
        <v>3</v>
      </c>
      <c r="AK6" s="103"/>
      <c r="AL6" s="102">
        <v>3</v>
      </c>
      <c r="AM6" s="103"/>
      <c r="AN6" s="102">
        <v>3</v>
      </c>
      <c r="AO6" s="103"/>
      <c r="AP6" s="102">
        <v>3</v>
      </c>
      <c r="AQ6" s="103"/>
      <c r="AR6" s="102">
        <v>2</v>
      </c>
      <c r="AS6" s="103"/>
      <c r="AT6" s="102">
        <v>1</v>
      </c>
      <c r="AU6" s="104"/>
      <c r="AV6" s="105">
        <f t="shared" si="0"/>
        <v>0</v>
      </c>
      <c r="AW6" s="103">
        <f t="shared" si="1"/>
        <v>0</v>
      </c>
      <c r="AX6" s="103">
        <f t="shared" si="2"/>
        <v>-1</v>
      </c>
      <c r="AY6" s="103">
        <f t="shared" si="3"/>
        <v>-2</v>
      </c>
      <c r="AZ6" s="103">
        <f t="shared" si="4"/>
        <v>-3</v>
      </c>
      <c r="BA6" s="103">
        <f t="shared" si="5"/>
        <v>-3</v>
      </c>
      <c r="BB6" s="103">
        <f t="shared" si="6"/>
        <v>-1</v>
      </c>
      <c r="BC6" s="103">
        <f t="shared" si="7"/>
        <v>-3</v>
      </c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4"/>
    </row>
    <row r="7" spans="1:70" x14ac:dyDescent="0.25">
      <c r="A7" s="8" t="s">
        <v>70</v>
      </c>
      <c r="B7" s="12">
        <v>0</v>
      </c>
      <c r="C7" s="13">
        <v>1</v>
      </c>
      <c r="D7" s="12">
        <v>5</v>
      </c>
      <c r="E7" s="13">
        <v>7</v>
      </c>
      <c r="F7" s="12">
        <v>7</v>
      </c>
      <c r="G7" s="13">
        <v>8</v>
      </c>
      <c r="H7" s="12">
        <v>8</v>
      </c>
      <c r="I7" s="13">
        <v>10</v>
      </c>
      <c r="J7" s="12">
        <v>8</v>
      </c>
      <c r="K7" s="13">
        <v>7</v>
      </c>
      <c r="L7" s="12">
        <v>8</v>
      </c>
      <c r="M7" s="13">
        <v>11</v>
      </c>
      <c r="N7" s="12">
        <v>8</v>
      </c>
      <c r="O7" s="13">
        <v>7</v>
      </c>
      <c r="P7" s="12">
        <v>8</v>
      </c>
      <c r="Q7" s="13">
        <v>7</v>
      </c>
      <c r="R7" s="12">
        <v>8</v>
      </c>
      <c r="S7" s="64">
        <v>6</v>
      </c>
      <c r="T7" s="12">
        <v>8</v>
      </c>
      <c r="U7" s="13">
        <v>6</v>
      </c>
      <c r="V7" s="12">
        <v>8</v>
      </c>
      <c r="W7" s="13">
        <v>6</v>
      </c>
      <c r="X7" s="12">
        <v>8</v>
      </c>
      <c r="Y7" s="13"/>
      <c r="Z7" s="12">
        <v>8</v>
      </c>
      <c r="AA7" s="13"/>
      <c r="AB7" s="12">
        <v>8</v>
      </c>
      <c r="AC7" s="13"/>
      <c r="AD7" s="12">
        <v>8</v>
      </c>
      <c r="AE7" s="13"/>
      <c r="AF7" s="12">
        <v>8</v>
      </c>
      <c r="AG7" s="13"/>
      <c r="AH7" s="12">
        <v>8</v>
      </c>
      <c r="AI7" s="13"/>
      <c r="AJ7" s="12">
        <v>8</v>
      </c>
      <c r="AK7" s="13"/>
      <c r="AL7" s="12">
        <v>8</v>
      </c>
      <c r="AM7" s="13"/>
      <c r="AN7" s="12">
        <v>8</v>
      </c>
      <c r="AO7" s="13"/>
      <c r="AP7" s="12">
        <v>8</v>
      </c>
      <c r="AQ7" s="13"/>
      <c r="AR7" s="12">
        <v>7</v>
      </c>
      <c r="AS7" s="13"/>
      <c r="AT7" s="12">
        <v>3</v>
      </c>
      <c r="AU7" s="14"/>
      <c r="AV7" s="24">
        <f t="shared" si="0"/>
        <v>1</v>
      </c>
      <c r="AW7" s="13">
        <f t="shared" si="1"/>
        <v>2</v>
      </c>
      <c r="AX7" s="13">
        <f t="shared" si="2"/>
        <v>1</v>
      </c>
      <c r="AY7" s="13">
        <f t="shared" si="3"/>
        <v>2</v>
      </c>
      <c r="AZ7" s="13">
        <f t="shared" si="4"/>
        <v>-1</v>
      </c>
      <c r="BA7" s="13">
        <f t="shared" si="5"/>
        <v>3</v>
      </c>
      <c r="BB7" s="13">
        <f t="shared" si="6"/>
        <v>-1</v>
      </c>
      <c r="BC7" s="13">
        <f t="shared" si="7"/>
        <v>-1</v>
      </c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4"/>
    </row>
    <row r="8" spans="1:70" x14ac:dyDescent="0.25">
      <c r="A8" s="101" t="s">
        <v>71</v>
      </c>
      <c r="B8" s="102">
        <v>1</v>
      </c>
      <c r="C8" s="103">
        <v>0</v>
      </c>
      <c r="D8" s="102">
        <v>2</v>
      </c>
      <c r="E8" s="103">
        <v>5</v>
      </c>
      <c r="F8" s="102">
        <v>4</v>
      </c>
      <c r="G8" s="103">
        <v>5</v>
      </c>
      <c r="H8" s="102">
        <v>4</v>
      </c>
      <c r="I8" s="103">
        <v>5</v>
      </c>
      <c r="J8" s="102">
        <v>4</v>
      </c>
      <c r="K8" s="103">
        <v>5</v>
      </c>
      <c r="L8" s="102">
        <v>4</v>
      </c>
      <c r="M8" s="103">
        <v>5</v>
      </c>
      <c r="N8" s="102">
        <v>4</v>
      </c>
      <c r="O8" s="103">
        <v>5</v>
      </c>
      <c r="P8" s="102">
        <v>4</v>
      </c>
      <c r="Q8" s="103">
        <v>5</v>
      </c>
      <c r="R8" s="102">
        <v>4</v>
      </c>
      <c r="S8" s="64">
        <v>5</v>
      </c>
      <c r="T8" s="102">
        <v>4</v>
      </c>
      <c r="U8" s="103">
        <v>5</v>
      </c>
      <c r="V8" s="102">
        <v>4</v>
      </c>
      <c r="W8" s="103">
        <v>5</v>
      </c>
      <c r="X8" s="102">
        <v>4</v>
      </c>
      <c r="Y8" s="103"/>
      <c r="Z8" s="102">
        <v>4</v>
      </c>
      <c r="AA8" s="103"/>
      <c r="AB8" s="102">
        <v>4</v>
      </c>
      <c r="AC8" s="103"/>
      <c r="AD8" s="102">
        <v>4</v>
      </c>
      <c r="AE8" s="103"/>
      <c r="AF8" s="102">
        <v>4</v>
      </c>
      <c r="AG8" s="103"/>
      <c r="AH8" s="102">
        <v>4</v>
      </c>
      <c r="AI8" s="103"/>
      <c r="AJ8" s="102">
        <v>4</v>
      </c>
      <c r="AK8" s="103"/>
      <c r="AL8" s="102">
        <v>4</v>
      </c>
      <c r="AM8" s="103"/>
      <c r="AN8" s="102">
        <v>4</v>
      </c>
      <c r="AO8" s="103"/>
      <c r="AP8" s="102">
        <v>4</v>
      </c>
      <c r="AQ8" s="103"/>
      <c r="AR8" s="102">
        <v>3.5</v>
      </c>
      <c r="AS8" s="103"/>
      <c r="AT8" s="102">
        <v>1.5</v>
      </c>
      <c r="AU8" s="104"/>
      <c r="AV8" s="105">
        <f t="shared" si="0"/>
        <v>-1</v>
      </c>
      <c r="AW8" s="103">
        <f t="shared" si="1"/>
        <v>3</v>
      </c>
      <c r="AX8" s="103">
        <f t="shared" si="2"/>
        <v>1</v>
      </c>
      <c r="AY8" s="103">
        <f t="shared" si="3"/>
        <v>1</v>
      </c>
      <c r="AZ8" s="103">
        <f t="shared" si="4"/>
        <v>1</v>
      </c>
      <c r="BA8" s="103">
        <f t="shared" si="5"/>
        <v>1</v>
      </c>
      <c r="BB8" s="103">
        <f t="shared" si="6"/>
        <v>1</v>
      </c>
      <c r="BC8" s="103">
        <f t="shared" si="7"/>
        <v>1</v>
      </c>
      <c r="BD8" s="103"/>
      <c r="BE8" s="103"/>
      <c r="BF8" s="103"/>
      <c r="BG8" s="103"/>
      <c r="BH8" s="103"/>
      <c r="BI8" s="103"/>
      <c r="BJ8" s="103"/>
      <c r="BK8" s="103"/>
      <c r="BL8" s="103"/>
      <c r="BM8" s="103"/>
      <c r="BN8" s="103"/>
      <c r="BO8" s="103"/>
      <c r="BP8" s="103"/>
      <c r="BQ8" s="103"/>
      <c r="BR8" s="104"/>
    </row>
    <row r="9" spans="1:70" x14ac:dyDescent="0.25">
      <c r="A9" s="8" t="s">
        <v>72</v>
      </c>
      <c r="B9" s="12">
        <v>0</v>
      </c>
      <c r="C9" s="13">
        <v>0</v>
      </c>
      <c r="D9" s="12">
        <v>5</v>
      </c>
      <c r="E9" s="13">
        <v>0</v>
      </c>
      <c r="F9" s="12">
        <v>5</v>
      </c>
      <c r="G9" s="13">
        <v>2</v>
      </c>
      <c r="H9" s="12">
        <v>5</v>
      </c>
      <c r="I9" s="13">
        <v>2</v>
      </c>
      <c r="J9" s="12">
        <v>5</v>
      </c>
      <c r="K9" s="13">
        <v>0</v>
      </c>
      <c r="L9" s="12">
        <v>5</v>
      </c>
      <c r="M9" s="13">
        <v>2</v>
      </c>
      <c r="N9" s="12">
        <v>5</v>
      </c>
      <c r="O9" s="13">
        <v>2</v>
      </c>
      <c r="P9" s="12">
        <v>5</v>
      </c>
      <c r="Q9" s="13">
        <v>3</v>
      </c>
      <c r="R9" s="12">
        <v>5</v>
      </c>
      <c r="S9" s="64">
        <v>5</v>
      </c>
      <c r="T9" s="12">
        <v>5</v>
      </c>
      <c r="U9" s="13">
        <v>4</v>
      </c>
      <c r="V9" s="12">
        <v>5</v>
      </c>
      <c r="W9" s="13">
        <v>4</v>
      </c>
      <c r="X9" s="12">
        <v>5</v>
      </c>
      <c r="Y9" s="13"/>
      <c r="Z9" s="12">
        <v>5</v>
      </c>
      <c r="AA9" s="13"/>
      <c r="AB9" s="12">
        <v>5</v>
      </c>
      <c r="AC9" s="13"/>
      <c r="AD9" s="12">
        <v>5</v>
      </c>
      <c r="AE9" s="13"/>
      <c r="AF9" s="12">
        <v>5</v>
      </c>
      <c r="AG9" s="13"/>
      <c r="AH9" s="12">
        <v>5</v>
      </c>
      <c r="AI9" s="13"/>
      <c r="AJ9" s="12">
        <v>5</v>
      </c>
      <c r="AK9" s="13"/>
      <c r="AL9" s="12">
        <v>5</v>
      </c>
      <c r="AM9" s="13"/>
      <c r="AN9" s="12">
        <v>5</v>
      </c>
      <c r="AO9" s="13"/>
      <c r="AP9" s="12">
        <v>5</v>
      </c>
      <c r="AQ9" s="13"/>
      <c r="AR9" s="12">
        <v>5</v>
      </c>
      <c r="AS9" s="13"/>
      <c r="AT9" s="12">
        <v>2.5</v>
      </c>
      <c r="AU9" s="14"/>
      <c r="AV9" s="24">
        <f t="shared" si="0"/>
        <v>0</v>
      </c>
      <c r="AW9" s="13">
        <f t="shared" si="1"/>
        <v>-5</v>
      </c>
      <c r="AX9" s="13">
        <f t="shared" si="2"/>
        <v>-3</v>
      </c>
      <c r="AY9" s="13">
        <f t="shared" si="3"/>
        <v>-3</v>
      </c>
      <c r="AZ9" s="13">
        <f t="shared" si="4"/>
        <v>-5</v>
      </c>
      <c r="BA9" s="13">
        <f t="shared" si="5"/>
        <v>-3</v>
      </c>
      <c r="BB9" s="13">
        <f t="shared" si="6"/>
        <v>-3</v>
      </c>
      <c r="BC9" s="13">
        <f t="shared" si="7"/>
        <v>-2</v>
      </c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4"/>
    </row>
    <row r="10" spans="1:70" x14ac:dyDescent="0.25">
      <c r="A10" s="101" t="s">
        <v>73</v>
      </c>
      <c r="B10" s="102">
        <v>0</v>
      </c>
      <c r="C10" s="103">
        <v>0</v>
      </c>
      <c r="D10" s="102">
        <v>0</v>
      </c>
      <c r="E10" s="103">
        <v>0</v>
      </c>
      <c r="F10" s="102">
        <v>1</v>
      </c>
      <c r="G10" s="103">
        <v>0</v>
      </c>
      <c r="H10" s="102">
        <v>1</v>
      </c>
      <c r="I10" s="103">
        <v>0</v>
      </c>
      <c r="J10" s="102">
        <v>1</v>
      </c>
      <c r="K10" s="103">
        <v>0</v>
      </c>
      <c r="L10" s="102">
        <v>1</v>
      </c>
      <c r="M10" s="103">
        <v>0</v>
      </c>
      <c r="N10" s="102">
        <v>1</v>
      </c>
      <c r="O10" s="103">
        <v>1</v>
      </c>
      <c r="P10" s="102">
        <v>1</v>
      </c>
      <c r="Q10" s="103">
        <v>1</v>
      </c>
      <c r="R10" s="102">
        <v>1</v>
      </c>
      <c r="S10" s="64">
        <v>1</v>
      </c>
      <c r="T10" s="102">
        <v>1</v>
      </c>
      <c r="U10" s="103">
        <v>1</v>
      </c>
      <c r="V10" s="102">
        <v>1</v>
      </c>
      <c r="W10" s="103">
        <v>1</v>
      </c>
      <c r="X10" s="102">
        <v>1</v>
      </c>
      <c r="Y10" s="103"/>
      <c r="Z10" s="102">
        <v>1</v>
      </c>
      <c r="AA10" s="103"/>
      <c r="AB10" s="102">
        <v>1</v>
      </c>
      <c r="AC10" s="103"/>
      <c r="AD10" s="102">
        <v>1</v>
      </c>
      <c r="AE10" s="103"/>
      <c r="AF10" s="102">
        <v>1</v>
      </c>
      <c r="AG10" s="103"/>
      <c r="AH10" s="102">
        <v>1</v>
      </c>
      <c r="AI10" s="103"/>
      <c r="AJ10" s="102">
        <v>1</v>
      </c>
      <c r="AK10" s="103"/>
      <c r="AL10" s="102">
        <v>1</v>
      </c>
      <c r="AM10" s="103"/>
      <c r="AN10" s="102">
        <v>1</v>
      </c>
      <c r="AO10" s="103"/>
      <c r="AP10" s="102">
        <v>1</v>
      </c>
      <c r="AQ10" s="103"/>
      <c r="AR10" s="102">
        <v>1</v>
      </c>
      <c r="AS10" s="103"/>
      <c r="AT10" s="102">
        <v>0.5</v>
      </c>
      <c r="AU10" s="104"/>
      <c r="AV10" s="105">
        <f t="shared" si="0"/>
        <v>0</v>
      </c>
      <c r="AW10" s="103">
        <f t="shared" si="1"/>
        <v>0</v>
      </c>
      <c r="AX10" s="103">
        <f t="shared" si="2"/>
        <v>-1</v>
      </c>
      <c r="AY10" s="103">
        <f t="shared" si="3"/>
        <v>-1</v>
      </c>
      <c r="AZ10" s="103">
        <f t="shared" si="4"/>
        <v>-1</v>
      </c>
      <c r="BA10" s="103">
        <f t="shared" si="5"/>
        <v>-1</v>
      </c>
      <c r="BB10" s="103">
        <f t="shared" si="6"/>
        <v>0</v>
      </c>
      <c r="BC10" s="103">
        <f t="shared" si="7"/>
        <v>0</v>
      </c>
      <c r="BD10" s="103"/>
      <c r="BE10" s="103"/>
      <c r="BF10" s="103"/>
      <c r="BG10" s="103"/>
      <c r="BH10" s="103"/>
      <c r="BI10" s="103"/>
      <c r="BJ10" s="103"/>
      <c r="BK10" s="103"/>
      <c r="BL10" s="103"/>
      <c r="BM10" s="103"/>
      <c r="BN10" s="103"/>
      <c r="BO10" s="103"/>
      <c r="BP10" s="103"/>
      <c r="BQ10" s="103"/>
      <c r="BR10" s="104"/>
    </row>
    <row r="11" spans="1:70" x14ac:dyDescent="0.25">
      <c r="A11" s="8" t="s">
        <v>74</v>
      </c>
      <c r="B11" s="12">
        <v>0</v>
      </c>
      <c r="C11" s="13">
        <v>0</v>
      </c>
      <c r="D11" s="12">
        <v>6</v>
      </c>
      <c r="E11" s="13">
        <v>1</v>
      </c>
      <c r="F11" s="12">
        <v>6</v>
      </c>
      <c r="G11" s="13">
        <v>1</v>
      </c>
      <c r="H11" s="12">
        <v>6</v>
      </c>
      <c r="I11" s="13">
        <v>1</v>
      </c>
      <c r="J11" s="12">
        <v>6</v>
      </c>
      <c r="K11" s="13">
        <v>0</v>
      </c>
      <c r="L11" s="12">
        <v>6</v>
      </c>
      <c r="M11" s="13">
        <v>3</v>
      </c>
      <c r="N11" s="12">
        <v>6</v>
      </c>
      <c r="O11" s="13">
        <v>1</v>
      </c>
      <c r="P11" s="12">
        <v>6</v>
      </c>
      <c r="Q11" s="13">
        <v>0</v>
      </c>
      <c r="R11" s="12">
        <v>6</v>
      </c>
      <c r="S11" s="64"/>
      <c r="T11" s="12">
        <v>6</v>
      </c>
      <c r="U11" s="13"/>
      <c r="V11" s="12">
        <v>6</v>
      </c>
      <c r="W11" s="13"/>
      <c r="X11" s="12">
        <v>6</v>
      </c>
      <c r="Y11" s="13"/>
      <c r="Z11" s="12">
        <v>6</v>
      </c>
      <c r="AA11" s="13"/>
      <c r="AB11" s="12">
        <v>6</v>
      </c>
      <c r="AC11" s="13"/>
      <c r="AD11" s="12">
        <v>6</v>
      </c>
      <c r="AE11" s="13"/>
      <c r="AF11" s="12">
        <v>6</v>
      </c>
      <c r="AG11" s="13"/>
      <c r="AH11" s="12">
        <v>6</v>
      </c>
      <c r="AI11" s="13"/>
      <c r="AJ11" s="12">
        <v>6</v>
      </c>
      <c r="AK11" s="13"/>
      <c r="AL11" s="12">
        <v>6</v>
      </c>
      <c r="AM11" s="13"/>
      <c r="AN11" s="12">
        <v>6</v>
      </c>
      <c r="AO11" s="13"/>
      <c r="AP11" s="12">
        <v>6</v>
      </c>
      <c r="AQ11" s="13"/>
      <c r="AR11" s="12">
        <v>6</v>
      </c>
      <c r="AS11" s="13"/>
      <c r="AT11" s="12">
        <v>3</v>
      </c>
      <c r="AU11" s="14"/>
      <c r="AV11" s="24">
        <f t="shared" si="0"/>
        <v>0</v>
      </c>
      <c r="AW11" s="13">
        <f t="shared" si="1"/>
        <v>-5</v>
      </c>
      <c r="AX11" s="13">
        <f t="shared" si="2"/>
        <v>-5</v>
      </c>
      <c r="AY11" s="13">
        <f t="shared" si="3"/>
        <v>-5</v>
      </c>
      <c r="AZ11" s="13">
        <f t="shared" si="4"/>
        <v>-6</v>
      </c>
      <c r="BA11" s="13">
        <f t="shared" si="5"/>
        <v>-3</v>
      </c>
      <c r="BB11" s="13">
        <f t="shared" si="6"/>
        <v>-5</v>
      </c>
      <c r="BC11" s="13">
        <f t="shared" si="7"/>
        <v>-6</v>
      </c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4"/>
    </row>
    <row r="12" spans="1:70" x14ac:dyDescent="0.25">
      <c r="A12" s="101" t="s">
        <v>75</v>
      </c>
      <c r="B12" s="102">
        <v>0</v>
      </c>
      <c r="C12" s="103">
        <v>0</v>
      </c>
      <c r="D12" s="102">
        <v>1</v>
      </c>
      <c r="E12" s="103">
        <v>0</v>
      </c>
      <c r="F12" s="102">
        <v>3</v>
      </c>
      <c r="G12" s="103">
        <v>0</v>
      </c>
      <c r="H12" s="102">
        <v>3</v>
      </c>
      <c r="I12" s="103">
        <v>0</v>
      </c>
      <c r="J12" s="102">
        <v>3</v>
      </c>
      <c r="K12" s="103">
        <v>0</v>
      </c>
      <c r="L12" s="102">
        <v>3</v>
      </c>
      <c r="M12" s="103">
        <v>0</v>
      </c>
      <c r="N12" s="102">
        <v>3</v>
      </c>
      <c r="O12" s="103">
        <v>0</v>
      </c>
      <c r="P12" s="102">
        <v>3</v>
      </c>
      <c r="Q12" s="103">
        <v>0</v>
      </c>
      <c r="R12" s="102">
        <v>3</v>
      </c>
      <c r="S12" s="64"/>
      <c r="T12" s="102">
        <v>3</v>
      </c>
      <c r="U12" s="103">
        <v>3</v>
      </c>
      <c r="V12" s="102">
        <v>3</v>
      </c>
      <c r="W12" s="103">
        <v>2</v>
      </c>
      <c r="X12" s="102">
        <v>3</v>
      </c>
      <c r="Y12" s="103"/>
      <c r="Z12" s="102">
        <v>3</v>
      </c>
      <c r="AA12" s="103"/>
      <c r="AB12" s="102">
        <v>3</v>
      </c>
      <c r="AC12" s="103"/>
      <c r="AD12" s="102">
        <v>3</v>
      </c>
      <c r="AE12" s="103"/>
      <c r="AF12" s="102">
        <v>3</v>
      </c>
      <c r="AG12" s="103"/>
      <c r="AH12" s="102">
        <v>3</v>
      </c>
      <c r="AI12" s="103"/>
      <c r="AJ12" s="102">
        <v>3</v>
      </c>
      <c r="AK12" s="103"/>
      <c r="AL12" s="102">
        <v>3</v>
      </c>
      <c r="AM12" s="103"/>
      <c r="AN12" s="102">
        <v>3</v>
      </c>
      <c r="AO12" s="103"/>
      <c r="AP12" s="102">
        <v>3</v>
      </c>
      <c r="AQ12" s="103"/>
      <c r="AR12" s="102">
        <v>3</v>
      </c>
      <c r="AS12" s="103"/>
      <c r="AT12" s="102">
        <v>1.5</v>
      </c>
      <c r="AU12" s="104"/>
      <c r="AV12" s="105">
        <f t="shared" si="0"/>
        <v>0</v>
      </c>
      <c r="AW12" s="103">
        <f t="shared" si="1"/>
        <v>-1</v>
      </c>
      <c r="AX12" s="103">
        <f t="shared" si="2"/>
        <v>-3</v>
      </c>
      <c r="AY12" s="103">
        <f t="shared" si="3"/>
        <v>-3</v>
      </c>
      <c r="AZ12" s="103">
        <f t="shared" si="4"/>
        <v>-3</v>
      </c>
      <c r="BA12" s="103">
        <f t="shared" si="5"/>
        <v>-3</v>
      </c>
      <c r="BB12" s="103">
        <f t="shared" si="6"/>
        <v>-3</v>
      </c>
      <c r="BC12" s="103">
        <f t="shared" si="7"/>
        <v>-3</v>
      </c>
      <c r="BD12" s="103"/>
      <c r="BE12" s="103"/>
      <c r="BF12" s="103"/>
      <c r="BG12" s="103"/>
      <c r="BH12" s="103"/>
      <c r="BI12" s="103"/>
      <c r="BJ12" s="103"/>
      <c r="BK12" s="103"/>
      <c r="BL12" s="103"/>
      <c r="BM12" s="103"/>
      <c r="BN12" s="103"/>
      <c r="BO12" s="103"/>
      <c r="BP12" s="103"/>
      <c r="BQ12" s="103"/>
      <c r="BR12" s="104"/>
    </row>
    <row r="13" spans="1:70" x14ac:dyDescent="0.25">
      <c r="A13" s="8" t="s">
        <v>76</v>
      </c>
      <c r="B13" s="12">
        <v>0</v>
      </c>
      <c r="C13" s="13">
        <v>0</v>
      </c>
      <c r="D13" s="12">
        <v>1</v>
      </c>
      <c r="E13" s="13">
        <v>0</v>
      </c>
      <c r="F13" s="12">
        <v>4</v>
      </c>
      <c r="G13" s="13">
        <v>0</v>
      </c>
      <c r="H13" s="12">
        <v>4</v>
      </c>
      <c r="I13" s="13">
        <v>0</v>
      </c>
      <c r="J13" s="12">
        <v>5</v>
      </c>
      <c r="K13" s="13">
        <v>0</v>
      </c>
      <c r="L13" s="12">
        <v>5</v>
      </c>
      <c r="M13" s="13">
        <v>0</v>
      </c>
      <c r="N13" s="12">
        <v>5</v>
      </c>
      <c r="O13" s="13">
        <v>1</v>
      </c>
      <c r="P13" s="12">
        <v>5</v>
      </c>
      <c r="Q13" s="13">
        <v>1</v>
      </c>
      <c r="R13" s="12">
        <v>5</v>
      </c>
      <c r="S13" s="64">
        <v>1</v>
      </c>
      <c r="T13" s="12">
        <v>5</v>
      </c>
      <c r="U13" s="13">
        <v>5</v>
      </c>
      <c r="V13" s="12">
        <v>5</v>
      </c>
      <c r="W13" s="13">
        <v>5</v>
      </c>
      <c r="X13" s="12">
        <v>5</v>
      </c>
      <c r="Y13" s="13"/>
      <c r="Z13" s="12">
        <v>5</v>
      </c>
      <c r="AA13" s="13"/>
      <c r="AB13" s="12">
        <v>5</v>
      </c>
      <c r="AC13" s="13"/>
      <c r="AD13" s="12">
        <v>5</v>
      </c>
      <c r="AE13" s="13"/>
      <c r="AF13" s="12">
        <v>5</v>
      </c>
      <c r="AG13" s="13"/>
      <c r="AH13" s="12">
        <v>5</v>
      </c>
      <c r="AI13" s="13"/>
      <c r="AJ13" s="12">
        <v>5</v>
      </c>
      <c r="AK13" s="13"/>
      <c r="AL13" s="12">
        <v>5</v>
      </c>
      <c r="AM13" s="13"/>
      <c r="AN13" s="12">
        <v>5</v>
      </c>
      <c r="AO13" s="13"/>
      <c r="AP13" s="12">
        <v>5</v>
      </c>
      <c r="AQ13" s="13"/>
      <c r="AR13" s="12">
        <v>5</v>
      </c>
      <c r="AS13" s="13"/>
      <c r="AT13" s="12">
        <v>3.5</v>
      </c>
      <c r="AU13" s="14"/>
      <c r="AV13" s="24">
        <f t="shared" si="0"/>
        <v>0</v>
      </c>
      <c r="AW13" s="13">
        <f t="shared" si="1"/>
        <v>-1</v>
      </c>
      <c r="AX13" s="13">
        <f t="shared" si="2"/>
        <v>-4</v>
      </c>
      <c r="AY13" s="13">
        <f t="shared" si="3"/>
        <v>-4</v>
      </c>
      <c r="AZ13" s="13">
        <f t="shared" si="4"/>
        <v>-5</v>
      </c>
      <c r="BA13" s="13">
        <f t="shared" si="5"/>
        <v>-5</v>
      </c>
      <c r="BB13" s="13">
        <f t="shared" si="6"/>
        <v>-4</v>
      </c>
      <c r="BC13" s="13">
        <f t="shared" si="7"/>
        <v>-4</v>
      </c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4"/>
    </row>
    <row r="14" spans="1:70" x14ac:dyDescent="0.25">
      <c r="A14" s="101" t="s">
        <v>77</v>
      </c>
      <c r="B14" s="102">
        <v>0</v>
      </c>
      <c r="C14" s="103">
        <v>0</v>
      </c>
      <c r="D14" s="102">
        <v>0</v>
      </c>
      <c r="E14" s="103">
        <v>0</v>
      </c>
      <c r="F14" s="102">
        <v>2</v>
      </c>
      <c r="G14" s="103">
        <v>0</v>
      </c>
      <c r="H14" s="102">
        <v>2</v>
      </c>
      <c r="I14" s="103">
        <v>0</v>
      </c>
      <c r="J14" s="102">
        <v>2</v>
      </c>
      <c r="K14" s="103">
        <v>1</v>
      </c>
      <c r="L14" s="102">
        <v>2</v>
      </c>
      <c r="M14" s="103">
        <v>1</v>
      </c>
      <c r="N14" s="102">
        <v>2</v>
      </c>
      <c r="O14" s="103">
        <v>1</v>
      </c>
      <c r="P14" s="102">
        <v>2</v>
      </c>
      <c r="Q14" s="103">
        <v>1</v>
      </c>
      <c r="R14" s="102">
        <v>2</v>
      </c>
      <c r="S14" s="64">
        <v>1</v>
      </c>
      <c r="T14" s="102">
        <v>2</v>
      </c>
      <c r="U14" s="103">
        <v>1</v>
      </c>
      <c r="V14" s="102">
        <v>2</v>
      </c>
      <c r="W14" s="103">
        <v>1</v>
      </c>
      <c r="X14" s="102">
        <v>2</v>
      </c>
      <c r="Y14" s="103"/>
      <c r="Z14" s="102">
        <v>2</v>
      </c>
      <c r="AA14" s="103"/>
      <c r="AB14" s="102">
        <v>2</v>
      </c>
      <c r="AC14" s="103"/>
      <c r="AD14" s="102">
        <v>2</v>
      </c>
      <c r="AE14" s="103"/>
      <c r="AF14" s="102">
        <v>2</v>
      </c>
      <c r="AG14" s="103"/>
      <c r="AH14" s="102">
        <v>2</v>
      </c>
      <c r="AI14" s="103"/>
      <c r="AJ14" s="102">
        <v>2</v>
      </c>
      <c r="AK14" s="103"/>
      <c r="AL14" s="102">
        <v>2</v>
      </c>
      <c r="AM14" s="103"/>
      <c r="AN14" s="102">
        <v>2</v>
      </c>
      <c r="AO14" s="103"/>
      <c r="AP14" s="102">
        <v>2</v>
      </c>
      <c r="AQ14" s="103"/>
      <c r="AR14" s="102">
        <v>2</v>
      </c>
      <c r="AS14" s="103"/>
      <c r="AT14" s="102">
        <v>1.5</v>
      </c>
      <c r="AU14" s="104"/>
      <c r="AV14" s="105">
        <f t="shared" si="0"/>
        <v>0</v>
      </c>
      <c r="AW14" s="103">
        <f t="shared" si="1"/>
        <v>0</v>
      </c>
      <c r="AX14" s="103">
        <f t="shared" si="2"/>
        <v>-2</v>
      </c>
      <c r="AY14" s="103">
        <f t="shared" si="3"/>
        <v>-2</v>
      </c>
      <c r="AZ14" s="103">
        <f t="shared" si="4"/>
        <v>-1</v>
      </c>
      <c r="BA14" s="103">
        <f t="shared" si="5"/>
        <v>-1</v>
      </c>
      <c r="BB14" s="103">
        <f t="shared" si="6"/>
        <v>-1</v>
      </c>
      <c r="BC14" s="103">
        <f t="shared" si="7"/>
        <v>-1</v>
      </c>
      <c r="BD14" s="103"/>
      <c r="BE14" s="103"/>
      <c r="BF14" s="103"/>
      <c r="BG14" s="103"/>
      <c r="BH14" s="103"/>
      <c r="BI14" s="103"/>
      <c r="BJ14" s="103"/>
      <c r="BK14" s="103"/>
      <c r="BL14" s="103"/>
      <c r="BM14" s="103"/>
      <c r="BN14" s="103"/>
      <c r="BO14" s="103"/>
      <c r="BP14" s="103"/>
      <c r="BQ14" s="103"/>
      <c r="BR14" s="104"/>
    </row>
    <row r="15" spans="1:70" x14ac:dyDescent="0.25">
      <c r="A15" s="8" t="s">
        <v>78</v>
      </c>
      <c r="B15" s="12">
        <v>0</v>
      </c>
      <c r="C15" s="13">
        <v>1</v>
      </c>
      <c r="D15" s="12">
        <v>1.5</v>
      </c>
      <c r="E15" s="13">
        <v>1</v>
      </c>
      <c r="F15" s="12">
        <v>3</v>
      </c>
      <c r="G15" s="13">
        <v>4</v>
      </c>
      <c r="H15" s="12">
        <v>3</v>
      </c>
      <c r="I15" s="13">
        <v>5</v>
      </c>
      <c r="J15" s="12">
        <v>4</v>
      </c>
      <c r="K15" s="13">
        <v>4</v>
      </c>
      <c r="L15" s="12">
        <v>4</v>
      </c>
      <c r="M15" s="13">
        <v>5</v>
      </c>
      <c r="N15" s="12">
        <v>4</v>
      </c>
      <c r="O15" s="13">
        <v>5</v>
      </c>
      <c r="P15" s="12">
        <v>4</v>
      </c>
      <c r="Q15" s="13">
        <v>7</v>
      </c>
      <c r="R15" s="12">
        <v>4</v>
      </c>
      <c r="S15" s="64">
        <v>8</v>
      </c>
      <c r="T15" s="12">
        <v>4</v>
      </c>
      <c r="U15" s="13"/>
      <c r="V15" s="12">
        <v>4</v>
      </c>
      <c r="W15" s="13"/>
      <c r="X15" s="12">
        <v>4</v>
      </c>
      <c r="Y15" s="13"/>
      <c r="Z15" s="12">
        <v>4</v>
      </c>
      <c r="AA15" s="13"/>
      <c r="AB15" s="12">
        <v>4</v>
      </c>
      <c r="AC15" s="13"/>
      <c r="AD15" s="12">
        <v>4</v>
      </c>
      <c r="AE15" s="13"/>
      <c r="AF15" s="12">
        <v>4</v>
      </c>
      <c r="AG15" s="13"/>
      <c r="AH15" s="12">
        <v>4</v>
      </c>
      <c r="AI15" s="13"/>
      <c r="AJ15" s="12">
        <v>4</v>
      </c>
      <c r="AK15" s="13"/>
      <c r="AL15" s="12">
        <v>4</v>
      </c>
      <c r="AM15" s="13"/>
      <c r="AN15" s="12">
        <v>4</v>
      </c>
      <c r="AO15" s="13"/>
      <c r="AP15" s="12">
        <v>4</v>
      </c>
      <c r="AQ15" s="13"/>
      <c r="AR15" s="12">
        <v>4</v>
      </c>
      <c r="AS15" s="13"/>
      <c r="AT15" s="12">
        <v>3</v>
      </c>
      <c r="AU15" s="14"/>
      <c r="AV15" s="24">
        <f t="shared" si="0"/>
        <v>1</v>
      </c>
      <c r="AW15" s="13">
        <f t="shared" si="1"/>
        <v>-0.5</v>
      </c>
      <c r="AX15" s="13">
        <f t="shared" si="2"/>
        <v>1</v>
      </c>
      <c r="AY15" s="13">
        <f t="shared" si="3"/>
        <v>2</v>
      </c>
      <c r="AZ15" s="13">
        <f t="shared" si="4"/>
        <v>0</v>
      </c>
      <c r="BA15" s="13">
        <f t="shared" si="5"/>
        <v>1</v>
      </c>
      <c r="BB15" s="13">
        <f t="shared" si="6"/>
        <v>1</v>
      </c>
      <c r="BC15" s="13">
        <f t="shared" si="7"/>
        <v>3</v>
      </c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4"/>
    </row>
    <row r="16" spans="1:70" x14ac:dyDescent="0.25">
      <c r="A16" s="101" t="s">
        <v>79</v>
      </c>
      <c r="B16" s="102">
        <v>1</v>
      </c>
      <c r="C16" s="103">
        <v>0</v>
      </c>
      <c r="D16" s="102">
        <v>3</v>
      </c>
      <c r="E16" s="103">
        <v>1</v>
      </c>
      <c r="F16" s="102">
        <v>6</v>
      </c>
      <c r="G16" s="103">
        <v>1</v>
      </c>
      <c r="H16" s="102">
        <v>8</v>
      </c>
      <c r="I16" s="103">
        <v>3</v>
      </c>
      <c r="J16" s="102">
        <v>8</v>
      </c>
      <c r="K16" s="103">
        <v>3</v>
      </c>
      <c r="L16" s="102">
        <v>8</v>
      </c>
      <c r="M16" s="103">
        <v>8</v>
      </c>
      <c r="N16" s="102">
        <v>8</v>
      </c>
      <c r="O16" s="103">
        <v>8</v>
      </c>
      <c r="P16" s="102">
        <v>8</v>
      </c>
      <c r="Q16" s="103">
        <v>7</v>
      </c>
      <c r="R16" s="102">
        <v>8</v>
      </c>
      <c r="S16" s="64">
        <v>7</v>
      </c>
      <c r="T16" s="102">
        <v>8</v>
      </c>
      <c r="U16" s="103">
        <v>8</v>
      </c>
      <c r="V16" s="102">
        <v>8</v>
      </c>
      <c r="W16" s="103">
        <v>8</v>
      </c>
      <c r="X16" s="102">
        <v>8</v>
      </c>
      <c r="Y16" s="103"/>
      <c r="Z16" s="102">
        <v>8</v>
      </c>
      <c r="AA16" s="103"/>
      <c r="AB16" s="102">
        <v>8</v>
      </c>
      <c r="AC16" s="103"/>
      <c r="AD16" s="102">
        <v>8</v>
      </c>
      <c r="AE16" s="103"/>
      <c r="AF16" s="102">
        <v>8</v>
      </c>
      <c r="AG16" s="103"/>
      <c r="AH16" s="102">
        <v>8</v>
      </c>
      <c r="AI16" s="103"/>
      <c r="AJ16" s="102">
        <v>8</v>
      </c>
      <c r="AK16" s="103"/>
      <c r="AL16" s="102">
        <v>8</v>
      </c>
      <c r="AM16" s="103"/>
      <c r="AN16" s="102">
        <v>8</v>
      </c>
      <c r="AO16" s="103"/>
      <c r="AP16" s="102">
        <v>8</v>
      </c>
      <c r="AQ16" s="103"/>
      <c r="AR16" s="102">
        <v>8</v>
      </c>
      <c r="AS16" s="103"/>
      <c r="AT16" s="102">
        <v>4</v>
      </c>
      <c r="AU16" s="104"/>
      <c r="AV16" s="105">
        <f t="shared" si="0"/>
        <v>-1</v>
      </c>
      <c r="AW16" s="103">
        <f t="shared" si="1"/>
        <v>-2</v>
      </c>
      <c r="AX16" s="103">
        <f t="shared" si="2"/>
        <v>-5</v>
      </c>
      <c r="AY16" s="103">
        <f t="shared" si="3"/>
        <v>-5</v>
      </c>
      <c r="AZ16" s="103">
        <f t="shared" si="4"/>
        <v>-5</v>
      </c>
      <c r="BA16" s="103">
        <f t="shared" si="5"/>
        <v>0</v>
      </c>
      <c r="BB16" s="103">
        <f t="shared" si="6"/>
        <v>0</v>
      </c>
      <c r="BC16" s="103">
        <f t="shared" si="7"/>
        <v>-1</v>
      </c>
      <c r="BD16" s="103"/>
      <c r="BE16" s="103"/>
      <c r="BF16" s="103"/>
      <c r="BG16" s="103"/>
      <c r="BH16" s="103"/>
      <c r="BI16" s="103"/>
      <c r="BJ16" s="103"/>
      <c r="BK16" s="103"/>
      <c r="BL16" s="103"/>
      <c r="BM16" s="103"/>
      <c r="BN16" s="103"/>
      <c r="BO16" s="103"/>
      <c r="BP16" s="103"/>
      <c r="BQ16" s="103"/>
      <c r="BR16" s="104"/>
    </row>
    <row r="17" spans="1:70" x14ac:dyDescent="0.25">
      <c r="A17" s="8" t="s">
        <v>80</v>
      </c>
      <c r="B17" s="12">
        <v>0</v>
      </c>
      <c r="C17" s="13">
        <v>2</v>
      </c>
      <c r="D17" s="12">
        <v>9</v>
      </c>
      <c r="E17" s="13">
        <v>24</v>
      </c>
      <c r="F17" s="12">
        <v>15</v>
      </c>
      <c r="G17" s="13">
        <v>32</v>
      </c>
      <c r="H17" s="12">
        <v>21</v>
      </c>
      <c r="I17" s="13">
        <v>36</v>
      </c>
      <c r="J17" s="12">
        <v>23</v>
      </c>
      <c r="K17" s="13">
        <v>44</v>
      </c>
      <c r="L17" s="12">
        <v>23</v>
      </c>
      <c r="M17" s="13">
        <v>47</v>
      </c>
      <c r="N17" s="12">
        <v>23</v>
      </c>
      <c r="O17" s="13">
        <v>47</v>
      </c>
      <c r="P17" s="12">
        <v>23</v>
      </c>
      <c r="Q17" s="13">
        <v>66</v>
      </c>
      <c r="R17" s="12">
        <v>23</v>
      </c>
      <c r="S17" s="64">
        <v>64</v>
      </c>
      <c r="T17" s="12">
        <v>23</v>
      </c>
      <c r="U17" s="13">
        <v>63</v>
      </c>
      <c r="V17" s="12">
        <v>23</v>
      </c>
      <c r="W17" s="13">
        <v>62</v>
      </c>
      <c r="X17" s="12">
        <v>23</v>
      </c>
      <c r="Y17" s="13"/>
      <c r="Z17" s="12">
        <v>23</v>
      </c>
      <c r="AA17" s="13"/>
      <c r="AB17" s="12">
        <v>23</v>
      </c>
      <c r="AC17" s="13"/>
      <c r="AD17" s="12">
        <v>23</v>
      </c>
      <c r="AE17" s="13"/>
      <c r="AF17" s="12">
        <v>23</v>
      </c>
      <c r="AG17" s="13"/>
      <c r="AH17" s="12">
        <v>23</v>
      </c>
      <c r="AI17" s="13"/>
      <c r="AJ17" s="12">
        <v>23</v>
      </c>
      <c r="AK17" s="13"/>
      <c r="AL17" s="12">
        <v>23</v>
      </c>
      <c r="AM17" s="13"/>
      <c r="AN17" s="12">
        <v>23</v>
      </c>
      <c r="AO17" s="13"/>
      <c r="AP17" s="12">
        <v>23</v>
      </c>
      <c r="AQ17" s="13"/>
      <c r="AR17" s="12">
        <v>18.5</v>
      </c>
      <c r="AS17" s="13"/>
      <c r="AT17" s="12">
        <v>7</v>
      </c>
      <c r="AU17" s="14"/>
      <c r="AV17" s="24">
        <f t="shared" si="0"/>
        <v>2</v>
      </c>
      <c r="AW17" s="13">
        <f t="shared" si="1"/>
        <v>15</v>
      </c>
      <c r="AX17" s="13">
        <f t="shared" si="2"/>
        <v>17</v>
      </c>
      <c r="AY17" s="13">
        <f t="shared" si="3"/>
        <v>15</v>
      </c>
      <c r="AZ17" s="13">
        <f t="shared" si="4"/>
        <v>21</v>
      </c>
      <c r="BA17" s="13">
        <f t="shared" si="5"/>
        <v>24</v>
      </c>
      <c r="BB17" s="13">
        <f t="shared" si="6"/>
        <v>24</v>
      </c>
      <c r="BC17" s="13">
        <f t="shared" si="7"/>
        <v>43</v>
      </c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4"/>
    </row>
    <row r="18" spans="1:70" x14ac:dyDescent="0.25">
      <c r="A18" s="101" t="s">
        <v>81</v>
      </c>
      <c r="B18" s="102">
        <v>0</v>
      </c>
      <c r="C18" s="103">
        <v>0</v>
      </c>
      <c r="D18" s="102">
        <v>0</v>
      </c>
      <c r="E18" s="103">
        <v>3</v>
      </c>
      <c r="F18" s="102">
        <v>2</v>
      </c>
      <c r="G18" s="103">
        <v>3</v>
      </c>
      <c r="H18" s="102">
        <v>2</v>
      </c>
      <c r="I18" s="103">
        <v>3</v>
      </c>
      <c r="J18" s="102">
        <v>2</v>
      </c>
      <c r="K18" s="103">
        <v>3</v>
      </c>
      <c r="L18" s="102">
        <v>2</v>
      </c>
      <c r="M18" s="103">
        <v>7</v>
      </c>
      <c r="N18" s="102">
        <v>2</v>
      </c>
      <c r="O18" s="103">
        <v>2</v>
      </c>
      <c r="P18" s="102">
        <v>2</v>
      </c>
      <c r="Q18" s="103">
        <v>2</v>
      </c>
      <c r="R18" s="102">
        <v>2</v>
      </c>
      <c r="S18" s="64">
        <v>4</v>
      </c>
      <c r="T18" s="102">
        <v>2</v>
      </c>
      <c r="U18" s="103">
        <v>3</v>
      </c>
      <c r="V18" s="102">
        <v>2</v>
      </c>
      <c r="W18" s="103">
        <v>3</v>
      </c>
      <c r="X18" s="102">
        <v>2</v>
      </c>
      <c r="Y18" s="103"/>
      <c r="Z18" s="102">
        <v>2</v>
      </c>
      <c r="AA18" s="103"/>
      <c r="AB18" s="102">
        <v>2</v>
      </c>
      <c r="AC18" s="103"/>
      <c r="AD18" s="102">
        <v>2</v>
      </c>
      <c r="AE18" s="103"/>
      <c r="AF18" s="102">
        <v>2</v>
      </c>
      <c r="AG18" s="103"/>
      <c r="AH18" s="102">
        <v>2</v>
      </c>
      <c r="AI18" s="103"/>
      <c r="AJ18" s="102">
        <v>2</v>
      </c>
      <c r="AK18" s="103"/>
      <c r="AL18" s="102">
        <v>2</v>
      </c>
      <c r="AM18" s="103"/>
      <c r="AN18" s="102">
        <v>2</v>
      </c>
      <c r="AO18" s="103"/>
      <c r="AP18" s="102">
        <v>2</v>
      </c>
      <c r="AQ18" s="103"/>
      <c r="AR18" s="102">
        <v>2</v>
      </c>
      <c r="AS18" s="103"/>
      <c r="AT18" s="102">
        <v>2</v>
      </c>
      <c r="AU18" s="104"/>
      <c r="AV18" s="105">
        <f t="shared" si="0"/>
        <v>0</v>
      </c>
      <c r="AW18" s="103">
        <f t="shared" si="1"/>
        <v>3</v>
      </c>
      <c r="AX18" s="103">
        <f t="shared" si="2"/>
        <v>1</v>
      </c>
      <c r="AY18" s="103">
        <f t="shared" si="3"/>
        <v>1</v>
      </c>
      <c r="AZ18" s="103">
        <f t="shared" si="4"/>
        <v>1</v>
      </c>
      <c r="BA18" s="103">
        <f t="shared" si="5"/>
        <v>5</v>
      </c>
      <c r="BB18" s="103">
        <f t="shared" si="6"/>
        <v>0</v>
      </c>
      <c r="BC18" s="103">
        <f t="shared" si="7"/>
        <v>0</v>
      </c>
      <c r="BD18" s="103"/>
      <c r="BE18" s="103"/>
      <c r="BF18" s="103"/>
      <c r="BG18" s="103"/>
      <c r="BH18" s="103"/>
      <c r="BI18" s="103"/>
      <c r="BJ18" s="103"/>
      <c r="BK18" s="103"/>
      <c r="BL18" s="103"/>
      <c r="BM18" s="103"/>
      <c r="BN18" s="103"/>
      <c r="BO18" s="103"/>
      <c r="BP18" s="103"/>
      <c r="BQ18" s="103"/>
      <c r="BR18" s="104"/>
    </row>
    <row r="19" spans="1:70" x14ac:dyDescent="0.25">
      <c r="A19" s="8" t="s">
        <v>82</v>
      </c>
      <c r="B19" s="12">
        <v>0</v>
      </c>
      <c r="C19" s="13">
        <v>1</v>
      </c>
      <c r="D19" s="12">
        <v>22</v>
      </c>
      <c r="E19" s="13">
        <v>6</v>
      </c>
      <c r="F19" s="12">
        <v>22</v>
      </c>
      <c r="G19" s="13">
        <v>12</v>
      </c>
      <c r="H19" s="12">
        <v>22</v>
      </c>
      <c r="I19" s="13">
        <v>18</v>
      </c>
      <c r="J19" s="12">
        <v>22</v>
      </c>
      <c r="K19" s="13">
        <v>13</v>
      </c>
      <c r="L19" s="12">
        <v>22</v>
      </c>
      <c r="M19" s="13">
        <v>24</v>
      </c>
      <c r="N19" s="12">
        <v>22</v>
      </c>
      <c r="O19" s="13">
        <v>27</v>
      </c>
      <c r="P19" s="12">
        <v>22</v>
      </c>
      <c r="Q19" s="13">
        <v>29</v>
      </c>
      <c r="R19" s="12">
        <v>22</v>
      </c>
      <c r="S19" s="64">
        <v>28</v>
      </c>
      <c r="T19" s="12">
        <v>22</v>
      </c>
      <c r="U19" s="13">
        <v>23</v>
      </c>
      <c r="V19" s="12">
        <v>22</v>
      </c>
      <c r="W19" s="13">
        <v>24</v>
      </c>
      <c r="X19" s="12">
        <v>22</v>
      </c>
      <c r="Y19" s="13"/>
      <c r="Z19" s="12">
        <v>22</v>
      </c>
      <c r="AA19" s="13"/>
      <c r="AB19" s="12">
        <v>22</v>
      </c>
      <c r="AC19" s="13"/>
      <c r="AD19" s="12">
        <v>22</v>
      </c>
      <c r="AE19" s="13"/>
      <c r="AF19" s="12">
        <v>26</v>
      </c>
      <c r="AG19" s="13"/>
      <c r="AH19" s="12">
        <v>26</v>
      </c>
      <c r="AI19" s="13"/>
      <c r="AJ19" s="12">
        <v>26</v>
      </c>
      <c r="AK19" s="13"/>
      <c r="AL19" s="12">
        <v>26</v>
      </c>
      <c r="AM19" s="13"/>
      <c r="AN19" s="12">
        <v>26</v>
      </c>
      <c r="AO19" s="13"/>
      <c r="AP19" s="12">
        <v>26</v>
      </c>
      <c r="AQ19" s="13"/>
      <c r="AR19" s="12">
        <v>26</v>
      </c>
      <c r="AS19" s="13"/>
      <c r="AT19" s="12">
        <v>13</v>
      </c>
      <c r="AU19" s="14"/>
      <c r="AV19" s="24">
        <f t="shared" si="0"/>
        <v>1</v>
      </c>
      <c r="AW19" s="13">
        <f t="shared" si="1"/>
        <v>-16</v>
      </c>
      <c r="AX19" s="13">
        <f t="shared" si="2"/>
        <v>-10</v>
      </c>
      <c r="AY19" s="13">
        <f t="shared" si="3"/>
        <v>-4</v>
      </c>
      <c r="AZ19" s="13">
        <f t="shared" si="4"/>
        <v>-9</v>
      </c>
      <c r="BA19" s="13">
        <f t="shared" si="5"/>
        <v>2</v>
      </c>
      <c r="BB19" s="13">
        <f t="shared" si="6"/>
        <v>5</v>
      </c>
      <c r="BC19" s="13">
        <f t="shared" si="7"/>
        <v>7</v>
      </c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4"/>
    </row>
    <row r="20" spans="1:70" x14ac:dyDescent="0.25">
      <c r="A20" s="101" t="s">
        <v>83</v>
      </c>
      <c r="B20" s="102">
        <v>0</v>
      </c>
      <c r="C20" s="103">
        <v>0</v>
      </c>
      <c r="D20" s="102">
        <v>9</v>
      </c>
      <c r="E20" s="103">
        <v>3</v>
      </c>
      <c r="F20" s="102">
        <v>18</v>
      </c>
      <c r="G20" s="103">
        <v>14</v>
      </c>
      <c r="H20" s="102">
        <v>18</v>
      </c>
      <c r="I20" s="103">
        <v>16</v>
      </c>
      <c r="J20" s="102">
        <v>18</v>
      </c>
      <c r="K20" s="103">
        <v>15</v>
      </c>
      <c r="L20" s="102">
        <v>18</v>
      </c>
      <c r="M20" s="103">
        <v>16</v>
      </c>
      <c r="N20" s="102">
        <v>18</v>
      </c>
      <c r="O20" s="103">
        <v>12</v>
      </c>
      <c r="P20" s="102">
        <v>18</v>
      </c>
      <c r="Q20" s="103">
        <v>13</v>
      </c>
      <c r="R20" s="102">
        <v>18</v>
      </c>
      <c r="S20" s="64">
        <v>17</v>
      </c>
      <c r="T20" s="102">
        <v>18</v>
      </c>
      <c r="U20" s="103">
        <v>19</v>
      </c>
      <c r="V20" s="102">
        <v>18</v>
      </c>
      <c r="W20" s="103">
        <v>18</v>
      </c>
      <c r="X20" s="102">
        <v>18</v>
      </c>
      <c r="Y20" s="103"/>
      <c r="Z20" s="102">
        <v>18</v>
      </c>
      <c r="AA20" s="103"/>
      <c r="AB20" s="102">
        <v>18</v>
      </c>
      <c r="AC20" s="103"/>
      <c r="AD20" s="102">
        <v>18</v>
      </c>
      <c r="AE20" s="103"/>
      <c r="AF20" s="102">
        <v>18</v>
      </c>
      <c r="AG20" s="103"/>
      <c r="AH20" s="102">
        <v>18</v>
      </c>
      <c r="AI20" s="103"/>
      <c r="AJ20" s="102">
        <v>18</v>
      </c>
      <c r="AK20" s="103"/>
      <c r="AL20" s="102">
        <v>18</v>
      </c>
      <c r="AM20" s="103"/>
      <c r="AN20" s="102">
        <v>18</v>
      </c>
      <c r="AO20" s="103"/>
      <c r="AP20" s="102">
        <v>18</v>
      </c>
      <c r="AQ20" s="103"/>
      <c r="AR20" s="102">
        <v>15.5</v>
      </c>
      <c r="AS20" s="103"/>
      <c r="AT20" s="102">
        <v>6.5</v>
      </c>
      <c r="AU20" s="104"/>
      <c r="AV20" s="105">
        <f t="shared" si="0"/>
        <v>0</v>
      </c>
      <c r="AW20" s="103">
        <f t="shared" si="1"/>
        <v>-6</v>
      </c>
      <c r="AX20" s="103">
        <f t="shared" si="2"/>
        <v>-4</v>
      </c>
      <c r="AY20" s="103">
        <f t="shared" si="3"/>
        <v>-2</v>
      </c>
      <c r="AZ20" s="103">
        <f t="shared" si="4"/>
        <v>-3</v>
      </c>
      <c r="BA20" s="103">
        <f t="shared" si="5"/>
        <v>-2</v>
      </c>
      <c r="BB20" s="103">
        <f t="shared" si="6"/>
        <v>-6</v>
      </c>
      <c r="BC20" s="103">
        <f t="shared" si="7"/>
        <v>-5</v>
      </c>
      <c r="BD20" s="103"/>
      <c r="BE20" s="103"/>
      <c r="BF20" s="103"/>
      <c r="BG20" s="103"/>
      <c r="BH20" s="103"/>
      <c r="BI20" s="103"/>
      <c r="BJ20" s="103"/>
      <c r="BK20" s="103"/>
      <c r="BL20" s="103"/>
      <c r="BM20" s="103"/>
      <c r="BN20" s="103"/>
      <c r="BO20" s="103"/>
      <c r="BP20" s="103"/>
      <c r="BQ20" s="103"/>
      <c r="BR20" s="104"/>
    </row>
    <row r="21" spans="1:70" x14ac:dyDescent="0.25">
      <c r="A21" s="8" t="s">
        <v>84</v>
      </c>
      <c r="B21" s="12">
        <v>0</v>
      </c>
      <c r="C21" s="13">
        <v>0</v>
      </c>
      <c r="D21" s="12">
        <v>0</v>
      </c>
      <c r="E21" s="13">
        <v>0</v>
      </c>
      <c r="F21" s="12">
        <v>1</v>
      </c>
      <c r="G21" s="13">
        <v>0</v>
      </c>
      <c r="H21" s="12">
        <v>2</v>
      </c>
      <c r="I21" s="13">
        <v>0</v>
      </c>
      <c r="J21" s="12">
        <v>3</v>
      </c>
      <c r="K21" s="13">
        <v>1</v>
      </c>
      <c r="L21" s="12">
        <v>3</v>
      </c>
      <c r="M21" s="13">
        <v>1</v>
      </c>
      <c r="N21" s="12">
        <v>3</v>
      </c>
      <c r="O21" s="13">
        <v>2</v>
      </c>
      <c r="P21" s="12">
        <v>3</v>
      </c>
      <c r="Q21" s="13">
        <v>2</v>
      </c>
      <c r="R21" s="12">
        <v>3</v>
      </c>
      <c r="S21" s="64">
        <v>2</v>
      </c>
      <c r="T21" s="12">
        <v>3</v>
      </c>
      <c r="U21" s="13">
        <v>3</v>
      </c>
      <c r="V21" s="12">
        <v>3</v>
      </c>
      <c r="W21" s="13">
        <v>3</v>
      </c>
      <c r="X21" s="12">
        <v>2</v>
      </c>
      <c r="Y21" s="13"/>
      <c r="Z21" s="12">
        <v>2</v>
      </c>
      <c r="AA21" s="13"/>
      <c r="AB21" s="12">
        <v>2</v>
      </c>
      <c r="AC21" s="13"/>
      <c r="AD21" s="12">
        <v>3</v>
      </c>
      <c r="AE21" s="13"/>
      <c r="AF21" s="12">
        <v>3</v>
      </c>
      <c r="AG21" s="13"/>
      <c r="AH21" s="12">
        <v>3</v>
      </c>
      <c r="AI21" s="13"/>
      <c r="AJ21" s="12">
        <v>3</v>
      </c>
      <c r="AK21" s="13"/>
      <c r="AL21" s="12">
        <v>3</v>
      </c>
      <c r="AM21" s="13"/>
      <c r="AN21" s="12">
        <v>3</v>
      </c>
      <c r="AO21" s="13"/>
      <c r="AP21" s="12">
        <v>3</v>
      </c>
      <c r="AQ21" s="13"/>
      <c r="AR21" s="12">
        <v>2</v>
      </c>
      <c r="AS21" s="13"/>
      <c r="AT21" s="12">
        <v>1</v>
      </c>
      <c r="AU21" s="14"/>
      <c r="AV21" s="24">
        <f t="shared" si="0"/>
        <v>0</v>
      </c>
      <c r="AW21" s="13">
        <f t="shared" si="1"/>
        <v>0</v>
      </c>
      <c r="AX21" s="13">
        <f t="shared" si="2"/>
        <v>-1</v>
      </c>
      <c r="AY21" s="13">
        <f t="shared" si="3"/>
        <v>-2</v>
      </c>
      <c r="AZ21" s="13">
        <f t="shared" si="4"/>
        <v>-2</v>
      </c>
      <c r="BA21" s="13">
        <f t="shared" si="5"/>
        <v>-2</v>
      </c>
      <c r="BB21" s="13">
        <f t="shared" si="6"/>
        <v>-1</v>
      </c>
      <c r="BC21" s="13">
        <f t="shared" si="7"/>
        <v>-1</v>
      </c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4"/>
    </row>
    <row r="22" spans="1:70" x14ac:dyDescent="0.25">
      <c r="A22" s="101" t="s">
        <v>85</v>
      </c>
      <c r="B22" s="102">
        <v>0</v>
      </c>
      <c r="C22" s="103">
        <v>0</v>
      </c>
      <c r="D22" s="102">
        <v>0</v>
      </c>
      <c r="E22" s="103">
        <v>0</v>
      </c>
      <c r="F22" s="102">
        <v>1</v>
      </c>
      <c r="G22" s="103">
        <v>0</v>
      </c>
      <c r="H22" s="102">
        <v>2</v>
      </c>
      <c r="I22" s="103">
        <v>0</v>
      </c>
      <c r="J22" s="102">
        <v>3</v>
      </c>
      <c r="K22" s="103">
        <v>0</v>
      </c>
      <c r="L22" s="102">
        <v>3</v>
      </c>
      <c r="M22" s="103">
        <v>1</v>
      </c>
      <c r="N22" s="102">
        <v>3</v>
      </c>
      <c r="O22" s="103">
        <v>9</v>
      </c>
      <c r="P22" s="102">
        <v>3</v>
      </c>
      <c r="Q22" s="103">
        <v>9</v>
      </c>
      <c r="R22" s="102">
        <v>3</v>
      </c>
      <c r="S22" s="64">
        <v>10</v>
      </c>
      <c r="T22" s="102">
        <v>3</v>
      </c>
      <c r="U22" s="103">
        <v>10</v>
      </c>
      <c r="V22" s="102">
        <v>3</v>
      </c>
      <c r="W22" s="103">
        <v>10</v>
      </c>
      <c r="X22" s="102">
        <v>2</v>
      </c>
      <c r="Y22" s="103"/>
      <c r="Z22" s="102">
        <v>2</v>
      </c>
      <c r="AA22" s="103"/>
      <c r="AB22" s="102">
        <v>2</v>
      </c>
      <c r="AC22" s="103"/>
      <c r="AD22" s="102">
        <v>3</v>
      </c>
      <c r="AE22" s="103"/>
      <c r="AF22" s="102">
        <v>3</v>
      </c>
      <c r="AG22" s="103"/>
      <c r="AH22" s="102">
        <v>3</v>
      </c>
      <c r="AI22" s="103"/>
      <c r="AJ22" s="102">
        <v>3</v>
      </c>
      <c r="AK22" s="103"/>
      <c r="AL22" s="102">
        <v>3</v>
      </c>
      <c r="AM22" s="103"/>
      <c r="AN22" s="102">
        <v>3</v>
      </c>
      <c r="AO22" s="103"/>
      <c r="AP22" s="102">
        <v>3</v>
      </c>
      <c r="AQ22" s="103"/>
      <c r="AR22" s="102">
        <v>2</v>
      </c>
      <c r="AS22" s="103"/>
      <c r="AT22" s="102">
        <v>1</v>
      </c>
      <c r="AU22" s="104"/>
      <c r="AV22" s="105">
        <f t="shared" si="0"/>
        <v>0</v>
      </c>
      <c r="AW22" s="103">
        <f t="shared" si="1"/>
        <v>0</v>
      </c>
      <c r="AX22" s="103">
        <f t="shared" si="2"/>
        <v>-1</v>
      </c>
      <c r="AY22" s="103">
        <f t="shared" si="3"/>
        <v>-2</v>
      </c>
      <c r="AZ22" s="103">
        <f t="shared" si="4"/>
        <v>-3</v>
      </c>
      <c r="BA22" s="103">
        <f t="shared" si="5"/>
        <v>-2</v>
      </c>
      <c r="BB22" s="103">
        <f t="shared" si="6"/>
        <v>6</v>
      </c>
      <c r="BC22" s="103">
        <f t="shared" si="7"/>
        <v>6</v>
      </c>
      <c r="BD22" s="103"/>
      <c r="BE22" s="103"/>
      <c r="BF22" s="103"/>
      <c r="BG22" s="103"/>
      <c r="BH22" s="103"/>
      <c r="BI22" s="103"/>
      <c r="BJ22" s="103"/>
      <c r="BK22" s="103"/>
      <c r="BL22" s="103"/>
      <c r="BM22" s="103"/>
      <c r="BN22" s="103"/>
      <c r="BO22" s="103"/>
      <c r="BP22" s="103"/>
      <c r="BQ22" s="103"/>
      <c r="BR22" s="104"/>
    </row>
    <row r="23" spans="1:70" x14ac:dyDescent="0.25">
      <c r="A23" s="8" t="s">
        <v>86</v>
      </c>
      <c r="B23" s="12">
        <v>0</v>
      </c>
      <c r="C23" s="13">
        <v>0</v>
      </c>
      <c r="D23" s="12">
        <v>4</v>
      </c>
      <c r="E23" s="13">
        <v>0</v>
      </c>
      <c r="F23" s="12">
        <v>4</v>
      </c>
      <c r="G23" s="13">
        <v>0</v>
      </c>
      <c r="H23" s="12">
        <v>4</v>
      </c>
      <c r="I23" s="13">
        <v>0</v>
      </c>
      <c r="J23" s="12">
        <v>4</v>
      </c>
      <c r="K23" s="13">
        <v>0</v>
      </c>
      <c r="L23" s="12">
        <v>4</v>
      </c>
      <c r="M23" s="13">
        <v>2</v>
      </c>
      <c r="N23" s="12">
        <v>4</v>
      </c>
      <c r="O23" s="13">
        <v>2</v>
      </c>
      <c r="P23" s="12">
        <v>4</v>
      </c>
      <c r="Q23" s="13">
        <v>2</v>
      </c>
      <c r="R23" s="12">
        <v>4</v>
      </c>
      <c r="S23" s="64">
        <v>2</v>
      </c>
      <c r="T23" s="12">
        <v>4</v>
      </c>
      <c r="U23" s="13">
        <v>2</v>
      </c>
      <c r="V23" s="12">
        <v>4</v>
      </c>
      <c r="W23" s="13">
        <v>2</v>
      </c>
      <c r="X23" s="12">
        <v>4</v>
      </c>
      <c r="Y23" s="13"/>
      <c r="Z23" s="12">
        <v>4</v>
      </c>
      <c r="AA23" s="13"/>
      <c r="AB23" s="12">
        <v>4</v>
      </c>
      <c r="AC23" s="13"/>
      <c r="AD23" s="12">
        <v>4</v>
      </c>
      <c r="AE23" s="13"/>
      <c r="AF23" s="12">
        <v>4</v>
      </c>
      <c r="AG23" s="13"/>
      <c r="AH23" s="12">
        <v>4</v>
      </c>
      <c r="AI23" s="13"/>
      <c r="AJ23" s="12">
        <v>4</v>
      </c>
      <c r="AK23" s="13"/>
      <c r="AL23" s="12">
        <v>4</v>
      </c>
      <c r="AM23" s="13"/>
      <c r="AN23" s="12">
        <v>4</v>
      </c>
      <c r="AO23" s="13"/>
      <c r="AP23" s="12">
        <v>4</v>
      </c>
      <c r="AQ23" s="13"/>
      <c r="AR23" s="12">
        <v>4</v>
      </c>
      <c r="AS23" s="13"/>
      <c r="AT23" s="12">
        <v>2</v>
      </c>
      <c r="AU23" s="14"/>
      <c r="AV23" s="24">
        <f t="shared" si="0"/>
        <v>0</v>
      </c>
      <c r="AW23" s="13">
        <f t="shared" si="1"/>
        <v>-4</v>
      </c>
      <c r="AX23" s="13">
        <f t="shared" si="2"/>
        <v>-4</v>
      </c>
      <c r="AY23" s="13">
        <f t="shared" si="3"/>
        <v>-4</v>
      </c>
      <c r="AZ23" s="13">
        <f t="shared" si="4"/>
        <v>-4</v>
      </c>
      <c r="BA23" s="13">
        <f t="shared" si="5"/>
        <v>-2</v>
      </c>
      <c r="BB23" s="13">
        <f t="shared" si="6"/>
        <v>-2</v>
      </c>
      <c r="BC23" s="13">
        <f t="shared" si="7"/>
        <v>-2</v>
      </c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4"/>
    </row>
    <row r="24" spans="1:70" x14ac:dyDescent="0.25">
      <c r="A24" s="101" t="s">
        <v>87</v>
      </c>
      <c r="B24" s="102">
        <v>0</v>
      </c>
      <c r="C24" s="103">
        <v>0</v>
      </c>
      <c r="D24" s="102">
        <v>6</v>
      </c>
      <c r="E24" s="103">
        <v>0</v>
      </c>
      <c r="F24" s="102">
        <v>6</v>
      </c>
      <c r="G24" s="103">
        <v>0</v>
      </c>
      <c r="H24" s="102">
        <v>6</v>
      </c>
      <c r="I24" s="103">
        <v>0</v>
      </c>
      <c r="J24" s="102">
        <v>6</v>
      </c>
      <c r="K24" s="103">
        <v>0</v>
      </c>
      <c r="L24" s="102">
        <v>6</v>
      </c>
      <c r="M24" s="103">
        <v>0</v>
      </c>
      <c r="N24" s="102">
        <v>6</v>
      </c>
      <c r="O24" s="103">
        <v>0</v>
      </c>
      <c r="P24" s="102">
        <v>6</v>
      </c>
      <c r="Q24" s="103">
        <v>0</v>
      </c>
      <c r="R24" s="102">
        <v>6</v>
      </c>
      <c r="S24" s="64"/>
      <c r="T24" s="102">
        <v>6</v>
      </c>
      <c r="U24" s="103">
        <v>4</v>
      </c>
      <c r="V24" s="102">
        <v>6</v>
      </c>
      <c r="W24" s="103">
        <v>4</v>
      </c>
      <c r="X24" s="102">
        <v>6</v>
      </c>
      <c r="Y24" s="103"/>
      <c r="Z24" s="102">
        <v>6</v>
      </c>
      <c r="AA24" s="103"/>
      <c r="AB24" s="102">
        <v>6</v>
      </c>
      <c r="AC24" s="103"/>
      <c r="AD24" s="102">
        <v>6</v>
      </c>
      <c r="AE24" s="103"/>
      <c r="AF24" s="102">
        <v>6</v>
      </c>
      <c r="AG24" s="103"/>
      <c r="AH24" s="102">
        <v>6</v>
      </c>
      <c r="AI24" s="103"/>
      <c r="AJ24" s="102">
        <v>6</v>
      </c>
      <c r="AK24" s="103"/>
      <c r="AL24" s="102">
        <v>6</v>
      </c>
      <c r="AM24" s="103"/>
      <c r="AN24" s="102">
        <v>6</v>
      </c>
      <c r="AO24" s="103"/>
      <c r="AP24" s="102">
        <v>6</v>
      </c>
      <c r="AQ24" s="103"/>
      <c r="AR24" s="102">
        <v>6</v>
      </c>
      <c r="AS24" s="103"/>
      <c r="AT24" s="102">
        <v>3</v>
      </c>
      <c r="AU24" s="104"/>
      <c r="AV24" s="105">
        <f t="shared" si="0"/>
        <v>0</v>
      </c>
      <c r="AW24" s="103">
        <f t="shared" si="1"/>
        <v>-6</v>
      </c>
      <c r="AX24" s="103">
        <f t="shared" si="2"/>
        <v>-6</v>
      </c>
      <c r="AY24" s="103">
        <f t="shared" si="3"/>
        <v>-6</v>
      </c>
      <c r="AZ24" s="103">
        <f t="shared" si="4"/>
        <v>-6</v>
      </c>
      <c r="BA24" s="103">
        <f t="shared" si="5"/>
        <v>-6</v>
      </c>
      <c r="BB24" s="103">
        <f t="shared" si="6"/>
        <v>-6</v>
      </c>
      <c r="BC24" s="103">
        <f t="shared" si="7"/>
        <v>-6</v>
      </c>
      <c r="BD24" s="103"/>
      <c r="BE24" s="103"/>
      <c r="BF24" s="103"/>
      <c r="BG24" s="103"/>
      <c r="BH24" s="103"/>
      <c r="BI24" s="103"/>
      <c r="BJ24" s="103"/>
      <c r="BK24" s="103"/>
      <c r="BL24" s="103"/>
      <c r="BM24" s="103"/>
      <c r="BN24" s="103"/>
      <c r="BO24" s="103"/>
      <c r="BP24" s="103"/>
      <c r="BQ24" s="103"/>
      <c r="BR24" s="104"/>
    </row>
    <row r="25" spans="1:70" x14ac:dyDescent="0.25">
      <c r="A25" s="8" t="s">
        <v>88</v>
      </c>
      <c r="B25" s="12">
        <v>0</v>
      </c>
      <c r="C25" s="13">
        <v>0</v>
      </c>
      <c r="D25" s="12">
        <v>8</v>
      </c>
      <c r="E25" s="13">
        <v>0</v>
      </c>
      <c r="F25" s="12">
        <v>8</v>
      </c>
      <c r="G25" s="13">
        <v>0</v>
      </c>
      <c r="H25" s="12">
        <v>8</v>
      </c>
      <c r="I25" s="13">
        <v>0</v>
      </c>
      <c r="J25" s="12">
        <v>8</v>
      </c>
      <c r="K25" s="13">
        <v>0</v>
      </c>
      <c r="L25" s="12">
        <v>8</v>
      </c>
      <c r="M25" s="13">
        <v>1</v>
      </c>
      <c r="N25" s="12">
        <v>8</v>
      </c>
      <c r="O25" s="13">
        <v>1</v>
      </c>
      <c r="P25" s="12">
        <v>8</v>
      </c>
      <c r="Q25" s="13">
        <v>1</v>
      </c>
      <c r="R25" s="12">
        <v>8</v>
      </c>
      <c r="S25" s="64">
        <v>1</v>
      </c>
      <c r="T25" s="12">
        <v>8</v>
      </c>
      <c r="U25" s="13">
        <v>1</v>
      </c>
      <c r="V25" s="12">
        <v>8</v>
      </c>
      <c r="W25" s="13">
        <v>1</v>
      </c>
      <c r="X25" s="12">
        <v>8</v>
      </c>
      <c r="Y25" s="13"/>
      <c r="Z25" s="12">
        <v>8</v>
      </c>
      <c r="AA25" s="13"/>
      <c r="AB25" s="12">
        <v>8</v>
      </c>
      <c r="AC25" s="13"/>
      <c r="AD25" s="12">
        <v>8</v>
      </c>
      <c r="AE25" s="13"/>
      <c r="AF25" s="12">
        <v>8</v>
      </c>
      <c r="AG25" s="13"/>
      <c r="AH25" s="12">
        <v>8</v>
      </c>
      <c r="AI25" s="13"/>
      <c r="AJ25" s="12">
        <v>8</v>
      </c>
      <c r="AK25" s="13"/>
      <c r="AL25" s="12">
        <v>8</v>
      </c>
      <c r="AM25" s="13"/>
      <c r="AN25" s="12">
        <v>8</v>
      </c>
      <c r="AO25" s="13"/>
      <c r="AP25" s="12">
        <v>8</v>
      </c>
      <c r="AQ25" s="13"/>
      <c r="AR25" s="12">
        <v>8</v>
      </c>
      <c r="AS25" s="13"/>
      <c r="AT25" s="12">
        <v>4</v>
      </c>
      <c r="AU25" s="14"/>
      <c r="AV25" s="24">
        <f t="shared" si="0"/>
        <v>0</v>
      </c>
      <c r="AW25" s="13">
        <f t="shared" si="1"/>
        <v>-8</v>
      </c>
      <c r="AX25" s="13">
        <f t="shared" si="2"/>
        <v>-8</v>
      </c>
      <c r="AY25" s="13">
        <f t="shared" si="3"/>
        <v>-8</v>
      </c>
      <c r="AZ25" s="13">
        <f t="shared" si="4"/>
        <v>-8</v>
      </c>
      <c r="BA25" s="13">
        <f t="shared" si="5"/>
        <v>-7</v>
      </c>
      <c r="BB25" s="13">
        <f t="shared" si="6"/>
        <v>-7</v>
      </c>
      <c r="BC25" s="13">
        <f t="shared" si="7"/>
        <v>-7</v>
      </c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4"/>
    </row>
    <row r="26" spans="1:70" x14ac:dyDescent="0.25">
      <c r="A26" s="101" t="s">
        <v>89</v>
      </c>
      <c r="B26" s="102">
        <v>0</v>
      </c>
      <c r="C26" s="103">
        <v>0</v>
      </c>
      <c r="D26" s="102">
        <v>0</v>
      </c>
      <c r="E26" s="103">
        <v>0</v>
      </c>
      <c r="F26" s="102">
        <v>1</v>
      </c>
      <c r="G26" s="103">
        <v>2</v>
      </c>
      <c r="H26" s="102">
        <v>1</v>
      </c>
      <c r="I26" s="103">
        <v>4</v>
      </c>
      <c r="J26" s="102">
        <v>1</v>
      </c>
      <c r="K26" s="103">
        <v>1</v>
      </c>
      <c r="L26" s="102">
        <v>1</v>
      </c>
      <c r="M26" s="103">
        <v>1</v>
      </c>
      <c r="N26" s="102">
        <v>1</v>
      </c>
      <c r="O26" s="103">
        <v>5</v>
      </c>
      <c r="P26" s="102">
        <v>1</v>
      </c>
      <c r="Q26" s="103">
        <v>3</v>
      </c>
      <c r="R26" s="102">
        <v>1</v>
      </c>
      <c r="S26" s="64">
        <v>4</v>
      </c>
      <c r="T26" s="102">
        <v>1</v>
      </c>
      <c r="U26" s="103"/>
      <c r="V26" s="102">
        <v>1</v>
      </c>
      <c r="W26" s="103"/>
      <c r="X26" s="102">
        <v>1</v>
      </c>
      <c r="Y26" s="103"/>
      <c r="Z26" s="102">
        <v>1</v>
      </c>
      <c r="AA26" s="103"/>
      <c r="AB26" s="102">
        <v>1</v>
      </c>
      <c r="AC26" s="103"/>
      <c r="AD26" s="102">
        <v>1</v>
      </c>
      <c r="AE26" s="103"/>
      <c r="AF26" s="102">
        <v>1</v>
      </c>
      <c r="AG26" s="103"/>
      <c r="AH26" s="102">
        <v>1</v>
      </c>
      <c r="AI26" s="103"/>
      <c r="AJ26" s="102">
        <v>1</v>
      </c>
      <c r="AK26" s="103"/>
      <c r="AL26" s="102">
        <v>1</v>
      </c>
      <c r="AM26" s="103"/>
      <c r="AN26" s="102">
        <v>1</v>
      </c>
      <c r="AO26" s="103"/>
      <c r="AP26" s="102">
        <v>1</v>
      </c>
      <c r="AQ26" s="103"/>
      <c r="AR26" s="102">
        <v>1</v>
      </c>
      <c r="AS26" s="103"/>
      <c r="AT26" s="102">
        <v>0.5</v>
      </c>
      <c r="AU26" s="104"/>
      <c r="AV26" s="105">
        <f t="shared" si="0"/>
        <v>0</v>
      </c>
      <c r="AW26" s="103">
        <f t="shared" si="1"/>
        <v>0</v>
      </c>
      <c r="AX26" s="103">
        <f t="shared" si="2"/>
        <v>1</v>
      </c>
      <c r="AY26" s="103">
        <f t="shared" si="3"/>
        <v>3</v>
      </c>
      <c r="AZ26" s="103">
        <f t="shared" si="4"/>
        <v>0</v>
      </c>
      <c r="BA26" s="103">
        <f t="shared" si="5"/>
        <v>0</v>
      </c>
      <c r="BB26" s="103">
        <f t="shared" si="6"/>
        <v>4</v>
      </c>
      <c r="BC26" s="103">
        <f t="shared" si="7"/>
        <v>2</v>
      </c>
      <c r="BD26" s="103"/>
      <c r="BE26" s="103"/>
      <c r="BF26" s="103"/>
      <c r="BG26" s="103"/>
      <c r="BH26" s="103"/>
      <c r="BI26" s="103"/>
      <c r="BJ26" s="103"/>
      <c r="BK26" s="103"/>
      <c r="BL26" s="103"/>
      <c r="BM26" s="103"/>
      <c r="BN26" s="103"/>
      <c r="BO26" s="103"/>
      <c r="BP26" s="103"/>
      <c r="BQ26" s="103"/>
      <c r="BR26" s="104"/>
    </row>
    <row r="27" spans="1:70" x14ac:dyDescent="0.25">
      <c r="A27" s="8" t="s">
        <v>90</v>
      </c>
      <c r="B27" s="12">
        <v>1</v>
      </c>
      <c r="C27" s="13">
        <v>0</v>
      </c>
      <c r="D27" s="12">
        <v>3</v>
      </c>
      <c r="E27" s="13">
        <v>0</v>
      </c>
      <c r="F27" s="12">
        <v>6</v>
      </c>
      <c r="G27" s="13">
        <v>1</v>
      </c>
      <c r="H27" s="12">
        <v>8</v>
      </c>
      <c r="I27" s="13">
        <v>1</v>
      </c>
      <c r="J27" s="12">
        <v>8</v>
      </c>
      <c r="K27" s="13">
        <v>2</v>
      </c>
      <c r="L27" s="12">
        <v>8</v>
      </c>
      <c r="M27" s="13">
        <v>2</v>
      </c>
      <c r="N27" s="12">
        <v>8</v>
      </c>
      <c r="O27" s="13">
        <v>0</v>
      </c>
      <c r="P27" s="12">
        <v>8</v>
      </c>
      <c r="Q27" s="13">
        <v>0</v>
      </c>
      <c r="R27" s="12">
        <v>8</v>
      </c>
      <c r="S27" s="64"/>
      <c r="T27" s="12">
        <v>8</v>
      </c>
      <c r="U27" s="13">
        <v>4</v>
      </c>
      <c r="V27" s="12">
        <v>8</v>
      </c>
      <c r="W27" s="13">
        <v>4</v>
      </c>
      <c r="X27" s="12">
        <v>8</v>
      </c>
      <c r="Y27" s="13"/>
      <c r="Z27" s="12">
        <v>8</v>
      </c>
      <c r="AA27" s="13"/>
      <c r="AB27" s="12">
        <v>8</v>
      </c>
      <c r="AC27" s="13"/>
      <c r="AD27" s="12">
        <v>8</v>
      </c>
      <c r="AE27" s="13"/>
      <c r="AF27" s="12">
        <v>8</v>
      </c>
      <c r="AG27" s="13"/>
      <c r="AH27" s="12">
        <v>8</v>
      </c>
      <c r="AI27" s="13"/>
      <c r="AJ27" s="12">
        <v>8</v>
      </c>
      <c r="AK27" s="13"/>
      <c r="AL27" s="12">
        <v>8</v>
      </c>
      <c r="AM27" s="13"/>
      <c r="AN27" s="12">
        <v>8</v>
      </c>
      <c r="AO27" s="13"/>
      <c r="AP27" s="12">
        <v>8</v>
      </c>
      <c r="AQ27" s="13"/>
      <c r="AR27" s="12">
        <v>8</v>
      </c>
      <c r="AS27" s="13"/>
      <c r="AT27" s="12">
        <v>4</v>
      </c>
      <c r="AU27" s="14"/>
      <c r="AV27" s="24">
        <f t="shared" si="0"/>
        <v>-1</v>
      </c>
      <c r="AW27" s="13">
        <f t="shared" si="1"/>
        <v>-3</v>
      </c>
      <c r="AX27" s="13">
        <f t="shared" si="2"/>
        <v>-5</v>
      </c>
      <c r="AY27" s="13">
        <f t="shared" si="3"/>
        <v>-7</v>
      </c>
      <c r="AZ27" s="13">
        <f t="shared" si="4"/>
        <v>-6</v>
      </c>
      <c r="BA27" s="13">
        <f t="shared" si="5"/>
        <v>-6</v>
      </c>
      <c r="BB27" s="13">
        <f t="shared" si="6"/>
        <v>-8</v>
      </c>
      <c r="BC27" s="13">
        <f t="shared" si="7"/>
        <v>-8</v>
      </c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4"/>
    </row>
    <row r="28" spans="1:70" x14ac:dyDescent="0.25">
      <c r="A28" s="101" t="s">
        <v>91</v>
      </c>
      <c r="B28" s="102">
        <v>0</v>
      </c>
      <c r="C28" s="103">
        <v>0</v>
      </c>
      <c r="D28" s="102">
        <v>0</v>
      </c>
      <c r="E28" s="103">
        <v>1</v>
      </c>
      <c r="F28" s="102">
        <v>1</v>
      </c>
      <c r="G28" s="103">
        <v>1</v>
      </c>
      <c r="H28" s="102">
        <v>1</v>
      </c>
      <c r="I28" s="103">
        <v>2</v>
      </c>
      <c r="J28" s="102">
        <v>2</v>
      </c>
      <c r="K28" s="103">
        <v>2</v>
      </c>
      <c r="L28" s="102">
        <v>2</v>
      </c>
      <c r="M28" s="103">
        <v>3</v>
      </c>
      <c r="N28" s="102">
        <v>2</v>
      </c>
      <c r="O28" s="103">
        <v>4</v>
      </c>
      <c r="P28" s="102">
        <v>2</v>
      </c>
      <c r="Q28" s="103">
        <v>5</v>
      </c>
      <c r="R28" s="102">
        <v>2</v>
      </c>
      <c r="S28" s="64">
        <v>5</v>
      </c>
      <c r="T28" s="102">
        <v>2</v>
      </c>
      <c r="U28" s="103">
        <v>4</v>
      </c>
      <c r="V28" s="102">
        <v>2</v>
      </c>
      <c r="W28" s="103">
        <v>4</v>
      </c>
      <c r="X28" s="102">
        <v>2</v>
      </c>
      <c r="Y28" s="103"/>
      <c r="Z28" s="102">
        <v>2</v>
      </c>
      <c r="AA28" s="103"/>
      <c r="AB28" s="102">
        <v>2</v>
      </c>
      <c r="AC28" s="103"/>
      <c r="AD28" s="102">
        <v>2</v>
      </c>
      <c r="AE28" s="103"/>
      <c r="AF28" s="102">
        <v>2</v>
      </c>
      <c r="AG28" s="103"/>
      <c r="AH28" s="102">
        <v>2</v>
      </c>
      <c r="AI28" s="103"/>
      <c r="AJ28" s="102">
        <v>2</v>
      </c>
      <c r="AK28" s="103"/>
      <c r="AL28" s="102">
        <v>2</v>
      </c>
      <c r="AM28" s="103"/>
      <c r="AN28" s="102">
        <v>2</v>
      </c>
      <c r="AO28" s="103"/>
      <c r="AP28" s="102">
        <v>2</v>
      </c>
      <c r="AQ28" s="103"/>
      <c r="AR28" s="102">
        <v>2</v>
      </c>
      <c r="AS28" s="103"/>
      <c r="AT28" s="102">
        <v>1</v>
      </c>
      <c r="AU28" s="104"/>
      <c r="AV28" s="105">
        <f t="shared" si="0"/>
        <v>0</v>
      </c>
      <c r="AW28" s="103">
        <f t="shared" si="1"/>
        <v>1</v>
      </c>
      <c r="AX28" s="103">
        <f t="shared" si="2"/>
        <v>0</v>
      </c>
      <c r="AY28" s="103">
        <f t="shared" si="3"/>
        <v>1</v>
      </c>
      <c r="AZ28" s="103">
        <f t="shared" si="4"/>
        <v>0</v>
      </c>
      <c r="BA28" s="103">
        <f t="shared" si="5"/>
        <v>1</v>
      </c>
      <c r="BB28" s="103">
        <f t="shared" si="6"/>
        <v>2</v>
      </c>
      <c r="BC28" s="103">
        <f t="shared" si="7"/>
        <v>3</v>
      </c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4"/>
    </row>
    <row r="29" spans="1:70" x14ac:dyDescent="0.25">
      <c r="A29" s="8" t="s">
        <v>92</v>
      </c>
      <c r="B29" s="12">
        <v>0</v>
      </c>
      <c r="C29" s="13">
        <v>0</v>
      </c>
      <c r="D29" s="12">
        <v>1</v>
      </c>
      <c r="E29" s="13">
        <v>0</v>
      </c>
      <c r="F29" s="12">
        <v>1</v>
      </c>
      <c r="G29" s="13">
        <v>0</v>
      </c>
      <c r="H29" s="12">
        <v>1</v>
      </c>
      <c r="I29" s="13">
        <v>0</v>
      </c>
      <c r="J29" s="12">
        <v>1</v>
      </c>
      <c r="K29" s="13">
        <v>1</v>
      </c>
      <c r="L29" s="12">
        <v>1</v>
      </c>
      <c r="M29" s="13">
        <v>3</v>
      </c>
      <c r="N29" s="12">
        <v>1</v>
      </c>
      <c r="O29" s="13">
        <v>1</v>
      </c>
      <c r="P29" s="12">
        <v>1</v>
      </c>
      <c r="Q29" s="13">
        <v>1</v>
      </c>
      <c r="R29" s="12">
        <v>1</v>
      </c>
      <c r="S29" s="64">
        <v>1</v>
      </c>
      <c r="T29" s="12">
        <v>1</v>
      </c>
      <c r="U29" s="13">
        <v>1</v>
      </c>
      <c r="V29" s="12">
        <v>1</v>
      </c>
      <c r="W29" s="13">
        <v>1</v>
      </c>
      <c r="X29" s="12">
        <v>1</v>
      </c>
      <c r="Y29" s="13"/>
      <c r="Z29" s="12">
        <v>1</v>
      </c>
      <c r="AA29" s="13"/>
      <c r="AB29" s="12">
        <v>1</v>
      </c>
      <c r="AC29" s="13"/>
      <c r="AD29" s="12">
        <v>1</v>
      </c>
      <c r="AE29" s="13"/>
      <c r="AF29" s="12">
        <v>1</v>
      </c>
      <c r="AG29" s="13"/>
      <c r="AH29" s="12">
        <v>1</v>
      </c>
      <c r="AI29" s="13"/>
      <c r="AJ29" s="12">
        <v>1</v>
      </c>
      <c r="AK29" s="13"/>
      <c r="AL29" s="12">
        <v>1</v>
      </c>
      <c r="AM29" s="13"/>
      <c r="AN29" s="12">
        <v>1</v>
      </c>
      <c r="AO29" s="13"/>
      <c r="AP29" s="12">
        <v>1</v>
      </c>
      <c r="AQ29" s="13"/>
      <c r="AR29" s="12">
        <v>0.5</v>
      </c>
      <c r="AS29" s="13"/>
      <c r="AT29" s="12">
        <v>0</v>
      </c>
      <c r="AU29" s="14"/>
      <c r="AV29" s="24">
        <f t="shared" si="0"/>
        <v>0</v>
      </c>
      <c r="AW29" s="13">
        <f t="shared" si="1"/>
        <v>-1</v>
      </c>
      <c r="AX29" s="13">
        <f t="shared" si="2"/>
        <v>-1</v>
      </c>
      <c r="AY29" s="13">
        <f t="shared" si="3"/>
        <v>-1</v>
      </c>
      <c r="AZ29" s="13">
        <f t="shared" si="4"/>
        <v>0</v>
      </c>
      <c r="BA29" s="13">
        <f t="shared" si="5"/>
        <v>2</v>
      </c>
      <c r="BB29" s="13">
        <f t="shared" si="6"/>
        <v>0</v>
      </c>
      <c r="BC29" s="13">
        <f t="shared" si="7"/>
        <v>0</v>
      </c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4"/>
    </row>
    <row r="30" spans="1:70" x14ac:dyDescent="0.25">
      <c r="A30" s="101" t="s">
        <v>93</v>
      </c>
      <c r="B30" s="102">
        <v>0</v>
      </c>
      <c r="C30" s="103">
        <v>0</v>
      </c>
      <c r="D30" s="102">
        <v>1</v>
      </c>
      <c r="E30" s="103">
        <v>0</v>
      </c>
      <c r="F30" s="102">
        <v>1</v>
      </c>
      <c r="G30" s="103">
        <v>0</v>
      </c>
      <c r="H30" s="102">
        <v>1</v>
      </c>
      <c r="I30" s="103">
        <v>0</v>
      </c>
      <c r="J30" s="102">
        <v>1</v>
      </c>
      <c r="K30" s="103">
        <v>0</v>
      </c>
      <c r="L30" s="102">
        <v>1</v>
      </c>
      <c r="M30" s="103">
        <v>2</v>
      </c>
      <c r="N30" s="102">
        <v>1</v>
      </c>
      <c r="O30" s="103">
        <v>0</v>
      </c>
      <c r="P30" s="102">
        <v>1</v>
      </c>
      <c r="Q30" s="103">
        <v>1</v>
      </c>
      <c r="R30" s="102">
        <v>1</v>
      </c>
      <c r="S30" s="64">
        <v>1</v>
      </c>
      <c r="T30" s="102">
        <v>1</v>
      </c>
      <c r="U30" s="103">
        <v>1</v>
      </c>
      <c r="V30" s="102">
        <v>1</v>
      </c>
      <c r="W30" s="103">
        <v>1</v>
      </c>
      <c r="X30" s="102">
        <v>1</v>
      </c>
      <c r="Y30" s="103"/>
      <c r="Z30" s="102">
        <v>1</v>
      </c>
      <c r="AA30" s="103"/>
      <c r="AB30" s="102">
        <v>1</v>
      </c>
      <c r="AC30" s="103"/>
      <c r="AD30" s="102">
        <v>1</v>
      </c>
      <c r="AE30" s="103"/>
      <c r="AF30" s="102">
        <v>1</v>
      </c>
      <c r="AG30" s="103"/>
      <c r="AH30" s="102">
        <v>1</v>
      </c>
      <c r="AI30" s="103"/>
      <c r="AJ30" s="102">
        <v>1</v>
      </c>
      <c r="AK30" s="103"/>
      <c r="AL30" s="102">
        <v>1</v>
      </c>
      <c r="AM30" s="103"/>
      <c r="AN30" s="102">
        <v>1</v>
      </c>
      <c r="AO30" s="103"/>
      <c r="AP30" s="102">
        <v>1</v>
      </c>
      <c r="AQ30" s="103"/>
      <c r="AR30" s="102">
        <v>1</v>
      </c>
      <c r="AS30" s="103"/>
      <c r="AT30" s="102">
        <v>0.5</v>
      </c>
      <c r="AU30" s="104"/>
      <c r="AV30" s="105">
        <f t="shared" si="0"/>
        <v>0</v>
      </c>
      <c r="AW30" s="103">
        <f t="shared" si="1"/>
        <v>-1</v>
      </c>
      <c r="AX30" s="103">
        <f t="shared" si="2"/>
        <v>-1</v>
      </c>
      <c r="AY30" s="103">
        <f t="shared" si="3"/>
        <v>-1</v>
      </c>
      <c r="AZ30" s="103">
        <f t="shared" si="4"/>
        <v>-1</v>
      </c>
      <c r="BA30" s="103">
        <f t="shared" si="5"/>
        <v>1</v>
      </c>
      <c r="BB30" s="103">
        <f t="shared" si="6"/>
        <v>-1</v>
      </c>
      <c r="BC30" s="103">
        <f t="shared" si="7"/>
        <v>0</v>
      </c>
      <c r="BD30" s="103"/>
      <c r="BE30" s="103"/>
      <c r="BF30" s="103"/>
      <c r="BG30" s="103"/>
      <c r="BH30" s="103"/>
      <c r="BI30" s="103"/>
      <c r="BJ30" s="103"/>
      <c r="BK30" s="103"/>
      <c r="BL30" s="103"/>
      <c r="BM30" s="103"/>
      <c r="BN30" s="103"/>
      <c r="BO30" s="103"/>
      <c r="BP30" s="103"/>
      <c r="BQ30" s="103"/>
      <c r="BR30" s="104"/>
    </row>
    <row r="31" spans="1:70" x14ac:dyDescent="0.25">
      <c r="A31" s="8" t="s">
        <v>94</v>
      </c>
      <c r="B31" s="12">
        <v>0</v>
      </c>
      <c r="C31" s="13">
        <v>0</v>
      </c>
      <c r="D31" s="12">
        <v>2</v>
      </c>
      <c r="E31" s="13">
        <v>0</v>
      </c>
      <c r="F31" s="12">
        <v>2</v>
      </c>
      <c r="G31" s="13">
        <v>0</v>
      </c>
      <c r="H31" s="12">
        <v>2</v>
      </c>
      <c r="I31" s="13">
        <v>0</v>
      </c>
      <c r="J31" s="12">
        <v>2</v>
      </c>
      <c r="K31" s="13">
        <v>0</v>
      </c>
      <c r="L31" s="12">
        <v>2</v>
      </c>
      <c r="M31" s="13">
        <v>0</v>
      </c>
      <c r="N31" s="12">
        <v>2</v>
      </c>
      <c r="O31" s="13">
        <v>1</v>
      </c>
      <c r="P31" s="12">
        <v>2</v>
      </c>
      <c r="Q31" s="13">
        <v>1</v>
      </c>
      <c r="R31" s="12">
        <v>2</v>
      </c>
      <c r="S31" s="64">
        <v>2</v>
      </c>
      <c r="T31" s="12">
        <v>2</v>
      </c>
      <c r="U31" s="13">
        <v>2</v>
      </c>
      <c r="V31" s="12">
        <v>2</v>
      </c>
      <c r="W31" s="13">
        <v>2</v>
      </c>
      <c r="X31" s="12">
        <v>2</v>
      </c>
      <c r="Y31" s="13"/>
      <c r="Z31" s="12">
        <v>2</v>
      </c>
      <c r="AA31" s="13"/>
      <c r="AB31" s="12">
        <v>2</v>
      </c>
      <c r="AC31" s="13"/>
      <c r="AD31" s="12">
        <v>2</v>
      </c>
      <c r="AE31" s="13"/>
      <c r="AF31" s="12">
        <v>2</v>
      </c>
      <c r="AG31" s="13"/>
      <c r="AH31" s="12">
        <v>2</v>
      </c>
      <c r="AI31" s="13"/>
      <c r="AJ31" s="12">
        <v>2</v>
      </c>
      <c r="AK31" s="13"/>
      <c r="AL31" s="12">
        <v>2</v>
      </c>
      <c r="AM31" s="13"/>
      <c r="AN31" s="12">
        <v>2</v>
      </c>
      <c r="AO31" s="13"/>
      <c r="AP31" s="12">
        <v>2</v>
      </c>
      <c r="AQ31" s="13"/>
      <c r="AR31" s="12">
        <v>2</v>
      </c>
      <c r="AS31" s="13"/>
      <c r="AT31" s="12">
        <v>1</v>
      </c>
      <c r="AU31" s="14"/>
      <c r="AV31" s="24">
        <f t="shared" si="0"/>
        <v>0</v>
      </c>
      <c r="AW31" s="13">
        <f t="shared" si="1"/>
        <v>-2</v>
      </c>
      <c r="AX31" s="13">
        <f t="shared" si="2"/>
        <v>-2</v>
      </c>
      <c r="AY31" s="13">
        <f t="shared" si="3"/>
        <v>-2</v>
      </c>
      <c r="AZ31" s="13">
        <f t="shared" si="4"/>
        <v>-2</v>
      </c>
      <c r="BA31" s="13">
        <f t="shared" si="5"/>
        <v>-2</v>
      </c>
      <c r="BB31" s="13">
        <f t="shared" si="6"/>
        <v>-1</v>
      </c>
      <c r="BC31" s="13">
        <f t="shared" si="7"/>
        <v>-1</v>
      </c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4"/>
    </row>
    <row r="32" spans="1:70" x14ac:dyDescent="0.25">
      <c r="A32" s="106" t="s">
        <v>95</v>
      </c>
      <c r="B32" s="107">
        <v>0</v>
      </c>
      <c r="C32" s="108">
        <v>0</v>
      </c>
      <c r="D32" s="107">
        <v>3</v>
      </c>
      <c r="E32" s="108">
        <v>3</v>
      </c>
      <c r="F32" s="107">
        <v>3</v>
      </c>
      <c r="G32" s="108">
        <v>4</v>
      </c>
      <c r="H32" s="107">
        <v>3</v>
      </c>
      <c r="I32" s="108">
        <v>6</v>
      </c>
      <c r="J32" s="107">
        <v>3</v>
      </c>
      <c r="K32" s="108">
        <v>0</v>
      </c>
      <c r="L32" s="107">
        <v>3</v>
      </c>
      <c r="M32" s="108">
        <v>4</v>
      </c>
      <c r="N32" s="107">
        <v>3</v>
      </c>
      <c r="O32" s="108">
        <v>6</v>
      </c>
      <c r="P32" s="107">
        <v>3</v>
      </c>
      <c r="Q32" s="108">
        <v>6</v>
      </c>
      <c r="R32" s="107">
        <v>3</v>
      </c>
      <c r="S32" s="65">
        <v>7</v>
      </c>
      <c r="T32" s="107">
        <v>3</v>
      </c>
      <c r="U32" s="108">
        <v>4</v>
      </c>
      <c r="V32" s="107">
        <v>3</v>
      </c>
      <c r="W32" s="108">
        <v>4</v>
      </c>
      <c r="X32" s="107">
        <v>3</v>
      </c>
      <c r="Y32" s="108"/>
      <c r="Z32" s="107">
        <v>3</v>
      </c>
      <c r="AA32" s="108"/>
      <c r="AB32" s="107">
        <v>3</v>
      </c>
      <c r="AC32" s="108"/>
      <c r="AD32" s="107">
        <v>3</v>
      </c>
      <c r="AE32" s="108"/>
      <c r="AF32" s="107">
        <v>3</v>
      </c>
      <c r="AG32" s="108"/>
      <c r="AH32" s="107">
        <v>3</v>
      </c>
      <c r="AI32" s="108"/>
      <c r="AJ32" s="107">
        <v>3</v>
      </c>
      <c r="AK32" s="108"/>
      <c r="AL32" s="107">
        <v>3</v>
      </c>
      <c r="AM32" s="108"/>
      <c r="AN32" s="107">
        <v>3</v>
      </c>
      <c r="AO32" s="108"/>
      <c r="AP32" s="107">
        <v>3</v>
      </c>
      <c r="AQ32" s="108"/>
      <c r="AR32" s="107">
        <v>3</v>
      </c>
      <c r="AS32" s="108"/>
      <c r="AT32" s="107">
        <v>1.5</v>
      </c>
      <c r="AU32" s="109"/>
      <c r="AV32" s="110">
        <f t="shared" si="0"/>
        <v>0</v>
      </c>
      <c r="AW32" s="108">
        <f t="shared" si="1"/>
        <v>0</v>
      </c>
      <c r="AX32" s="108">
        <f t="shared" si="2"/>
        <v>1</v>
      </c>
      <c r="AY32" s="108">
        <f t="shared" si="3"/>
        <v>3</v>
      </c>
      <c r="AZ32" s="108">
        <f t="shared" si="4"/>
        <v>-3</v>
      </c>
      <c r="BA32" s="108">
        <f t="shared" si="5"/>
        <v>1</v>
      </c>
      <c r="BB32" s="108">
        <f t="shared" si="6"/>
        <v>3</v>
      </c>
      <c r="BC32" s="108">
        <f t="shared" si="7"/>
        <v>3</v>
      </c>
      <c r="BD32" s="108"/>
      <c r="BE32" s="108"/>
      <c r="BF32" s="108"/>
      <c r="BG32" s="108"/>
      <c r="BH32" s="108"/>
      <c r="BI32" s="108"/>
      <c r="BJ32" s="108"/>
      <c r="BK32" s="108"/>
      <c r="BL32" s="108"/>
      <c r="BM32" s="108"/>
      <c r="BN32" s="108"/>
      <c r="BO32" s="108"/>
      <c r="BP32" s="108"/>
      <c r="BQ32" s="108"/>
      <c r="BR32" s="109"/>
    </row>
    <row r="33" spans="1:70" x14ac:dyDescent="0.25">
      <c r="A33" s="111" t="s">
        <v>96</v>
      </c>
      <c r="B33" s="112">
        <f>SUM(B3:B32)</f>
        <v>12</v>
      </c>
      <c r="C33" s="113">
        <f t="shared" ref="C33:AU33" si="8">SUM(C3:C32)</f>
        <v>5</v>
      </c>
      <c r="D33" s="113">
        <f t="shared" si="8"/>
        <v>140.5</v>
      </c>
      <c r="E33" s="113">
        <f t="shared" si="8"/>
        <v>89</v>
      </c>
      <c r="F33" s="113">
        <f t="shared" si="8"/>
        <v>219</v>
      </c>
      <c r="G33" s="113">
        <f t="shared" si="8"/>
        <v>127</v>
      </c>
      <c r="H33" s="113">
        <f t="shared" si="8"/>
        <v>250</v>
      </c>
      <c r="I33" s="113">
        <f t="shared" si="8"/>
        <v>150</v>
      </c>
      <c r="J33" s="113">
        <f t="shared" si="8"/>
        <v>260</v>
      </c>
      <c r="K33" s="113">
        <f t="shared" si="8"/>
        <v>144</v>
      </c>
      <c r="L33" s="113">
        <f t="shared" si="8"/>
        <v>260</v>
      </c>
      <c r="M33" s="113">
        <f t="shared" si="8"/>
        <v>194</v>
      </c>
      <c r="N33" s="113">
        <f t="shared" si="8"/>
        <v>260</v>
      </c>
      <c r="O33" s="113">
        <f t="shared" si="8"/>
        <v>198</v>
      </c>
      <c r="P33" s="113">
        <f t="shared" si="8"/>
        <v>260</v>
      </c>
      <c r="Q33" s="113">
        <f t="shared" si="8"/>
        <v>230</v>
      </c>
      <c r="R33" s="113">
        <f t="shared" si="8"/>
        <v>260</v>
      </c>
      <c r="S33" s="113">
        <f t="shared" si="8"/>
        <v>239</v>
      </c>
      <c r="T33" s="113">
        <f t="shared" si="8"/>
        <v>260</v>
      </c>
      <c r="U33" s="113">
        <f t="shared" si="8"/>
        <v>229</v>
      </c>
      <c r="V33" s="113">
        <f t="shared" si="8"/>
        <v>260</v>
      </c>
      <c r="W33" s="113">
        <f t="shared" si="8"/>
        <v>227</v>
      </c>
      <c r="X33" s="113">
        <f t="shared" si="8"/>
        <v>256</v>
      </c>
      <c r="Y33" s="113">
        <f t="shared" si="8"/>
        <v>0</v>
      </c>
      <c r="Z33" s="113">
        <f t="shared" si="8"/>
        <v>256</v>
      </c>
      <c r="AA33" s="113">
        <f t="shared" si="8"/>
        <v>0</v>
      </c>
      <c r="AB33" s="113">
        <f t="shared" si="8"/>
        <v>256</v>
      </c>
      <c r="AC33" s="113">
        <f t="shared" si="8"/>
        <v>0</v>
      </c>
      <c r="AD33" s="113">
        <f t="shared" si="8"/>
        <v>260</v>
      </c>
      <c r="AE33" s="113">
        <f t="shared" si="8"/>
        <v>0</v>
      </c>
      <c r="AF33" s="113">
        <f t="shared" si="8"/>
        <v>264</v>
      </c>
      <c r="AG33" s="113">
        <f t="shared" si="8"/>
        <v>0</v>
      </c>
      <c r="AH33" s="113">
        <f t="shared" si="8"/>
        <v>264</v>
      </c>
      <c r="AI33" s="113">
        <f t="shared" si="8"/>
        <v>0</v>
      </c>
      <c r="AJ33" s="113">
        <f t="shared" si="8"/>
        <v>264</v>
      </c>
      <c r="AK33" s="113">
        <f t="shared" si="8"/>
        <v>0</v>
      </c>
      <c r="AL33" s="113">
        <f t="shared" si="8"/>
        <v>264</v>
      </c>
      <c r="AM33" s="113">
        <f t="shared" si="8"/>
        <v>0</v>
      </c>
      <c r="AN33" s="113">
        <f t="shared" si="8"/>
        <v>264</v>
      </c>
      <c r="AO33" s="113">
        <f t="shared" si="8"/>
        <v>0</v>
      </c>
      <c r="AP33" s="113">
        <f t="shared" si="8"/>
        <v>264</v>
      </c>
      <c r="AQ33" s="113">
        <f t="shared" si="8"/>
        <v>0</v>
      </c>
      <c r="AR33" s="113">
        <f t="shared" si="8"/>
        <v>240</v>
      </c>
      <c r="AS33" s="113">
        <f t="shared" si="8"/>
        <v>0</v>
      </c>
      <c r="AT33" s="113">
        <f t="shared" si="8"/>
        <v>114.5</v>
      </c>
      <c r="AU33" s="114">
        <f t="shared" si="8"/>
        <v>0</v>
      </c>
      <c r="AV33" s="115">
        <f>SUM(AV3:AV32)</f>
        <v>-7</v>
      </c>
      <c r="AW33" s="113">
        <f t="shared" ref="AW33:BR33" si="9">SUM(AW3:AW32)</f>
        <v>-51.5</v>
      </c>
      <c r="AX33" s="113">
        <f t="shared" si="9"/>
        <v>-92</v>
      </c>
      <c r="AY33" s="113">
        <f t="shared" si="9"/>
        <v>-100</v>
      </c>
      <c r="AZ33" s="113">
        <f t="shared" si="9"/>
        <v>-116</v>
      </c>
      <c r="BA33" s="113">
        <f t="shared" si="9"/>
        <v>-66</v>
      </c>
      <c r="BB33" s="113">
        <f t="shared" si="9"/>
        <v>-62</v>
      </c>
      <c r="BC33" s="113">
        <f t="shared" si="9"/>
        <v>-30</v>
      </c>
      <c r="BD33" s="113">
        <f t="shared" si="9"/>
        <v>0</v>
      </c>
      <c r="BE33" s="113">
        <f t="shared" si="9"/>
        <v>0</v>
      </c>
      <c r="BF33" s="113">
        <f t="shared" si="9"/>
        <v>0</v>
      </c>
      <c r="BG33" s="113">
        <f t="shared" si="9"/>
        <v>0</v>
      </c>
      <c r="BH33" s="113">
        <f t="shared" si="9"/>
        <v>0</v>
      </c>
      <c r="BI33" s="113">
        <f t="shared" si="9"/>
        <v>0</v>
      </c>
      <c r="BJ33" s="113">
        <f t="shared" si="9"/>
        <v>0</v>
      </c>
      <c r="BK33" s="113">
        <f t="shared" si="9"/>
        <v>0</v>
      </c>
      <c r="BL33" s="113">
        <f t="shared" si="9"/>
        <v>0</v>
      </c>
      <c r="BM33" s="113">
        <f t="shared" si="9"/>
        <v>0</v>
      </c>
      <c r="BN33" s="113">
        <f t="shared" si="9"/>
        <v>0</v>
      </c>
      <c r="BO33" s="113">
        <f t="shared" si="9"/>
        <v>0</v>
      </c>
      <c r="BP33" s="113">
        <f t="shared" si="9"/>
        <v>0</v>
      </c>
      <c r="BQ33" s="113">
        <f t="shared" si="9"/>
        <v>0</v>
      </c>
      <c r="BR33" s="114">
        <f t="shared" si="9"/>
        <v>0</v>
      </c>
    </row>
    <row r="34" spans="1:70" x14ac:dyDescent="0.25">
      <c r="O34" s="15"/>
    </row>
    <row r="35" spans="1:70" x14ac:dyDescent="0.25">
      <c r="A35" s="206" t="s">
        <v>97</v>
      </c>
      <c r="B35" s="89">
        <v>45992</v>
      </c>
      <c r="C35" s="90"/>
      <c r="D35" s="89">
        <v>46023</v>
      </c>
      <c r="E35" s="90"/>
      <c r="F35" s="89">
        <v>46054</v>
      </c>
      <c r="G35" s="90"/>
      <c r="H35" s="89">
        <v>46082</v>
      </c>
      <c r="I35" s="90"/>
      <c r="J35" s="89">
        <v>46113</v>
      </c>
      <c r="K35" s="90"/>
      <c r="L35" s="89">
        <v>46143</v>
      </c>
      <c r="M35" s="90"/>
      <c r="N35" s="89">
        <v>46174</v>
      </c>
      <c r="O35" s="90"/>
      <c r="P35" s="89">
        <v>46204</v>
      </c>
      <c r="Q35" s="90"/>
      <c r="R35" s="89">
        <v>46235</v>
      </c>
      <c r="S35" s="90"/>
      <c r="T35" s="89">
        <v>46266</v>
      </c>
      <c r="U35" s="90"/>
      <c r="V35" s="89">
        <v>46296</v>
      </c>
      <c r="W35" s="90"/>
      <c r="X35" s="89">
        <v>46327</v>
      </c>
      <c r="Y35" s="90"/>
      <c r="Z35" s="89">
        <v>46357</v>
      </c>
      <c r="AA35" s="90"/>
      <c r="AB35" s="89">
        <v>46388</v>
      </c>
      <c r="AC35" s="90"/>
      <c r="AD35" s="89">
        <v>46419</v>
      </c>
      <c r="AE35" s="90"/>
      <c r="AF35" s="89">
        <v>46447</v>
      </c>
      <c r="AG35" s="90"/>
      <c r="AH35" s="89">
        <v>46478</v>
      </c>
      <c r="AI35" s="90"/>
      <c r="AJ35" s="89">
        <v>46508</v>
      </c>
      <c r="AK35" s="90"/>
      <c r="AL35" s="89">
        <v>46539</v>
      </c>
      <c r="AM35" s="90"/>
      <c r="AN35" s="89">
        <v>46569</v>
      </c>
      <c r="AO35" s="90"/>
      <c r="AP35" s="89">
        <v>46600</v>
      </c>
      <c r="AQ35" s="90"/>
      <c r="AR35" s="89">
        <v>46631</v>
      </c>
      <c r="AS35" s="90"/>
      <c r="AT35" s="89">
        <v>46661</v>
      </c>
      <c r="AU35" s="91"/>
      <c r="AV35" s="92">
        <v>45992</v>
      </c>
      <c r="AW35" s="93">
        <v>46023</v>
      </c>
      <c r="AX35" s="93">
        <v>46054</v>
      </c>
      <c r="AY35" s="93">
        <v>46082</v>
      </c>
      <c r="AZ35" s="93">
        <v>46113</v>
      </c>
      <c r="BA35" s="93">
        <v>46143</v>
      </c>
      <c r="BB35" s="93">
        <v>46174</v>
      </c>
      <c r="BC35" s="93">
        <v>46204</v>
      </c>
      <c r="BD35" s="93">
        <v>46235</v>
      </c>
      <c r="BE35" s="93">
        <v>46266</v>
      </c>
      <c r="BF35" s="93">
        <v>46296</v>
      </c>
      <c r="BG35" s="93">
        <v>46327</v>
      </c>
      <c r="BH35" s="93">
        <v>46357</v>
      </c>
      <c r="BI35" s="93">
        <v>46388</v>
      </c>
      <c r="BJ35" s="93">
        <v>46419</v>
      </c>
      <c r="BK35" s="93">
        <v>46447</v>
      </c>
      <c r="BL35" s="93">
        <v>46478</v>
      </c>
      <c r="BM35" s="93">
        <v>46508</v>
      </c>
      <c r="BN35" s="93">
        <v>46539</v>
      </c>
      <c r="BO35" s="93">
        <v>46569</v>
      </c>
      <c r="BP35" s="93">
        <v>46600</v>
      </c>
      <c r="BQ35" s="93">
        <v>46631</v>
      </c>
      <c r="BR35" s="94">
        <v>46661</v>
      </c>
    </row>
    <row r="36" spans="1:70" x14ac:dyDescent="0.25">
      <c r="A36" s="207"/>
      <c r="B36" s="96" t="s">
        <v>63</v>
      </c>
      <c r="C36" s="97" t="s">
        <v>64</v>
      </c>
      <c r="D36" s="96" t="s">
        <v>63</v>
      </c>
      <c r="E36" s="97" t="s">
        <v>64</v>
      </c>
      <c r="F36" s="96" t="s">
        <v>63</v>
      </c>
      <c r="G36" s="97" t="s">
        <v>64</v>
      </c>
      <c r="H36" s="96" t="s">
        <v>63</v>
      </c>
      <c r="I36" s="97" t="s">
        <v>64</v>
      </c>
      <c r="J36" s="96" t="s">
        <v>63</v>
      </c>
      <c r="K36" s="97" t="s">
        <v>64</v>
      </c>
      <c r="L36" s="96" t="s">
        <v>63</v>
      </c>
      <c r="M36" s="97" t="s">
        <v>64</v>
      </c>
      <c r="N36" s="96" t="s">
        <v>63</v>
      </c>
      <c r="O36" s="97" t="s">
        <v>64</v>
      </c>
      <c r="P36" s="96" t="s">
        <v>63</v>
      </c>
      <c r="Q36" s="97" t="s">
        <v>64</v>
      </c>
      <c r="R36" s="96" t="s">
        <v>63</v>
      </c>
      <c r="S36" s="97" t="s">
        <v>64</v>
      </c>
      <c r="T36" s="96" t="s">
        <v>63</v>
      </c>
      <c r="U36" s="97" t="s">
        <v>64</v>
      </c>
      <c r="V36" s="96" t="s">
        <v>63</v>
      </c>
      <c r="W36" s="97" t="s">
        <v>64</v>
      </c>
      <c r="X36" s="96" t="s">
        <v>63</v>
      </c>
      <c r="Y36" s="97" t="s">
        <v>64</v>
      </c>
      <c r="Z36" s="96" t="s">
        <v>63</v>
      </c>
      <c r="AA36" s="97" t="s">
        <v>64</v>
      </c>
      <c r="AB36" s="96" t="s">
        <v>63</v>
      </c>
      <c r="AC36" s="97" t="s">
        <v>64</v>
      </c>
      <c r="AD36" s="96" t="s">
        <v>63</v>
      </c>
      <c r="AE36" s="97" t="s">
        <v>64</v>
      </c>
      <c r="AF36" s="96" t="s">
        <v>63</v>
      </c>
      <c r="AG36" s="97" t="s">
        <v>64</v>
      </c>
      <c r="AH36" s="96" t="s">
        <v>63</v>
      </c>
      <c r="AI36" s="97" t="s">
        <v>64</v>
      </c>
      <c r="AJ36" s="96" t="s">
        <v>63</v>
      </c>
      <c r="AK36" s="97" t="s">
        <v>64</v>
      </c>
      <c r="AL36" s="96" t="s">
        <v>63</v>
      </c>
      <c r="AM36" s="97" t="s">
        <v>64</v>
      </c>
      <c r="AN36" s="96" t="s">
        <v>63</v>
      </c>
      <c r="AO36" s="97" t="s">
        <v>64</v>
      </c>
      <c r="AP36" s="96" t="s">
        <v>63</v>
      </c>
      <c r="AQ36" s="97" t="s">
        <v>64</v>
      </c>
      <c r="AR36" s="96" t="s">
        <v>63</v>
      </c>
      <c r="AS36" s="97" t="s">
        <v>64</v>
      </c>
      <c r="AT36" s="96" t="s">
        <v>63</v>
      </c>
      <c r="AU36" s="98" t="s">
        <v>64</v>
      </c>
      <c r="AV36" s="99" t="s">
        <v>65</v>
      </c>
      <c r="AW36" s="96" t="s">
        <v>65</v>
      </c>
      <c r="AX36" s="96" t="s">
        <v>65</v>
      </c>
      <c r="AY36" s="96" t="s">
        <v>65</v>
      </c>
      <c r="AZ36" s="96" t="s">
        <v>65</v>
      </c>
      <c r="BA36" s="96" t="s">
        <v>65</v>
      </c>
      <c r="BB36" s="96" t="s">
        <v>65</v>
      </c>
      <c r="BC36" s="96" t="s">
        <v>65</v>
      </c>
      <c r="BD36" s="96" t="s">
        <v>65</v>
      </c>
      <c r="BE36" s="96" t="s">
        <v>65</v>
      </c>
      <c r="BF36" s="96" t="s">
        <v>65</v>
      </c>
      <c r="BG36" s="96" t="s">
        <v>65</v>
      </c>
      <c r="BH36" s="96" t="s">
        <v>65</v>
      </c>
      <c r="BI36" s="96" t="s">
        <v>65</v>
      </c>
      <c r="BJ36" s="96" t="s">
        <v>65</v>
      </c>
      <c r="BK36" s="96" t="s">
        <v>65</v>
      </c>
      <c r="BL36" s="96" t="s">
        <v>65</v>
      </c>
      <c r="BM36" s="96" t="s">
        <v>65</v>
      </c>
      <c r="BN36" s="96" t="s">
        <v>65</v>
      </c>
      <c r="BO36" s="96" t="s">
        <v>65</v>
      </c>
      <c r="BP36" s="96" t="s">
        <v>65</v>
      </c>
      <c r="BQ36" s="96" t="s">
        <v>65</v>
      </c>
      <c r="BR36" s="100" t="s">
        <v>65</v>
      </c>
    </row>
    <row r="37" spans="1:70" x14ac:dyDescent="0.25">
      <c r="A37" s="8" t="s">
        <v>98</v>
      </c>
      <c r="B37" s="9">
        <v>0</v>
      </c>
      <c r="C37" s="10">
        <v>0</v>
      </c>
      <c r="D37" s="9">
        <v>1.5</v>
      </c>
      <c r="E37" s="10">
        <v>0</v>
      </c>
      <c r="F37" s="9">
        <v>3</v>
      </c>
      <c r="G37" s="10">
        <v>0</v>
      </c>
      <c r="H37" s="9">
        <v>3</v>
      </c>
      <c r="I37" s="10">
        <v>0</v>
      </c>
      <c r="J37" s="9">
        <v>3</v>
      </c>
      <c r="K37" s="10">
        <v>3</v>
      </c>
      <c r="L37" s="9">
        <v>3</v>
      </c>
      <c r="M37" s="10">
        <v>3</v>
      </c>
      <c r="N37" s="9">
        <v>3</v>
      </c>
      <c r="O37" s="10">
        <v>3</v>
      </c>
      <c r="P37" s="9">
        <v>3</v>
      </c>
      <c r="Q37" s="10">
        <v>6</v>
      </c>
      <c r="R37" s="9">
        <v>3</v>
      </c>
      <c r="S37" s="63">
        <v>6</v>
      </c>
      <c r="T37" s="9">
        <v>3</v>
      </c>
      <c r="U37" s="10">
        <v>6</v>
      </c>
      <c r="V37" s="9">
        <v>3</v>
      </c>
      <c r="W37" s="10">
        <v>6</v>
      </c>
      <c r="X37" s="9">
        <v>3</v>
      </c>
      <c r="Y37" s="10"/>
      <c r="Z37" s="9">
        <v>3</v>
      </c>
      <c r="AA37" s="10"/>
      <c r="AB37" s="9">
        <v>3</v>
      </c>
      <c r="AC37" s="10"/>
      <c r="AD37" s="9">
        <v>3</v>
      </c>
      <c r="AE37" s="10"/>
      <c r="AF37" s="9">
        <v>3</v>
      </c>
      <c r="AG37" s="10"/>
      <c r="AH37" s="9">
        <v>3</v>
      </c>
      <c r="AI37" s="10"/>
      <c r="AJ37" s="9">
        <v>3</v>
      </c>
      <c r="AK37" s="10"/>
      <c r="AL37" s="9">
        <v>3</v>
      </c>
      <c r="AM37" s="10"/>
      <c r="AN37" s="9">
        <v>3</v>
      </c>
      <c r="AO37" s="10"/>
      <c r="AP37" s="9">
        <v>3</v>
      </c>
      <c r="AQ37" s="10"/>
      <c r="AR37" s="9">
        <v>3</v>
      </c>
      <c r="AS37" s="10"/>
      <c r="AT37" s="15">
        <v>1.5</v>
      </c>
      <c r="AU37" s="14"/>
      <c r="AV37" s="23">
        <f>C37-B37</f>
        <v>0</v>
      </c>
      <c r="AW37" s="10">
        <f>E37-D37</f>
        <v>-1.5</v>
      </c>
      <c r="AX37" s="10">
        <f>G37-F37</f>
        <v>-3</v>
      </c>
      <c r="AY37" s="10">
        <f>I37-H37</f>
        <v>-3</v>
      </c>
      <c r="AZ37" s="10">
        <f>K37-J37</f>
        <v>0</v>
      </c>
      <c r="BA37" s="10">
        <f>M37-L37</f>
        <v>0</v>
      </c>
      <c r="BB37" s="10">
        <f>O37-N37</f>
        <v>0</v>
      </c>
      <c r="BC37" s="10">
        <f t="shared" ref="BC37:BC78" si="10">Q37-P37</f>
        <v>3</v>
      </c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25"/>
    </row>
    <row r="38" spans="1:70" x14ac:dyDescent="0.25">
      <c r="A38" s="101" t="s">
        <v>99</v>
      </c>
      <c r="B38" s="102">
        <v>0</v>
      </c>
      <c r="C38" s="103">
        <v>1</v>
      </c>
      <c r="D38" s="102">
        <v>0</v>
      </c>
      <c r="E38" s="103">
        <v>1</v>
      </c>
      <c r="F38" s="102">
        <v>1</v>
      </c>
      <c r="G38" s="103">
        <v>2</v>
      </c>
      <c r="H38" s="102">
        <v>1</v>
      </c>
      <c r="I38" s="103">
        <v>2</v>
      </c>
      <c r="J38" s="102">
        <v>1</v>
      </c>
      <c r="K38" s="103">
        <v>1</v>
      </c>
      <c r="L38" s="102">
        <v>1</v>
      </c>
      <c r="M38" s="103">
        <v>1</v>
      </c>
      <c r="N38" s="102">
        <v>1</v>
      </c>
      <c r="O38" s="103">
        <v>1</v>
      </c>
      <c r="P38" s="102">
        <v>1</v>
      </c>
      <c r="Q38" s="103">
        <v>1</v>
      </c>
      <c r="R38" s="102">
        <v>1</v>
      </c>
      <c r="S38" s="64">
        <v>1</v>
      </c>
      <c r="T38" s="102">
        <v>1</v>
      </c>
      <c r="U38" s="103">
        <v>1</v>
      </c>
      <c r="V38" s="102">
        <v>1</v>
      </c>
      <c r="W38" s="103">
        <v>1</v>
      </c>
      <c r="X38" s="102">
        <v>1</v>
      </c>
      <c r="Y38" s="103"/>
      <c r="Z38" s="102">
        <v>1</v>
      </c>
      <c r="AA38" s="103"/>
      <c r="AB38" s="102">
        <v>1</v>
      </c>
      <c r="AC38" s="103"/>
      <c r="AD38" s="102">
        <v>1</v>
      </c>
      <c r="AE38" s="103"/>
      <c r="AF38" s="102">
        <v>1</v>
      </c>
      <c r="AG38" s="103"/>
      <c r="AH38" s="102">
        <v>1</v>
      </c>
      <c r="AI38" s="103"/>
      <c r="AJ38" s="102">
        <v>1</v>
      </c>
      <c r="AK38" s="103"/>
      <c r="AL38" s="102">
        <v>1</v>
      </c>
      <c r="AM38" s="103"/>
      <c r="AN38" s="102">
        <v>1</v>
      </c>
      <c r="AO38" s="103"/>
      <c r="AP38" s="102">
        <v>1</v>
      </c>
      <c r="AQ38" s="103"/>
      <c r="AR38" s="102">
        <v>1</v>
      </c>
      <c r="AS38" s="103"/>
      <c r="AT38" s="116">
        <v>1</v>
      </c>
      <c r="AU38" s="104"/>
      <c r="AV38" s="105">
        <f t="shared" ref="AV38:AV78" si="11">C38-B38</f>
        <v>1</v>
      </c>
      <c r="AW38" s="103">
        <f t="shared" ref="AW38:AW78" si="12">E38-D38</f>
        <v>1</v>
      </c>
      <c r="AX38" s="103">
        <f t="shared" ref="AX38:AX78" si="13">G38-F38</f>
        <v>1</v>
      </c>
      <c r="AY38" s="103">
        <f t="shared" ref="AY38:AY78" si="14">I38-H38</f>
        <v>1</v>
      </c>
      <c r="AZ38" s="103">
        <f t="shared" ref="AZ38:AZ78" si="15">K38-J38</f>
        <v>0</v>
      </c>
      <c r="BA38" s="103">
        <f t="shared" ref="BA38:BA78" si="16">M38-L38</f>
        <v>0</v>
      </c>
      <c r="BB38" s="103">
        <f t="shared" ref="BB38:BB78" si="17">O38-N38</f>
        <v>0</v>
      </c>
      <c r="BC38" s="103">
        <f t="shared" si="10"/>
        <v>0</v>
      </c>
      <c r="BD38" s="103"/>
      <c r="BE38" s="103"/>
      <c r="BF38" s="103"/>
      <c r="BG38" s="103"/>
      <c r="BH38" s="103"/>
      <c r="BI38" s="103"/>
      <c r="BJ38" s="103"/>
      <c r="BK38" s="103"/>
      <c r="BL38" s="103"/>
      <c r="BM38" s="103"/>
      <c r="BN38" s="103"/>
      <c r="BO38" s="103"/>
      <c r="BP38" s="103"/>
      <c r="BQ38" s="103"/>
      <c r="BR38" s="104"/>
    </row>
    <row r="39" spans="1:70" x14ac:dyDescent="0.25">
      <c r="A39" s="8" t="s">
        <v>100</v>
      </c>
      <c r="B39" s="12">
        <v>0</v>
      </c>
      <c r="C39" s="13">
        <v>0</v>
      </c>
      <c r="D39" s="12">
        <v>0</v>
      </c>
      <c r="E39" s="13">
        <v>2</v>
      </c>
      <c r="F39" s="12">
        <v>2</v>
      </c>
      <c r="G39" s="13">
        <v>2</v>
      </c>
      <c r="H39" s="12">
        <v>2</v>
      </c>
      <c r="I39" s="13">
        <v>2</v>
      </c>
      <c r="J39" s="12">
        <v>2</v>
      </c>
      <c r="K39" s="13">
        <v>3</v>
      </c>
      <c r="L39" s="12">
        <v>2</v>
      </c>
      <c r="M39" s="13">
        <v>3</v>
      </c>
      <c r="N39" s="12">
        <v>2</v>
      </c>
      <c r="O39" s="13">
        <v>1</v>
      </c>
      <c r="P39" s="12">
        <v>2</v>
      </c>
      <c r="Q39" s="13">
        <v>1</v>
      </c>
      <c r="R39" s="12">
        <v>2</v>
      </c>
      <c r="S39" s="64">
        <v>1</v>
      </c>
      <c r="T39" s="12">
        <v>2</v>
      </c>
      <c r="U39" s="13">
        <v>1</v>
      </c>
      <c r="V39" s="12">
        <v>2</v>
      </c>
      <c r="W39" s="13">
        <v>1</v>
      </c>
      <c r="X39" s="12">
        <v>2</v>
      </c>
      <c r="Y39" s="13"/>
      <c r="Z39" s="12">
        <v>2</v>
      </c>
      <c r="AA39" s="13"/>
      <c r="AB39" s="12">
        <v>2</v>
      </c>
      <c r="AC39" s="13"/>
      <c r="AD39" s="12">
        <v>2</v>
      </c>
      <c r="AE39" s="13"/>
      <c r="AF39" s="12">
        <v>2</v>
      </c>
      <c r="AG39" s="13"/>
      <c r="AH39" s="12">
        <v>2</v>
      </c>
      <c r="AI39" s="13"/>
      <c r="AJ39" s="12">
        <v>2</v>
      </c>
      <c r="AK39" s="13"/>
      <c r="AL39" s="12">
        <v>2</v>
      </c>
      <c r="AM39" s="13"/>
      <c r="AN39" s="12">
        <v>2</v>
      </c>
      <c r="AO39" s="13"/>
      <c r="AP39" s="12">
        <v>2</v>
      </c>
      <c r="AQ39" s="13"/>
      <c r="AR39" s="12">
        <v>2</v>
      </c>
      <c r="AS39" s="13"/>
      <c r="AT39" s="15">
        <v>2</v>
      </c>
      <c r="AU39" s="14"/>
      <c r="AV39" s="24">
        <f t="shared" si="11"/>
        <v>0</v>
      </c>
      <c r="AW39" s="13">
        <f t="shared" si="12"/>
        <v>2</v>
      </c>
      <c r="AX39" s="13">
        <f t="shared" si="13"/>
        <v>0</v>
      </c>
      <c r="AY39" s="13">
        <f t="shared" si="14"/>
        <v>0</v>
      </c>
      <c r="AZ39" s="13">
        <f t="shared" si="15"/>
        <v>1</v>
      </c>
      <c r="BA39" s="13">
        <f t="shared" si="16"/>
        <v>1</v>
      </c>
      <c r="BB39" s="13">
        <f t="shared" si="17"/>
        <v>-1</v>
      </c>
      <c r="BC39" s="13">
        <f t="shared" si="10"/>
        <v>-1</v>
      </c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4"/>
    </row>
    <row r="40" spans="1:70" x14ac:dyDescent="0.25">
      <c r="A40" s="101" t="s">
        <v>101</v>
      </c>
      <c r="B40" s="102">
        <v>0</v>
      </c>
      <c r="C40" s="103">
        <v>0</v>
      </c>
      <c r="D40" s="102">
        <v>0</v>
      </c>
      <c r="E40" s="103">
        <v>0</v>
      </c>
      <c r="F40" s="102">
        <v>1</v>
      </c>
      <c r="G40" s="103">
        <v>0</v>
      </c>
      <c r="H40" s="102">
        <v>1</v>
      </c>
      <c r="I40" s="103">
        <v>0</v>
      </c>
      <c r="J40" s="102">
        <v>1</v>
      </c>
      <c r="K40" s="103">
        <v>0</v>
      </c>
      <c r="L40" s="102">
        <v>1</v>
      </c>
      <c r="M40" s="103">
        <v>0</v>
      </c>
      <c r="N40" s="102">
        <v>1</v>
      </c>
      <c r="O40" s="103">
        <v>0</v>
      </c>
      <c r="P40" s="102">
        <v>1</v>
      </c>
      <c r="Q40" s="103">
        <v>0</v>
      </c>
      <c r="R40" s="102">
        <v>1</v>
      </c>
      <c r="S40" s="64"/>
      <c r="T40" s="102">
        <v>1</v>
      </c>
      <c r="U40" s="103"/>
      <c r="V40" s="102">
        <v>1</v>
      </c>
      <c r="W40" s="103"/>
      <c r="X40" s="102">
        <v>1</v>
      </c>
      <c r="Y40" s="103"/>
      <c r="Z40" s="102">
        <v>1</v>
      </c>
      <c r="AA40" s="103"/>
      <c r="AB40" s="102">
        <v>1</v>
      </c>
      <c r="AC40" s="103"/>
      <c r="AD40" s="102">
        <v>1</v>
      </c>
      <c r="AE40" s="103"/>
      <c r="AF40" s="102">
        <v>1</v>
      </c>
      <c r="AG40" s="103"/>
      <c r="AH40" s="102">
        <v>1</v>
      </c>
      <c r="AI40" s="103"/>
      <c r="AJ40" s="102">
        <v>1</v>
      </c>
      <c r="AK40" s="103"/>
      <c r="AL40" s="102">
        <v>1</v>
      </c>
      <c r="AM40" s="103"/>
      <c r="AN40" s="102">
        <v>1</v>
      </c>
      <c r="AO40" s="103"/>
      <c r="AP40" s="102">
        <v>1</v>
      </c>
      <c r="AQ40" s="103"/>
      <c r="AR40" s="102">
        <v>1</v>
      </c>
      <c r="AS40" s="103"/>
      <c r="AT40" s="116">
        <v>1</v>
      </c>
      <c r="AU40" s="104"/>
      <c r="AV40" s="105">
        <f t="shared" si="11"/>
        <v>0</v>
      </c>
      <c r="AW40" s="103">
        <f t="shared" si="12"/>
        <v>0</v>
      </c>
      <c r="AX40" s="103">
        <f t="shared" si="13"/>
        <v>-1</v>
      </c>
      <c r="AY40" s="103">
        <f t="shared" si="14"/>
        <v>-1</v>
      </c>
      <c r="AZ40" s="103">
        <f t="shared" si="15"/>
        <v>-1</v>
      </c>
      <c r="BA40" s="103">
        <f t="shared" si="16"/>
        <v>-1</v>
      </c>
      <c r="BB40" s="103">
        <f t="shared" si="17"/>
        <v>-1</v>
      </c>
      <c r="BC40" s="103">
        <f t="shared" si="10"/>
        <v>-1</v>
      </c>
      <c r="BD40" s="103"/>
      <c r="BE40" s="103"/>
      <c r="BF40" s="103"/>
      <c r="BG40" s="103"/>
      <c r="BH40" s="103"/>
      <c r="BI40" s="103"/>
      <c r="BJ40" s="103"/>
      <c r="BK40" s="103"/>
      <c r="BL40" s="103"/>
      <c r="BM40" s="103"/>
      <c r="BN40" s="103"/>
      <c r="BO40" s="103"/>
      <c r="BP40" s="103"/>
      <c r="BQ40" s="103"/>
      <c r="BR40" s="104"/>
    </row>
    <row r="41" spans="1:70" x14ac:dyDescent="0.25">
      <c r="A41" s="8" t="s">
        <v>102</v>
      </c>
      <c r="B41" s="12">
        <v>0</v>
      </c>
      <c r="C41" s="13">
        <v>0</v>
      </c>
      <c r="D41" s="12">
        <v>0</v>
      </c>
      <c r="E41" s="13">
        <v>0</v>
      </c>
      <c r="F41" s="12">
        <v>3</v>
      </c>
      <c r="G41" s="13">
        <v>1</v>
      </c>
      <c r="H41" s="12">
        <v>3</v>
      </c>
      <c r="I41" s="13">
        <v>1</v>
      </c>
      <c r="J41" s="12">
        <v>3</v>
      </c>
      <c r="K41" s="13">
        <v>1</v>
      </c>
      <c r="L41" s="12">
        <v>3</v>
      </c>
      <c r="M41" s="13">
        <v>1</v>
      </c>
      <c r="N41" s="12">
        <v>3</v>
      </c>
      <c r="O41" s="13">
        <v>2</v>
      </c>
      <c r="P41" s="12">
        <v>3</v>
      </c>
      <c r="Q41" s="13">
        <v>2</v>
      </c>
      <c r="R41" s="12">
        <v>3</v>
      </c>
      <c r="S41" s="64">
        <v>3</v>
      </c>
      <c r="T41" s="12">
        <v>3</v>
      </c>
      <c r="U41" s="13">
        <v>3</v>
      </c>
      <c r="V41" s="12">
        <v>3</v>
      </c>
      <c r="W41" s="13">
        <v>3</v>
      </c>
      <c r="X41" s="12">
        <v>3</v>
      </c>
      <c r="Y41" s="13"/>
      <c r="Z41" s="12">
        <v>3</v>
      </c>
      <c r="AA41" s="13"/>
      <c r="AB41" s="12">
        <v>3</v>
      </c>
      <c r="AC41" s="13"/>
      <c r="AD41" s="12">
        <v>3</v>
      </c>
      <c r="AE41" s="13"/>
      <c r="AF41" s="12">
        <v>3</v>
      </c>
      <c r="AG41" s="13"/>
      <c r="AH41" s="12">
        <v>3</v>
      </c>
      <c r="AI41" s="13"/>
      <c r="AJ41" s="12">
        <v>3</v>
      </c>
      <c r="AK41" s="13"/>
      <c r="AL41" s="12">
        <v>3</v>
      </c>
      <c r="AM41" s="13"/>
      <c r="AN41" s="12">
        <v>3</v>
      </c>
      <c r="AO41" s="13"/>
      <c r="AP41" s="12">
        <v>3</v>
      </c>
      <c r="AQ41" s="13"/>
      <c r="AR41" s="12">
        <v>3</v>
      </c>
      <c r="AS41" s="13"/>
      <c r="AT41" s="15">
        <v>3</v>
      </c>
      <c r="AU41" s="14"/>
      <c r="AV41" s="24">
        <f t="shared" si="11"/>
        <v>0</v>
      </c>
      <c r="AW41" s="13">
        <f t="shared" si="12"/>
        <v>0</v>
      </c>
      <c r="AX41" s="13">
        <f t="shared" si="13"/>
        <v>-2</v>
      </c>
      <c r="AY41" s="13">
        <f t="shared" si="14"/>
        <v>-2</v>
      </c>
      <c r="AZ41" s="13">
        <f t="shared" si="15"/>
        <v>-2</v>
      </c>
      <c r="BA41" s="13">
        <f t="shared" si="16"/>
        <v>-2</v>
      </c>
      <c r="BB41" s="13">
        <f t="shared" si="17"/>
        <v>-1</v>
      </c>
      <c r="BC41" s="13">
        <f t="shared" si="10"/>
        <v>-1</v>
      </c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4"/>
    </row>
    <row r="42" spans="1:70" x14ac:dyDescent="0.25">
      <c r="A42" s="101" t="s">
        <v>103</v>
      </c>
      <c r="B42" s="102">
        <v>0</v>
      </c>
      <c r="C42" s="103">
        <v>0</v>
      </c>
      <c r="D42" s="102">
        <v>1</v>
      </c>
      <c r="E42" s="103">
        <v>0</v>
      </c>
      <c r="F42" s="102">
        <v>2</v>
      </c>
      <c r="G42" s="103">
        <v>0</v>
      </c>
      <c r="H42" s="102">
        <v>2</v>
      </c>
      <c r="I42" s="103">
        <v>0</v>
      </c>
      <c r="J42" s="102">
        <v>2</v>
      </c>
      <c r="K42" s="103">
        <v>0</v>
      </c>
      <c r="L42" s="102">
        <v>2</v>
      </c>
      <c r="M42" s="103">
        <v>0</v>
      </c>
      <c r="N42" s="102">
        <v>2</v>
      </c>
      <c r="O42" s="103">
        <v>0</v>
      </c>
      <c r="P42" s="102">
        <v>2</v>
      </c>
      <c r="Q42" s="103">
        <v>0</v>
      </c>
      <c r="R42" s="102">
        <v>2</v>
      </c>
      <c r="S42" s="64"/>
      <c r="T42" s="102">
        <v>2</v>
      </c>
      <c r="U42" s="103"/>
      <c r="V42" s="102">
        <v>2</v>
      </c>
      <c r="W42" s="103"/>
      <c r="X42" s="102">
        <v>2</v>
      </c>
      <c r="Y42" s="103"/>
      <c r="Z42" s="102">
        <v>2</v>
      </c>
      <c r="AA42" s="103"/>
      <c r="AB42" s="102">
        <v>2</v>
      </c>
      <c r="AC42" s="103"/>
      <c r="AD42" s="102">
        <v>2</v>
      </c>
      <c r="AE42" s="103"/>
      <c r="AF42" s="102">
        <v>2</v>
      </c>
      <c r="AG42" s="103"/>
      <c r="AH42" s="102">
        <v>2</v>
      </c>
      <c r="AI42" s="103"/>
      <c r="AJ42" s="102">
        <v>2</v>
      </c>
      <c r="AK42" s="103"/>
      <c r="AL42" s="102">
        <v>2</v>
      </c>
      <c r="AM42" s="103"/>
      <c r="AN42" s="102">
        <v>2</v>
      </c>
      <c r="AO42" s="103"/>
      <c r="AP42" s="102">
        <v>2</v>
      </c>
      <c r="AQ42" s="103"/>
      <c r="AR42" s="102">
        <v>1.5</v>
      </c>
      <c r="AS42" s="103"/>
      <c r="AT42" s="116">
        <v>0.5</v>
      </c>
      <c r="AU42" s="104"/>
      <c r="AV42" s="105">
        <f t="shared" si="11"/>
        <v>0</v>
      </c>
      <c r="AW42" s="103">
        <f t="shared" si="12"/>
        <v>-1</v>
      </c>
      <c r="AX42" s="103">
        <f t="shared" si="13"/>
        <v>-2</v>
      </c>
      <c r="AY42" s="103">
        <f t="shared" si="14"/>
        <v>-2</v>
      </c>
      <c r="AZ42" s="103">
        <f t="shared" si="15"/>
        <v>-2</v>
      </c>
      <c r="BA42" s="103">
        <f t="shared" si="16"/>
        <v>-2</v>
      </c>
      <c r="BB42" s="103">
        <f t="shared" si="17"/>
        <v>-2</v>
      </c>
      <c r="BC42" s="103">
        <f t="shared" si="10"/>
        <v>-2</v>
      </c>
      <c r="BD42" s="103"/>
      <c r="BE42" s="103"/>
      <c r="BF42" s="103"/>
      <c r="BG42" s="103"/>
      <c r="BH42" s="103"/>
      <c r="BI42" s="103"/>
      <c r="BJ42" s="103"/>
      <c r="BK42" s="103"/>
      <c r="BL42" s="103"/>
      <c r="BM42" s="103"/>
      <c r="BN42" s="103"/>
      <c r="BO42" s="103"/>
      <c r="BP42" s="103"/>
      <c r="BQ42" s="103"/>
      <c r="BR42" s="104"/>
    </row>
    <row r="43" spans="1:70" x14ac:dyDescent="0.25">
      <c r="A43" s="8" t="s">
        <v>104</v>
      </c>
      <c r="B43" s="12">
        <v>0</v>
      </c>
      <c r="C43" s="13">
        <v>0</v>
      </c>
      <c r="D43" s="12">
        <v>4</v>
      </c>
      <c r="E43" s="13">
        <v>0</v>
      </c>
      <c r="F43" s="12">
        <v>4</v>
      </c>
      <c r="G43" s="13">
        <v>0</v>
      </c>
      <c r="H43" s="12">
        <v>4</v>
      </c>
      <c r="I43" s="13">
        <v>0</v>
      </c>
      <c r="J43" s="12">
        <v>4</v>
      </c>
      <c r="K43" s="13">
        <v>1</v>
      </c>
      <c r="L43" s="12">
        <v>4</v>
      </c>
      <c r="M43" s="13">
        <v>1</v>
      </c>
      <c r="N43" s="12">
        <v>4</v>
      </c>
      <c r="O43" s="13">
        <v>1</v>
      </c>
      <c r="P43" s="12">
        <v>4</v>
      </c>
      <c r="Q43" s="13">
        <v>2</v>
      </c>
      <c r="R43" s="12">
        <v>4</v>
      </c>
      <c r="S43" s="64">
        <v>2</v>
      </c>
      <c r="T43" s="12">
        <v>4</v>
      </c>
      <c r="U43" s="13">
        <v>2</v>
      </c>
      <c r="V43" s="12">
        <v>4</v>
      </c>
      <c r="W43" s="13">
        <v>2</v>
      </c>
      <c r="X43" s="12">
        <v>4</v>
      </c>
      <c r="Y43" s="13"/>
      <c r="Z43" s="12">
        <v>4</v>
      </c>
      <c r="AA43" s="13"/>
      <c r="AB43" s="12">
        <v>4</v>
      </c>
      <c r="AC43" s="13"/>
      <c r="AD43" s="12">
        <v>4</v>
      </c>
      <c r="AE43" s="13"/>
      <c r="AF43" s="12">
        <v>4</v>
      </c>
      <c r="AG43" s="13"/>
      <c r="AH43" s="12">
        <v>4</v>
      </c>
      <c r="AI43" s="13"/>
      <c r="AJ43" s="12">
        <v>4</v>
      </c>
      <c r="AK43" s="13"/>
      <c r="AL43" s="12">
        <v>4</v>
      </c>
      <c r="AM43" s="13"/>
      <c r="AN43" s="12">
        <v>4</v>
      </c>
      <c r="AO43" s="13"/>
      <c r="AP43" s="12">
        <v>4</v>
      </c>
      <c r="AQ43" s="13"/>
      <c r="AR43" s="12">
        <v>4</v>
      </c>
      <c r="AS43" s="13"/>
      <c r="AT43" s="15">
        <v>2</v>
      </c>
      <c r="AU43" s="14"/>
      <c r="AV43" s="24">
        <f t="shared" si="11"/>
        <v>0</v>
      </c>
      <c r="AW43" s="13">
        <f t="shared" si="12"/>
        <v>-4</v>
      </c>
      <c r="AX43" s="13">
        <f t="shared" si="13"/>
        <v>-4</v>
      </c>
      <c r="AY43" s="13">
        <f t="shared" si="14"/>
        <v>-4</v>
      </c>
      <c r="AZ43" s="13">
        <f t="shared" si="15"/>
        <v>-3</v>
      </c>
      <c r="BA43" s="13">
        <f t="shared" si="16"/>
        <v>-3</v>
      </c>
      <c r="BB43" s="13">
        <f t="shared" si="17"/>
        <v>-3</v>
      </c>
      <c r="BC43" s="13">
        <f t="shared" si="10"/>
        <v>-2</v>
      </c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4"/>
    </row>
    <row r="44" spans="1:70" x14ac:dyDescent="0.25">
      <c r="A44" s="101" t="s">
        <v>105</v>
      </c>
      <c r="B44" s="102">
        <v>0</v>
      </c>
      <c r="C44" s="103">
        <v>0</v>
      </c>
      <c r="D44" s="102">
        <v>0</v>
      </c>
      <c r="E44" s="103">
        <v>8</v>
      </c>
      <c r="F44" s="102">
        <v>14</v>
      </c>
      <c r="G44" s="103">
        <v>8</v>
      </c>
      <c r="H44" s="102">
        <v>15</v>
      </c>
      <c r="I44" s="103">
        <v>10</v>
      </c>
      <c r="J44" s="102">
        <v>16</v>
      </c>
      <c r="K44" s="103">
        <v>10</v>
      </c>
      <c r="L44" s="102">
        <v>16</v>
      </c>
      <c r="M44" s="103">
        <v>10</v>
      </c>
      <c r="N44" s="102">
        <v>16</v>
      </c>
      <c r="O44" s="103">
        <v>11</v>
      </c>
      <c r="P44" s="102">
        <v>16</v>
      </c>
      <c r="Q44" s="103">
        <v>9</v>
      </c>
      <c r="R44" s="102">
        <v>16</v>
      </c>
      <c r="S44" s="64">
        <v>13</v>
      </c>
      <c r="T44" s="102">
        <v>16</v>
      </c>
      <c r="U44" s="103">
        <v>11</v>
      </c>
      <c r="V44" s="102">
        <v>16</v>
      </c>
      <c r="W44" s="103">
        <v>11</v>
      </c>
      <c r="X44" s="102">
        <v>15</v>
      </c>
      <c r="Y44" s="103"/>
      <c r="Z44" s="102">
        <v>15</v>
      </c>
      <c r="AA44" s="103"/>
      <c r="AB44" s="102">
        <v>15</v>
      </c>
      <c r="AC44" s="103"/>
      <c r="AD44" s="102">
        <v>16</v>
      </c>
      <c r="AE44" s="103"/>
      <c r="AF44" s="102">
        <v>16</v>
      </c>
      <c r="AG44" s="103"/>
      <c r="AH44" s="102">
        <v>16</v>
      </c>
      <c r="AI44" s="103"/>
      <c r="AJ44" s="102">
        <v>16</v>
      </c>
      <c r="AK44" s="103"/>
      <c r="AL44" s="102">
        <v>16</v>
      </c>
      <c r="AM44" s="103"/>
      <c r="AN44" s="102">
        <v>16</v>
      </c>
      <c r="AO44" s="103"/>
      <c r="AP44" s="102">
        <v>16</v>
      </c>
      <c r="AQ44" s="103"/>
      <c r="AR44" s="102">
        <v>15</v>
      </c>
      <c r="AS44" s="103"/>
      <c r="AT44" s="116">
        <v>9</v>
      </c>
      <c r="AU44" s="104"/>
      <c r="AV44" s="105">
        <f t="shared" si="11"/>
        <v>0</v>
      </c>
      <c r="AW44" s="103">
        <f t="shared" si="12"/>
        <v>8</v>
      </c>
      <c r="AX44" s="103">
        <f t="shared" si="13"/>
        <v>-6</v>
      </c>
      <c r="AY44" s="103">
        <f t="shared" si="14"/>
        <v>-5</v>
      </c>
      <c r="AZ44" s="103">
        <f t="shared" si="15"/>
        <v>-6</v>
      </c>
      <c r="BA44" s="103">
        <f t="shared" si="16"/>
        <v>-6</v>
      </c>
      <c r="BB44" s="103">
        <f t="shared" si="17"/>
        <v>-5</v>
      </c>
      <c r="BC44" s="103">
        <f t="shared" si="10"/>
        <v>-7</v>
      </c>
      <c r="BD44" s="103"/>
      <c r="BE44" s="103"/>
      <c r="BF44" s="103"/>
      <c r="BG44" s="103"/>
      <c r="BH44" s="103"/>
      <c r="BI44" s="103"/>
      <c r="BJ44" s="103"/>
      <c r="BK44" s="103"/>
      <c r="BL44" s="103"/>
      <c r="BM44" s="103"/>
      <c r="BN44" s="103"/>
      <c r="BO44" s="103"/>
      <c r="BP44" s="103"/>
      <c r="BQ44" s="103"/>
      <c r="BR44" s="104"/>
    </row>
    <row r="45" spans="1:70" x14ac:dyDescent="0.25">
      <c r="A45" s="8" t="s">
        <v>106</v>
      </c>
      <c r="B45" s="12">
        <v>0</v>
      </c>
      <c r="C45" s="13">
        <v>0</v>
      </c>
      <c r="D45" s="12">
        <v>0</v>
      </c>
      <c r="E45" s="13">
        <v>2</v>
      </c>
      <c r="F45" s="12">
        <v>2</v>
      </c>
      <c r="G45" s="13">
        <v>2</v>
      </c>
      <c r="H45" s="12">
        <v>2</v>
      </c>
      <c r="I45" s="13">
        <v>2</v>
      </c>
      <c r="J45" s="12">
        <v>2</v>
      </c>
      <c r="K45" s="13">
        <v>2</v>
      </c>
      <c r="L45" s="12">
        <v>2</v>
      </c>
      <c r="M45" s="13">
        <v>2</v>
      </c>
      <c r="N45" s="12">
        <v>2</v>
      </c>
      <c r="O45" s="13">
        <v>0</v>
      </c>
      <c r="P45" s="12">
        <v>2</v>
      </c>
      <c r="Q45" s="13">
        <v>2</v>
      </c>
      <c r="R45" s="12">
        <v>2</v>
      </c>
      <c r="S45" s="64"/>
      <c r="T45" s="12">
        <v>2</v>
      </c>
      <c r="U45" s="13">
        <v>1</v>
      </c>
      <c r="V45" s="12">
        <v>2</v>
      </c>
      <c r="W45" s="13">
        <v>1</v>
      </c>
      <c r="X45" s="12">
        <v>2</v>
      </c>
      <c r="Y45" s="13"/>
      <c r="Z45" s="12">
        <v>2</v>
      </c>
      <c r="AA45" s="13"/>
      <c r="AB45" s="12">
        <v>2</v>
      </c>
      <c r="AC45" s="13"/>
      <c r="AD45" s="12">
        <v>2</v>
      </c>
      <c r="AE45" s="13"/>
      <c r="AF45" s="12">
        <v>2</v>
      </c>
      <c r="AG45" s="13"/>
      <c r="AH45" s="12">
        <v>2</v>
      </c>
      <c r="AI45" s="13"/>
      <c r="AJ45" s="12">
        <v>2</v>
      </c>
      <c r="AK45" s="13"/>
      <c r="AL45" s="12">
        <v>2</v>
      </c>
      <c r="AM45" s="13"/>
      <c r="AN45" s="12">
        <v>2</v>
      </c>
      <c r="AO45" s="13"/>
      <c r="AP45" s="12">
        <v>2</v>
      </c>
      <c r="AQ45" s="13"/>
      <c r="AR45" s="12">
        <v>2</v>
      </c>
      <c r="AS45" s="13"/>
      <c r="AT45" s="15">
        <v>2</v>
      </c>
      <c r="AU45" s="14"/>
      <c r="AV45" s="24">
        <f t="shared" si="11"/>
        <v>0</v>
      </c>
      <c r="AW45" s="13">
        <f t="shared" si="12"/>
        <v>2</v>
      </c>
      <c r="AX45" s="13">
        <f t="shared" si="13"/>
        <v>0</v>
      </c>
      <c r="AY45" s="13">
        <f t="shared" si="14"/>
        <v>0</v>
      </c>
      <c r="AZ45" s="13">
        <f t="shared" si="15"/>
        <v>0</v>
      </c>
      <c r="BA45" s="13">
        <f t="shared" si="16"/>
        <v>0</v>
      </c>
      <c r="BB45" s="13">
        <f t="shared" si="17"/>
        <v>-2</v>
      </c>
      <c r="BC45" s="13">
        <f t="shared" si="10"/>
        <v>0</v>
      </c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4"/>
    </row>
    <row r="46" spans="1:70" x14ac:dyDescent="0.25">
      <c r="A46" s="101" t="s">
        <v>107</v>
      </c>
      <c r="B46" s="102">
        <v>0</v>
      </c>
      <c r="C46" s="103">
        <v>0</v>
      </c>
      <c r="D46" s="102">
        <v>2</v>
      </c>
      <c r="E46" s="103">
        <v>1</v>
      </c>
      <c r="F46" s="102">
        <v>5</v>
      </c>
      <c r="G46" s="103">
        <v>3</v>
      </c>
      <c r="H46" s="102">
        <v>5</v>
      </c>
      <c r="I46" s="103">
        <v>3</v>
      </c>
      <c r="J46" s="102">
        <v>6</v>
      </c>
      <c r="K46" s="103">
        <v>3</v>
      </c>
      <c r="L46" s="102">
        <v>6</v>
      </c>
      <c r="M46" s="103">
        <v>5</v>
      </c>
      <c r="N46" s="102">
        <v>6</v>
      </c>
      <c r="O46" s="103">
        <v>5</v>
      </c>
      <c r="P46" s="102">
        <v>6</v>
      </c>
      <c r="Q46" s="103">
        <v>7</v>
      </c>
      <c r="R46" s="102">
        <v>6</v>
      </c>
      <c r="S46" s="64">
        <v>7</v>
      </c>
      <c r="T46" s="102">
        <v>6</v>
      </c>
      <c r="U46" s="103">
        <v>5</v>
      </c>
      <c r="V46" s="102">
        <v>6</v>
      </c>
      <c r="W46" s="103">
        <v>6</v>
      </c>
      <c r="X46" s="102">
        <v>5</v>
      </c>
      <c r="Y46" s="103"/>
      <c r="Z46" s="102">
        <v>5</v>
      </c>
      <c r="AA46" s="103"/>
      <c r="AB46" s="102">
        <v>5</v>
      </c>
      <c r="AC46" s="103"/>
      <c r="AD46" s="102">
        <v>6</v>
      </c>
      <c r="AE46" s="103"/>
      <c r="AF46" s="102">
        <v>6</v>
      </c>
      <c r="AG46" s="103"/>
      <c r="AH46" s="102">
        <v>6</v>
      </c>
      <c r="AI46" s="103"/>
      <c r="AJ46" s="102">
        <v>6</v>
      </c>
      <c r="AK46" s="103"/>
      <c r="AL46" s="102">
        <v>6</v>
      </c>
      <c r="AM46" s="103"/>
      <c r="AN46" s="102">
        <v>6</v>
      </c>
      <c r="AO46" s="103"/>
      <c r="AP46" s="102">
        <v>6</v>
      </c>
      <c r="AQ46" s="103"/>
      <c r="AR46" s="102">
        <v>5</v>
      </c>
      <c r="AS46" s="103"/>
      <c r="AT46" s="116">
        <v>2.5</v>
      </c>
      <c r="AU46" s="104"/>
      <c r="AV46" s="105">
        <f t="shared" si="11"/>
        <v>0</v>
      </c>
      <c r="AW46" s="103">
        <f t="shared" si="12"/>
        <v>-1</v>
      </c>
      <c r="AX46" s="103">
        <f t="shared" si="13"/>
        <v>-2</v>
      </c>
      <c r="AY46" s="103">
        <f t="shared" si="14"/>
        <v>-2</v>
      </c>
      <c r="AZ46" s="103">
        <f t="shared" si="15"/>
        <v>-3</v>
      </c>
      <c r="BA46" s="103">
        <f t="shared" si="16"/>
        <v>-1</v>
      </c>
      <c r="BB46" s="103">
        <f t="shared" si="17"/>
        <v>-1</v>
      </c>
      <c r="BC46" s="103">
        <f t="shared" si="10"/>
        <v>1</v>
      </c>
      <c r="BD46" s="103"/>
      <c r="BE46" s="103"/>
      <c r="BF46" s="103"/>
      <c r="BG46" s="103"/>
      <c r="BH46" s="103"/>
      <c r="BI46" s="103"/>
      <c r="BJ46" s="103"/>
      <c r="BK46" s="103"/>
      <c r="BL46" s="103"/>
      <c r="BM46" s="103"/>
      <c r="BN46" s="103"/>
      <c r="BO46" s="103"/>
      <c r="BP46" s="103"/>
      <c r="BQ46" s="103"/>
      <c r="BR46" s="104"/>
    </row>
    <row r="47" spans="1:70" x14ac:dyDescent="0.25">
      <c r="A47" s="8" t="s">
        <v>108</v>
      </c>
      <c r="B47" s="12">
        <v>0</v>
      </c>
      <c r="C47" s="13">
        <v>0</v>
      </c>
      <c r="D47" s="12">
        <v>0</v>
      </c>
      <c r="E47" s="13">
        <v>0</v>
      </c>
      <c r="F47" s="12">
        <v>1</v>
      </c>
      <c r="G47" s="13">
        <v>1</v>
      </c>
      <c r="H47" s="12">
        <v>1</v>
      </c>
      <c r="I47" s="13">
        <v>1</v>
      </c>
      <c r="J47" s="12">
        <v>1</v>
      </c>
      <c r="K47" s="13">
        <v>1</v>
      </c>
      <c r="L47" s="12">
        <v>1</v>
      </c>
      <c r="M47" s="13">
        <v>1</v>
      </c>
      <c r="N47" s="12">
        <v>1</v>
      </c>
      <c r="O47" s="13">
        <v>1</v>
      </c>
      <c r="P47" s="12">
        <v>1</v>
      </c>
      <c r="Q47" s="13">
        <v>2</v>
      </c>
      <c r="R47" s="12">
        <v>1</v>
      </c>
      <c r="S47" s="64">
        <v>2</v>
      </c>
      <c r="T47" s="12">
        <v>1</v>
      </c>
      <c r="U47" s="13">
        <v>2</v>
      </c>
      <c r="V47" s="12">
        <v>1</v>
      </c>
      <c r="W47" s="13">
        <v>2</v>
      </c>
      <c r="X47" s="12">
        <v>1</v>
      </c>
      <c r="Y47" s="13"/>
      <c r="Z47" s="12">
        <v>1</v>
      </c>
      <c r="AA47" s="13"/>
      <c r="AB47" s="12">
        <v>1</v>
      </c>
      <c r="AC47" s="13"/>
      <c r="AD47" s="12">
        <v>1</v>
      </c>
      <c r="AE47" s="13"/>
      <c r="AF47" s="12">
        <v>1</v>
      </c>
      <c r="AG47" s="13"/>
      <c r="AH47" s="12">
        <v>1</v>
      </c>
      <c r="AI47" s="13"/>
      <c r="AJ47" s="12">
        <v>1</v>
      </c>
      <c r="AK47" s="13"/>
      <c r="AL47" s="12">
        <v>1</v>
      </c>
      <c r="AM47" s="13"/>
      <c r="AN47" s="12">
        <v>1</v>
      </c>
      <c r="AO47" s="13"/>
      <c r="AP47" s="12">
        <v>1</v>
      </c>
      <c r="AQ47" s="13"/>
      <c r="AR47" s="12">
        <v>1</v>
      </c>
      <c r="AS47" s="13"/>
      <c r="AT47" s="15">
        <v>1</v>
      </c>
      <c r="AU47" s="14"/>
      <c r="AV47" s="24">
        <f t="shared" si="11"/>
        <v>0</v>
      </c>
      <c r="AW47" s="13">
        <f t="shared" si="12"/>
        <v>0</v>
      </c>
      <c r="AX47" s="13">
        <f t="shared" si="13"/>
        <v>0</v>
      </c>
      <c r="AY47" s="13">
        <f t="shared" si="14"/>
        <v>0</v>
      </c>
      <c r="AZ47" s="13">
        <f t="shared" si="15"/>
        <v>0</v>
      </c>
      <c r="BA47" s="13">
        <f t="shared" si="16"/>
        <v>0</v>
      </c>
      <c r="BB47" s="13">
        <f t="shared" si="17"/>
        <v>0</v>
      </c>
      <c r="BC47" s="13">
        <f t="shared" si="10"/>
        <v>1</v>
      </c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4"/>
    </row>
    <row r="48" spans="1:70" x14ac:dyDescent="0.25">
      <c r="A48" s="101" t="s">
        <v>109</v>
      </c>
      <c r="B48" s="102">
        <v>0</v>
      </c>
      <c r="C48" s="103">
        <v>0</v>
      </c>
      <c r="D48" s="102">
        <v>0</v>
      </c>
      <c r="E48" s="103">
        <v>0</v>
      </c>
      <c r="F48" s="102">
        <v>2</v>
      </c>
      <c r="G48" s="103">
        <v>1</v>
      </c>
      <c r="H48" s="102">
        <v>2</v>
      </c>
      <c r="I48" s="103">
        <v>1</v>
      </c>
      <c r="J48" s="102">
        <v>2</v>
      </c>
      <c r="K48" s="103">
        <v>1</v>
      </c>
      <c r="L48" s="102">
        <v>2</v>
      </c>
      <c r="M48" s="103">
        <v>1</v>
      </c>
      <c r="N48" s="102">
        <v>2</v>
      </c>
      <c r="O48" s="103">
        <v>2</v>
      </c>
      <c r="P48" s="102">
        <v>2</v>
      </c>
      <c r="Q48" s="103">
        <v>2</v>
      </c>
      <c r="R48" s="102">
        <v>2</v>
      </c>
      <c r="S48" s="64">
        <v>2</v>
      </c>
      <c r="T48" s="102">
        <v>2</v>
      </c>
      <c r="U48" s="103">
        <v>2</v>
      </c>
      <c r="V48" s="102">
        <v>2</v>
      </c>
      <c r="W48" s="103">
        <v>2</v>
      </c>
      <c r="X48" s="102">
        <v>2</v>
      </c>
      <c r="Y48" s="103"/>
      <c r="Z48" s="102">
        <v>2</v>
      </c>
      <c r="AA48" s="103"/>
      <c r="AB48" s="102">
        <v>2</v>
      </c>
      <c r="AC48" s="103"/>
      <c r="AD48" s="102">
        <v>2</v>
      </c>
      <c r="AE48" s="103"/>
      <c r="AF48" s="102">
        <v>2</v>
      </c>
      <c r="AG48" s="103"/>
      <c r="AH48" s="102">
        <v>2</v>
      </c>
      <c r="AI48" s="103"/>
      <c r="AJ48" s="102">
        <v>2</v>
      </c>
      <c r="AK48" s="103"/>
      <c r="AL48" s="102">
        <v>2</v>
      </c>
      <c r="AM48" s="103"/>
      <c r="AN48" s="102">
        <v>2</v>
      </c>
      <c r="AO48" s="103"/>
      <c r="AP48" s="102">
        <v>2</v>
      </c>
      <c r="AQ48" s="103"/>
      <c r="AR48" s="102">
        <v>2</v>
      </c>
      <c r="AS48" s="103"/>
      <c r="AT48" s="116">
        <v>2</v>
      </c>
      <c r="AU48" s="104"/>
      <c r="AV48" s="105">
        <f t="shared" si="11"/>
        <v>0</v>
      </c>
      <c r="AW48" s="103">
        <f t="shared" si="12"/>
        <v>0</v>
      </c>
      <c r="AX48" s="103">
        <f t="shared" si="13"/>
        <v>-1</v>
      </c>
      <c r="AY48" s="103">
        <f t="shared" si="14"/>
        <v>-1</v>
      </c>
      <c r="AZ48" s="103">
        <f t="shared" si="15"/>
        <v>-1</v>
      </c>
      <c r="BA48" s="103">
        <f t="shared" si="16"/>
        <v>-1</v>
      </c>
      <c r="BB48" s="103">
        <f t="shared" si="17"/>
        <v>0</v>
      </c>
      <c r="BC48" s="103">
        <f t="shared" si="10"/>
        <v>0</v>
      </c>
      <c r="BD48" s="103"/>
      <c r="BE48" s="103"/>
      <c r="BF48" s="103"/>
      <c r="BG48" s="103"/>
      <c r="BH48" s="103"/>
      <c r="BI48" s="103"/>
      <c r="BJ48" s="103"/>
      <c r="BK48" s="103"/>
      <c r="BL48" s="103"/>
      <c r="BM48" s="103"/>
      <c r="BN48" s="103"/>
      <c r="BO48" s="103"/>
      <c r="BP48" s="103"/>
      <c r="BQ48" s="103"/>
      <c r="BR48" s="104"/>
    </row>
    <row r="49" spans="1:70" x14ac:dyDescent="0.25">
      <c r="A49" s="8" t="s">
        <v>110</v>
      </c>
      <c r="B49" s="12">
        <v>0</v>
      </c>
      <c r="C49" s="13">
        <v>0</v>
      </c>
      <c r="D49" s="12">
        <v>0</v>
      </c>
      <c r="E49" s="13">
        <v>1</v>
      </c>
      <c r="F49" s="12">
        <v>1</v>
      </c>
      <c r="G49" s="13">
        <v>1</v>
      </c>
      <c r="H49" s="12">
        <v>1</v>
      </c>
      <c r="I49" s="13">
        <v>2</v>
      </c>
      <c r="J49" s="12">
        <v>1</v>
      </c>
      <c r="K49" s="13">
        <v>2</v>
      </c>
      <c r="L49" s="12">
        <v>1</v>
      </c>
      <c r="M49" s="13">
        <v>2</v>
      </c>
      <c r="N49" s="12">
        <v>1</v>
      </c>
      <c r="O49" s="13">
        <v>2</v>
      </c>
      <c r="P49" s="12">
        <v>1</v>
      </c>
      <c r="Q49" s="13">
        <v>3</v>
      </c>
      <c r="R49" s="12">
        <v>1</v>
      </c>
      <c r="S49" s="64">
        <v>2</v>
      </c>
      <c r="T49" s="12">
        <v>1</v>
      </c>
      <c r="U49" s="13">
        <v>2</v>
      </c>
      <c r="V49" s="12">
        <v>1</v>
      </c>
      <c r="W49" s="13">
        <v>2</v>
      </c>
      <c r="X49" s="12">
        <v>1</v>
      </c>
      <c r="Y49" s="13"/>
      <c r="Z49" s="12">
        <v>1</v>
      </c>
      <c r="AA49" s="13"/>
      <c r="AB49" s="12">
        <v>1</v>
      </c>
      <c r="AC49" s="13"/>
      <c r="AD49" s="12">
        <v>1</v>
      </c>
      <c r="AE49" s="13"/>
      <c r="AF49" s="12">
        <v>1</v>
      </c>
      <c r="AG49" s="13"/>
      <c r="AH49" s="12">
        <v>1</v>
      </c>
      <c r="AI49" s="13"/>
      <c r="AJ49" s="12">
        <v>1</v>
      </c>
      <c r="AK49" s="13"/>
      <c r="AL49" s="12">
        <v>1</v>
      </c>
      <c r="AM49" s="13"/>
      <c r="AN49" s="12">
        <v>1</v>
      </c>
      <c r="AO49" s="13"/>
      <c r="AP49" s="12">
        <v>1</v>
      </c>
      <c r="AQ49" s="13"/>
      <c r="AR49" s="12">
        <v>1</v>
      </c>
      <c r="AS49" s="13"/>
      <c r="AT49" s="15">
        <v>1</v>
      </c>
      <c r="AU49" s="14"/>
      <c r="AV49" s="24">
        <f t="shared" si="11"/>
        <v>0</v>
      </c>
      <c r="AW49" s="13">
        <f t="shared" si="12"/>
        <v>1</v>
      </c>
      <c r="AX49" s="13">
        <f t="shared" si="13"/>
        <v>0</v>
      </c>
      <c r="AY49" s="13">
        <f t="shared" si="14"/>
        <v>1</v>
      </c>
      <c r="AZ49" s="13">
        <f t="shared" si="15"/>
        <v>1</v>
      </c>
      <c r="BA49" s="13">
        <f t="shared" si="16"/>
        <v>1</v>
      </c>
      <c r="BB49" s="13">
        <f t="shared" si="17"/>
        <v>1</v>
      </c>
      <c r="BC49" s="13">
        <f t="shared" si="10"/>
        <v>2</v>
      </c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4"/>
    </row>
    <row r="50" spans="1:70" x14ac:dyDescent="0.25">
      <c r="A50" s="101" t="s">
        <v>111</v>
      </c>
      <c r="B50" s="102">
        <v>0</v>
      </c>
      <c r="C50" s="103">
        <v>0</v>
      </c>
      <c r="D50" s="102">
        <v>2</v>
      </c>
      <c r="E50" s="103">
        <v>0</v>
      </c>
      <c r="F50" s="102">
        <v>2</v>
      </c>
      <c r="G50" s="103">
        <v>0</v>
      </c>
      <c r="H50" s="102">
        <v>2</v>
      </c>
      <c r="I50" s="103">
        <v>0</v>
      </c>
      <c r="J50" s="102">
        <v>2</v>
      </c>
      <c r="K50" s="103">
        <v>0</v>
      </c>
      <c r="L50" s="102">
        <v>2</v>
      </c>
      <c r="M50" s="103">
        <v>0</v>
      </c>
      <c r="N50" s="102">
        <v>2</v>
      </c>
      <c r="O50" s="103">
        <v>0</v>
      </c>
      <c r="P50" s="102">
        <v>2</v>
      </c>
      <c r="Q50" s="103">
        <v>0</v>
      </c>
      <c r="R50" s="102">
        <v>2</v>
      </c>
      <c r="S50" s="64">
        <v>1</v>
      </c>
      <c r="T50" s="102">
        <v>2</v>
      </c>
      <c r="U50" s="103">
        <v>1</v>
      </c>
      <c r="V50" s="102">
        <v>2</v>
      </c>
      <c r="W50" s="103">
        <v>1</v>
      </c>
      <c r="X50" s="102">
        <v>2</v>
      </c>
      <c r="Y50" s="103"/>
      <c r="Z50" s="102">
        <v>2</v>
      </c>
      <c r="AA50" s="103"/>
      <c r="AB50" s="102">
        <v>2</v>
      </c>
      <c r="AC50" s="103"/>
      <c r="AD50" s="102">
        <v>2</v>
      </c>
      <c r="AE50" s="103"/>
      <c r="AF50" s="102">
        <v>2</v>
      </c>
      <c r="AG50" s="103"/>
      <c r="AH50" s="102">
        <v>2</v>
      </c>
      <c r="AI50" s="103"/>
      <c r="AJ50" s="102">
        <v>2</v>
      </c>
      <c r="AK50" s="103"/>
      <c r="AL50" s="102">
        <v>2</v>
      </c>
      <c r="AM50" s="103"/>
      <c r="AN50" s="102">
        <v>2</v>
      </c>
      <c r="AO50" s="103"/>
      <c r="AP50" s="102">
        <v>2</v>
      </c>
      <c r="AQ50" s="103"/>
      <c r="AR50" s="102">
        <v>2</v>
      </c>
      <c r="AS50" s="103"/>
      <c r="AT50" s="116">
        <v>1</v>
      </c>
      <c r="AU50" s="104"/>
      <c r="AV50" s="105">
        <f t="shared" si="11"/>
        <v>0</v>
      </c>
      <c r="AW50" s="103">
        <f t="shared" si="12"/>
        <v>-2</v>
      </c>
      <c r="AX50" s="103">
        <f t="shared" si="13"/>
        <v>-2</v>
      </c>
      <c r="AY50" s="103">
        <f t="shared" si="14"/>
        <v>-2</v>
      </c>
      <c r="AZ50" s="103">
        <f t="shared" si="15"/>
        <v>-2</v>
      </c>
      <c r="BA50" s="103">
        <f t="shared" si="16"/>
        <v>-2</v>
      </c>
      <c r="BB50" s="103">
        <f t="shared" si="17"/>
        <v>-2</v>
      </c>
      <c r="BC50" s="103">
        <f t="shared" si="10"/>
        <v>-2</v>
      </c>
      <c r="BD50" s="103"/>
      <c r="BE50" s="103"/>
      <c r="BF50" s="103"/>
      <c r="BG50" s="103"/>
      <c r="BH50" s="103"/>
      <c r="BI50" s="103"/>
      <c r="BJ50" s="103"/>
      <c r="BK50" s="103"/>
      <c r="BL50" s="103"/>
      <c r="BM50" s="103"/>
      <c r="BN50" s="103"/>
      <c r="BO50" s="103"/>
      <c r="BP50" s="103"/>
      <c r="BQ50" s="103"/>
      <c r="BR50" s="104"/>
    </row>
    <row r="51" spans="1:70" x14ac:dyDescent="0.25">
      <c r="A51" s="8" t="s">
        <v>112</v>
      </c>
      <c r="B51" s="12">
        <v>0</v>
      </c>
      <c r="C51" s="13">
        <v>0</v>
      </c>
      <c r="D51" s="12">
        <v>1</v>
      </c>
      <c r="E51" s="13">
        <v>1</v>
      </c>
      <c r="F51" s="12">
        <v>1</v>
      </c>
      <c r="G51" s="13">
        <v>1</v>
      </c>
      <c r="H51" s="12">
        <v>1</v>
      </c>
      <c r="I51" s="13">
        <v>1</v>
      </c>
      <c r="J51" s="12">
        <v>1</v>
      </c>
      <c r="K51" s="13">
        <v>1</v>
      </c>
      <c r="L51" s="12">
        <v>1</v>
      </c>
      <c r="M51" s="13">
        <v>1</v>
      </c>
      <c r="N51" s="12">
        <v>1</v>
      </c>
      <c r="O51" s="13">
        <v>1</v>
      </c>
      <c r="P51" s="12">
        <v>1</v>
      </c>
      <c r="Q51" s="13">
        <v>1</v>
      </c>
      <c r="R51" s="12">
        <v>1</v>
      </c>
      <c r="S51" s="64">
        <v>1</v>
      </c>
      <c r="T51" s="12">
        <v>1</v>
      </c>
      <c r="U51" s="13">
        <v>1</v>
      </c>
      <c r="V51" s="12">
        <v>1</v>
      </c>
      <c r="W51" s="13">
        <v>1</v>
      </c>
      <c r="X51" s="12">
        <v>1</v>
      </c>
      <c r="Y51" s="13"/>
      <c r="Z51" s="12">
        <v>1</v>
      </c>
      <c r="AA51" s="13"/>
      <c r="AB51" s="12">
        <v>1</v>
      </c>
      <c r="AC51" s="13"/>
      <c r="AD51" s="12">
        <v>1</v>
      </c>
      <c r="AE51" s="13"/>
      <c r="AF51" s="12">
        <v>1</v>
      </c>
      <c r="AG51" s="13"/>
      <c r="AH51" s="12">
        <v>1</v>
      </c>
      <c r="AI51" s="13"/>
      <c r="AJ51" s="12">
        <v>1</v>
      </c>
      <c r="AK51" s="13"/>
      <c r="AL51" s="12">
        <v>1</v>
      </c>
      <c r="AM51" s="13"/>
      <c r="AN51" s="12">
        <v>1</v>
      </c>
      <c r="AO51" s="13"/>
      <c r="AP51" s="12">
        <v>1</v>
      </c>
      <c r="AQ51" s="13"/>
      <c r="AR51" s="12">
        <v>1</v>
      </c>
      <c r="AS51" s="13"/>
      <c r="AT51" s="15">
        <v>0.5</v>
      </c>
      <c r="AU51" s="14"/>
      <c r="AV51" s="24">
        <f t="shared" si="11"/>
        <v>0</v>
      </c>
      <c r="AW51" s="13">
        <f t="shared" si="12"/>
        <v>0</v>
      </c>
      <c r="AX51" s="13">
        <f t="shared" si="13"/>
        <v>0</v>
      </c>
      <c r="AY51" s="13">
        <f t="shared" si="14"/>
        <v>0</v>
      </c>
      <c r="AZ51" s="13">
        <f t="shared" si="15"/>
        <v>0</v>
      </c>
      <c r="BA51" s="13">
        <f t="shared" si="16"/>
        <v>0</v>
      </c>
      <c r="BB51" s="13">
        <f t="shared" si="17"/>
        <v>0</v>
      </c>
      <c r="BC51" s="13">
        <f t="shared" si="10"/>
        <v>0</v>
      </c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4"/>
    </row>
    <row r="52" spans="1:70" x14ac:dyDescent="0.25">
      <c r="A52" s="101" t="s">
        <v>113</v>
      </c>
      <c r="B52" s="102">
        <v>0</v>
      </c>
      <c r="C52" s="103">
        <v>0</v>
      </c>
      <c r="D52" s="102">
        <v>0</v>
      </c>
      <c r="E52" s="103">
        <v>1</v>
      </c>
      <c r="F52" s="102">
        <v>1</v>
      </c>
      <c r="G52" s="103">
        <v>1</v>
      </c>
      <c r="H52" s="102">
        <v>1</v>
      </c>
      <c r="I52" s="103">
        <v>1</v>
      </c>
      <c r="J52" s="102">
        <v>1</v>
      </c>
      <c r="K52" s="103">
        <v>1</v>
      </c>
      <c r="L52" s="102">
        <v>1</v>
      </c>
      <c r="M52" s="103">
        <v>1</v>
      </c>
      <c r="N52" s="102">
        <v>1</v>
      </c>
      <c r="O52" s="103">
        <v>1</v>
      </c>
      <c r="P52" s="102">
        <v>1</v>
      </c>
      <c r="Q52" s="103">
        <v>1</v>
      </c>
      <c r="R52" s="102">
        <v>1</v>
      </c>
      <c r="S52" s="64">
        <v>1</v>
      </c>
      <c r="T52" s="102">
        <v>1</v>
      </c>
      <c r="U52" s="103">
        <v>1</v>
      </c>
      <c r="V52" s="102">
        <v>1</v>
      </c>
      <c r="W52" s="103">
        <v>1</v>
      </c>
      <c r="X52" s="102">
        <v>1</v>
      </c>
      <c r="Y52" s="103"/>
      <c r="Z52" s="102">
        <v>1</v>
      </c>
      <c r="AA52" s="103"/>
      <c r="AB52" s="102">
        <v>1</v>
      </c>
      <c r="AC52" s="103"/>
      <c r="AD52" s="102">
        <v>1</v>
      </c>
      <c r="AE52" s="103"/>
      <c r="AF52" s="102">
        <v>1</v>
      </c>
      <c r="AG52" s="103"/>
      <c r="AH52" s="102">
        <v>1</v>
      </c>
      <c r="AI52" s="103"/>
      <c r="AJ52" s="102">
        <v>1</v>
      </c>
      <c r="AK52" s="103"/>
      <c r="AL52" s="102">
        <v>1</v>
      </c>
      <c r="AM52" s="103"/>
      <c r="AN52" s="102">
        <v>1</v>
      </c>
      <c r="AO52" s="103"/>
      <c r="AP52" s="102">
        <v>1</v>
      </c>
      <c r="AQ52" s="103"/>
      <c r="AR52" s="102">
        <v>1</v>
      </c>
      <c r="AS52" s="103"/>
      <c r="AT52" s="116">
        <v>1</v>
      </c>
      <c r="AU52" s="104"/>
      <c r="AV52" s="105">
        <f t="shared" si="11"/>
        <v>0</v>
      </c>
      <c r="AW52" s="103">
        <f t="shared" si="12"/>
        <v>1</v>
      </c>
      <c r="AX52" s="103">
        <f t="shared" si="13"/>
        <v>0</v>
      </c>
      <c r="AY52" s="103">
        <f t="shared" si="14"/>
        <v>0</v>
      </c>
      <c r="AZ52" s="103">
        <f t="shared" si="15"/>
        <v>0</v>
      </c>
      <c r="BA52" s="103">
        <f t="shared" si="16"/>
        <v>0</v>
      </c>
      <c r="BB52" s="103">
        <f t="shared" si="17"/>
        <v>0</v>
      </c>
      <c r="BC52" s="103">
        <f t="shared" si="10"/>
        <v>0</v>
      </c>
      <c r="BD52" s="103"/>
      <c r="BE52" s="103"/>
      <c r="BF52" s="103"/>
      <c r="BG52" s="103"/>
      <c r="BH52" s="103"/>
      <c r="BI52" s="103"/>
      <c r="BJ52" s="103"/>
      <c r="BK52" s="103"/>
      <c r="BL52" s="103"/>
      <c r="BM52" s="103"/>
      <c r="BN52" s="103"/>
      <c r="BO52" s="103"/>
      <c r="BP52" s="103"/>
      <c r="BQ52" s="103"/>
      <c r="BR52" s="104"/>
    </row>
    <row r="53" spans="1:70" x14ac:dyDescent="0.25">
      <c r="A53" s="8" t="s">
        <v>114</v>
      </c>
      <c r="B53" s="12">
        <v>0</v>
      </c>
      <c r="C53" s="13">
        <v>0</v>
      </c>
      <c r="D53" s="12">
        <v>0</v>
      </c>
      <c r="E53" s="13">
        <v>0</v>
      </c>
      <c r="F53" s="12">
        <v>1</v>
      </c>
      <c r="G53" s="13">
        <v>2</v>
      </c>
      <c r="H53" s="12">
        <v>1</v>
      </c>
      <c r="I53" s="13">
        <v>2</v>
      </c>
      <c r="J53" s="12">
        <v>1</v>
      </c>
      <c r="K53" s="13">
        <v>1</v>
      </c>
      <c r="L53" s="12">
        <v>1</v>
      </c>
      <c r="M53" s="13">
        <v>1</v>
      </c>
      <c r="N53" s="12">
        <v>1</v>
      </c>
      <c r="O53" s="13">
        <v>1</v>
      </c>
      <c r="P53" s="12">
        <v>1</v>
      </c>
      <c r="Q53" s="13">
        <v>1</v>
      </c>
      <c r="R53" s="12">
        <v>1</v>
      </c>
      <c r="S53" s="64">
        <v>1</v>
      </c>
      <c r="T53" s="12">
        <v>1</v>
      </c>
      <c r="U53" s="13">
        <v>1</v>
      </c>
      <c r="V53" s="12">
        <v>1</v>
      </c>
      <c r="W53" s="13">
        <v>1</v>
      </c>
      <c r="X53" s="12">
        <v>1</v>
      </c>
      <c r="Y53" s="13"/>
      <c r="Z53" s="12">
        <v>1</v>
      </c>
      <c r="AA53" s="13"/>
      <c r="AB53" s="12">
        <v>1</v>
      </c>
      <c r="AC53" s="13"/>
      <c r="AD53" s="12">
        <v>1</v>
      </c>
      <c r="AE53" s="13"/>
      <c r="AF53" s="12">
        <v>1</v>
      </c>
      <c r="AG53" s="13"/>
      <c r="AH53" s="12">
        <v>1</v>
      </c>
      <c r="AI53" s="13"/>
      <c r="AJ53" s="12">
        <v>1</v>
      </c>
      <c r="AK53" s="13"/>
      <c r="AL53" s="12">
        <v>1</v>
      </c>
      <c r="AM53" s="13"/>
      <c r="AN53" s="12">
        <v>1</v>
      </c>
      <c r="AO53" s="13"/>
      <c r="AP53" s="12">
        <v>1</v>
      </c>
      <c r="AQ53" s="13"/>
      <c r="AR53" s="12">
        <v>1</v>
      </c>
      <c r="AS53" s="13"/>
      <c r="AT53" s="15">
        <v>1</v>
      </c>
      <c r="AU53" s="14"/>
      <c r="AV53" s="24">
        <f t="shared" si="11"/>
        <v>0</v>
      </c>
      <c r="AW53" s="13">
        <f t="shared" si="12"/>
        <v>0</v>
      </c>
      <c r="AX53" s="13">
        <f t="shared" si="13"/>
        <v>1</v>
      </c>
      <c r="AY53" s="13">
        <f t="shared" si="14"/>
        <v>1</v>
      </c>
      <c r="AZ53" s="13">
        <f t="shared" si="15"/>
        <v>0</v>
      </c>
      <c r="BA53" s="13">
        <f t="shared" si="16"/>
        <v>0</v>
      </c>
      <c r="BB53" s="13">
        <f t="shared" si="17"/>
        <v>0</v>
      </c>
      <c r="BC53" s="13">
        <f t="shared" si="10"/>
        <v>0</v>
      </c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4"/>
    </row>
    <row r="54" spans="1:70" x14ac:dyDescent="0.25">
      <c r="A54" s="101" t="s">
        <v>115</v>
      </c>
      <c r="B54" s="102">
        <v>0</v>
      </c>
      <c r="C54" s="103">
        <v>1</v>
      </c>
      <c r="D54" s="102">
        <v>0</v>
      </c>
      <c r="E54" s="103">
        <v>2</v>
      </c>
      <c r="F54" s="102">
        <v>2</v>
      </c>
      <c r="G54" s="103">
        <v>2</v>
      </c>
      <c r="H54" s="102">
        <v>2</v>
      </c>
      <c r="I54" s="103">
        <v>2</v>
      </c>
      <c r="J54" s="102">
        <v>2</v>
      </c>
      <c r="K54" s="103">
        <v>0</v>
      </c>
      <c r="L54" s="102">
        <v>2</v>
      </c>
      <c r="M54" s="103">
        <v>4</v>
      </c>
      <c r="N54" s="102">
        <v>2</v>
      </c>
      <c r="O54" s="103">
        <v>1</v>
      </c>
      <c r="P54" s="102">
        <v>2</v>
      </c>
      <c r="Q54" s="103">
        <v>3</v>
      </c>
      <c r="R54" s="102">
        <v>2</v>
      </c>
      <c r="S54" s="64">
        <v>5</v>
      </c>
      <c r="T54" s="102">
        <v>2</v>
      </c>
      <c r="U54" s="103">
        <v>5</v>
      </c>
      <c r="V54" s="102">
        <v>2</v>
      </c>
      <c r="W54" s="103">
        <v>5</v>
      </c>
      <c r="X54" s="102">
        <v>2</v>
      </c>
      <c r="Y54" s="103"/>
      <c r="Z54" s="102">
        <v>2</v>
      </c>
      <c r="AA54" s="103"/>
      <c r="AB54" s="102">
        <v>2</v>
      </c>
      <c r="AC54" s="103"/>
      <c r="AD54" s="102">
        <v>2</v>
      </c>
      <c r="AE54" s="103"/>
      <c r="AF54" s="102">
        <v>2</v>
      </c>
      <c r="AG54" s="103"/>
      <c r="AH54" s="102">
        <v>2</v>
      </c>
      <c r="AI54" s="103"/>
      <c r="AJ54" s="102">
        <v>2</v>
      </c>
      <c r="AK54" s="103"/>
      <c r="AL54" s="102">
        <v>2</v>
      </c>
      <c r="AM54" s="103"/>
      <c r="AN54" s="102">
        <v>2</v>
      </c>
      <c r="AO54" s="103"/>
      <c r="AP54" s="102">
        <v>2</v>
      </c>
      <c r="AQ54" s="103"/>
      <c r="AR54" s="102">
        <v>2</v>
      </c>
      <c r="AS54" s="103"/>
      <c r="AT54" s="116">
        <v>2</v>
      </c>
      <c r="AU54" s="104"/>
      <c r="AV54" s="105">
        <f t="shared" si="11"/>
        <v>1</v>
      </c>
      <c r="AW54" s="103">
        <f t="shared" si="12"/>
        <v>2</v>
      </c>
      <c r="AX54" s="103">
        <f t="shared" si="13"/>
        <v>0</v>
      </c>
      <c r="AY54" s="103">
        <f t="shared" si="14"/>
        <v>0</v>
      </c>
      <c r="AZ54" s="103">
        <f t="shared" si="15"/>
        <v>-2</v>
      </c>
      <c r="BA54" s="103">
        <f t="shared" si="16"/>
        <v>2</v>
      </c>
      <c r="BB54" s="103">
        <f t="shared" si="17"/>
        <v>-1</v>
      </c>
      <c r="BC54" s="103">
        <f t="shared" si="10"/>
        <v>1</v>
      </c>
      <c r="BD54" s="103"/>
      <c r="BE54" s="103"/>
      <c r="BF54" s="103"/>
      <c r="BG54" s="103"/>
      <c r="BH54" s="103"/>
      <c r="BI54" s="103"/>
      <c r="BJ54" s="103"/>
      <c r="BK54" s="103"/>
      <c r="BL54" s="103"/>
      <c r="BM54" s="103"/>
      <c r="BN54" s="103"/>
      <c r="BO54" s="103"/>
      <c r="BP54" s="103"/>
      <c r="BQ54" s="103"/>
      <c r="BR54" s="104"/>
    </row>
    <row r="55" spans="1:70" x14ac:dyDescent="0.25">
      <c r="A55" s="8" t="s">
        <v>116</v>
      </c>
      <c r="B55" s="12">
        <v>0</v>
      </c>
      <c r="C55" s="13">
        <v>1</v>
      </c>
      <c r="D55" s="12">
        <v>0</v>
      </c>
      <c r="E55" s="13">
        <v>1</v>
      </c>
      <c r="F55" s="12">
        <v>1</v>
      </c>
      <c r="G55" s="13">
        <v>1</v>
      </c>
      <c r="H55" s="12">
        <v>1</v>
      </c>
      <c r="I55" s="13">
        <v>1</v>
      </c>
      <c r="J55" s="12">
        <v>1</v>
      </c>
      <c r="K55" s="13">
        <v>0</v>
      </c>
      <c r="L55" s="12">
        <v>1</v>
      </c>
      <c r="M55" s="13">
        <v>1</v>
      </c>
      <c r="N55" s="12">
        <v>1</v>
      </c>
      <c r="O55" s="13">
        <v>1</v>
      </c>
      <c r="P55" s="12">
        <v>1</v>
      </c>
      <c r="Q55" s="13">
        <v>1</v>
      </c>
      <c r="R55" s="12">
        <v>1</v>
      </c>
      <c r="S55" s="64">
        <v>1</v>
      </c>
      <c r="T55" s="12">
        <v>1</v>
      </c>
      <c r="U55" s="13">
        <v>1</v>
      </c>
      <c r="V55" s="12">
        <v>1</v>
      </c>
      <c r="W55" s="13">
        <v>1</v>
      </c>
      <c r="X55" s="12">
        <v>1</v>
      </c>
      <c r="Y55" s="13"/>
      <c r="Z55" s="12">
        <v>1</v>
      </c>
      <c r="AA55" s="13"/>
      <c r="AB55" s="12">
        <v>1</v>
      </c>
      <c r="AC55" s="13"/>
      <c r="AD55" s="12">
        <v>1</v>
      </c>
      <c r="AE55" s="13"/>
      <c r="AF55" s="12">
        <v>1</v>
      </c>
      <c r="AG55" s="13"/>
      <c r="AH55" s="12">
        <v>1</v>
      </c>
      <c r="AI55" s="13"/>
      <c r="AJ55" s="12">
        <v>1</v>
      </c>
      <c r="AK55" s="13"/>
      <c r="AL55" s="12">
        <v>1</v>
      </c>
      <c r="AM55" s="13"/>
      <c r="AN55" s="12">
        <v>1</v>
      </c>
      <c r="AO55" s="13"/>
      <c r="AP55" s="12">
        <v>1</v>
      </c>
      <c r="AQ55" s="13"/>
      <c r="AR55" s="12">
        <v>1</v>
      </c>
      <c r="AS55" s="13"/>
      <c r="AT55" s="15">
        <v>1</v>
      </c>
      <c r="AU55" s="14"/>
      <c r="AV55" s="24">
        <f t="shared" si="11"/>
        <v>1</v>
      </c>
      <c r="AW55" s="13">
        <f t="shared" si="12"/>
        <v>1</v>
      </c>
      <c r="AX55" s="13">
        <f t="shared" si="13"/>
        <v>0</v>
      </c>
      <c r="AY55" s="13">
        <f t="shared" si="14"/>
        <v>0</v>
      </c>
      <c r="AZ55" s="13">
        <f t="shared" si="15"/>
        <v>-1</v>
      </c>
      <c r="BA55" s="13">
        <f t="shared" si="16"/>
        <v>0</v>
      </c>
      <c r="BB55" s="13">
        <f t="shared" si="17"/>
        <v>0</v>
      </c>
      <c r="BC55" s="13">
        <f t="shared" si="10"/>
        <v>0</v>
      </c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4"/>
    </row>
    <row r="56" spans="1:70" x14ac:dyDescent="0.25">
      <c r="A56" s="101" t="s">
        <v>117</v>
      </c>
      <c r="B56" s="102">
        <v>0</v>
      </c>
      <c r="C56" s="103">
        <v>0</v>
      </c>
      <c r="D56" s="102">
        <v>0</v>
      </c>
      <c r="E56" s="103">
        <v>0</v>
      </c>
      <c r="F56" s="102">
        <v>1</v>
      </c>
      <c r="G56" s="103">
        <v>1</v>
      </c>
      <c r="H56" s="102">
        <v>1</v>
      </c>
      <c r="I56" s="103">
        <v>1</v>
      </c>
      <c r="J56" s="102">
        <v>1</v>
      </c>
      <c r="K56" s="103">
        <v>1</v>
      </c>
      <c r="L56" s="102">
        <v>1</v>
      </c>
      <c r="M56" s="103">
        <v>1</v>
      </c>
      <c r="N56" s="102">
        <v>1</v>
      </c>
      <c r="O56" s="103">
        <v>1</v>
      </c>
      <c r="P56" s="102">
        <v>1</v>
      </c>
      <c r="Q56" s="103">
        <v>1</v>
      </c>
      <c r="R56" s="102">
        <v>1</v>
      </c>
      <c r="S56" s="64">
        <v>1</v>
      </c>
      <c r="T56" s="102">
        <v>1</v>
      </c>
      <c r="U56" s="103">
        <v>1</v>
      </c>
      <c r="V56" s="102">
        <v>1</v>
      </c>
      <c r="W56" s="103">
        <v>1</v>
      </c>
      <c r="X56" s="102">
        <v>1</v>
      </c>
      <c r="Y56" s="103"/>
      <c r="Z56" s="102">
        <v>1</v>
      </c>
      <c r="AA56" s="103"/>
      <c r="AB56" s="102">
        <v>1</v>
      </c>
      <c r="AC56" s="103"/>
      <c r="AD56" s="102">
        <v>1</v>
      </c>
      <c r="AE56" s="103"/>
      <c r="AF56" s="102">
        <v>1</v>
      </c>
      <c r="AG56" s="103"/>
      <c r="AH56" s="102">
        <v>1</v>
      </c>
      <c r="AI56" s="103"/>
      <c r="AJ56" s="102">
        <v>1</v>
      </c>
      <c r="AK56" s="103"/>
      <c r="AL56" s="102">
        <v>1</v>
      </c>
      <c r="AM56" s="103"/>
      <c r="AN56" s="102">
        <v>1</v>
      </c>
      <c r="AO56" s="103"/>
      <c r="AP56" s="102">
        <v>1</v>
      </c>
      <c r="AQ56" s="103"/>
      <c r="AR56" s="102">
        <v>1</v>
      </c>
      <c r="AS56" s="103"/>
      <c r="AT56" s="116">
        <v>1</v>
      </c>
      <c r="AU56" s="104"/>
      <c r="AV56" s="105">
        <f t="shared" si="11"/>
        <v>0</v>
      </c>
      <c r="AW56" s="103">
        <f t="shared" si="12"/>
        <v>0</v>
      </c>
      <c r="AX56" s="103">
        <f t="shared" si="13"/>
        <v>0</v>
      </c>
      <c r="AY56" s="103">
        <f t="shared" si="14"/>
        <v>0</v>
      </c>
      <c r="AZ56" s="103">
        <f t="shared" si="15"/>
        <v>0</v>
      </c>
      <c r="BA56" s="103">
        <f t="shared" si="16"/>
        <v>0</v>
      </c>
      <c r="BB56" s="103">
        <f t="shared" si="17"/>
        <v>0</v>
      </c>
      <c r="BC56" s="103">
        <f t="shared" si="10"/>
        <v>0</v>
      </c>
      <c r="BD56" s="103"/>
      <c r="BE56" s="103"/>
      <c r="BF56" s="103"/>
      <c r="BG56" s="103"/>
      <c r="BH56" s="103"/>
      <c r="BI56" s="103"/>
      <c r="BJ56" s="103"/>
      <c r="BK56" s="103"/>
      <c r="BL56" s="103"/>
      <c r="BM56" s="103"/>
      <c r="BN56" s="103"/>
      <c r="BO56" s="103"/>
      <c r="BP56" s="103"/>
      <c r="BQ56" s="103"/>
      <c r="BR56" s="104"/>
    </row>
    <row r="57" spans="1:70" x14ac:dyDescent="0.25">
      <c r="A57" s="8" t="s">
        <v>118</v>
      </c>
      <c r="B57" s="12">
        <v>0</v>
      </c>
      <c r="C57" s="13">
        <v>0</v>
      </c>
      <c r="D57" s="12">
        <v>0</v>
      </c>
      <c r="E57" s="13">
        <v>0</v>
      </c>
      <c r="F57" s="12">
        <v>1</v>
      </c>
      <c r="G57" s="13">
        <v>1</v>
      </c>
      <c r="H57" s="12">
        <v>1</v>
      </c>
      <c r="I57" s="13">
        <v>1</v>
      </c>
      <c r="J57" s="12">
        <v>1</v>
      </c>
      <c r="K57" s="13">
        <v>1</v>
      </c>
      <c r="L57" s="12">
        <v>1</v>
      </c>
      <c r="M57" s="13">
        <v>1</v>
      </c>
      <c r="N57" s="12">
        <v>1</v>
      </c>
      <c r="O57" s="13">
        <v>2</v>
      </c>
      <c r="P57" s="12">
        <v>1</v>
      </c>
      <c r="Q57" s="13">
        <v>2</v>
      </c>
      <c r="R57" s="12">
        <v>1</v>
      </c>
      <c r="S57" s="64">
        <v>2</v>
      </c>
      <c r="T57" s="12">
        <v>1</v>
      </c>
      <c r="U57" s="13">
        <v>2</v>
      </c>
      <c r="V57" s="12">
        <v>1</v>
      </c>
      <c r="W57" s="13">
        <v>2</v>
      </c>
      <c r="X57" s="12">
        <v>1</v>
      </c>
      <c r="Y57" s="13"/>
      <c r="Z57" s="12">
        <v>1</v>
      </c>
      <c r="AA57" s="13"/>
      <c r="AB57" s="12">
        <v>1</v>
      </c>
      <c r="AC57" s="13"/>
      <c r="AD57" s="12">
        <v>1</v>
      </c>
      <c r="AE57" s="13"/>
      <c r="AF57" s="12">
        <v>1</v>
      </c>
      <c r="AG57" s="13"/>
      <c r="AH57" s="12">
        <v>1</v>
      </c>
      <c r="AI57" s="13"/>
      <c r="AJ57" s="12">
        <v>1</v>
      </c>
      <c r="AK57" s="13"/>
      <c r="AL57" s="12">
        <v>1</v>
      </c>
      <c r="AM57" s="13"/>
      <c r="AN57" s="12">
        <v>1</v>
      </c>
      <c r="AO57" s="13"/>
      <c r="AP57" s="12">
        <v>1</v>
      </c>
      <c r="AQ57" s="13"/>
      <c r="AR57" s="12">
        <v>1</v>
      </c>
      <c r="AS57" s="13"/>
      <c r="AT57" s="15">
        <v>1</v>
      </c>
      <c r="AU57" s="14"/>
      <c r="AV57" s="24">
        <f t="shared" si="11"/>
        <v>0</v>
      </c>
      <c r="AW57" s="13">
        <f t="shared" si="12"/>
        <v>0</v>
      </c>
      <c r="AX57" s="13">
        <f t="shared" si="13"/>
        <v>0</v>
      </c>
      <c r="AY57" s="13">
        <f t="shared" si="14"/>
        <v>0</v>
      </c>
      <c r="AZ57" s="13">
        <f t="shared" si="15"/>
        <v>0</v>
      </c>
      <c r="BA57" s="13">
        <f t="shared" si="16"/>
        <v>0</v>
      </c>
      <c r="BB57" s="13">
        <f t="shared" si="17"/>
        <v>1</v>
      </c>
      <c r="BC57" s="13">
        <f t="shared" si="10"/>
        <v>1</v>
      </c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4"/>
    </row>
    <row r="58" spans="1:70" x14ac:dyDescent="0.25">
      <c r="A58" s="101" t="s">
        <v>119</v>
      </c>
      <c r="B58" s="102">
        <v>0</v>
      </c>
      <c r="C58" s="103">
        <v>0</v>
      </c>
      <c r="D58" s="102">
        <v>0</v>
      </c>
      <c r="E58" s="103">
        <v>0</v>
      </c>
      <c r="F58" s="102">
        <v>1</v>
      </c>
      <c r="G58" s="103">
        <v>1</v>
      </c>
      <c r="H58" s="102">
        <v>1</v>
      </c>
      <c r="I58" s="103">
        <v>1</v>
      </c>
      <c r="J58" s="102">
        <v>1</v>
      </c>
      <c r="K58" s="103">
        <v>1</v>
      </c>
      <c r="L58" s="102">
        <v>1</v>
      </c>
      <c r="M58" s="103">
        <v>1</v>
      </c>
      <c r="N58" s="102">
        <v>1</v>
      </c>
      <c r="O58" s="103">
        <v>2</v>
      </c>
      <c r="P58" s="102">
        <v>1</v>
      </c>
      <c r="Q58" s="103">
        <v>2</v>
      </c>
      <c r="R58" s="102">
        <v>1</v>
      </c>
      <c r="S58" s="64">
        <v>1</v>
      </c>
      <c r="T58" s="102">
        <v>1</v>
      </c>
      <c r="U58" s="103">
        <v>1</v>
      </c>
      <c r="V58" s="102">
        <v>1</v>
      </c>
      <c r="W58" s="103">
        <v>1</v>
      </c>
      <c r="X58" s="102">
        <v>1</v>
      </c>
      <c r="Y58" s="103"/>
      <c r="Z58" s="102">
        <v>1</v>
      </c>
      <c r="AA58" s="103"/>
      <c r="AB58" s="102">
        <v>1</v>
      </c>
      <c r="AC58" s="103"/>
      <c r="AD58" s="102">
        <v>1</v>
      </c>
      <c r="AE58" s="103"/>
      <c r="AF58" s="102">
        <v>1</v>
      </c>
      <c r="AG58" s="103"/>
      <c r="AH58" s="102">
        <v>1</v>
      </c>
      <c r="AI58" s="103"/>
      <c r="AJ58" s="102">
        <v>1</v>
      </c>
      <c r="AK58" s="103"/>
      <c r="AL58" s="102">
        <v>1</v>
      </c>
      <c r="AM58" s="103"/>
      <c r="AN58" s="102">
        <v>1</v>
      </c>
      <c r="AO58" s="103"/>
      <c r="AP58" s="102">
        <v>1</v>
      </c>
      <c r="AQ58" s="103"/>
      <c r="AR58" s="102">
        <v>1</v>
      </c>
      <c r="AS58" s="103"/>
      <c r="AT58" s="116">
        <v>1</v>
      </c>
      <c r="AU58" s="104"/>
      <c r="AV58" s="105">
        <f t="shared" si="11"/>
        <v>0</v>
      </c>
      <c r="AW58" s="103">
        <f t="shared" si="12"/>
        <v>0</v>
      </c>
      <c r="AX58" s="103">
        <f t="shared" si="13"/>
        <v>0</v>
      </c>
      <c r="AY58" s="103">
        <f t="shared" si="14"/>
        <v>0</v>
      </c>
      <c r="AZ58" s="103">
        <f t="shared" si="15"/>
        <v>0</v>
      </c>
      <c r="BA58" s="103">
        <f t="shared" si="16"/>
        <v>0</v>
      </c>
      <c r="BB58" s="103">
        <f t="shared" si="17"/>
        <v>1</v>
      </c>
      <c r="BC58" s="103">
        <f t="shared" si="10"/>
        <v>1</v>
      </c>
      <c r="BD58" s="103"/>
      <c r="BE58" s="103"/>
      <c r="BF58" s="103"/>
      <c r="BG58" s="103"/>
      <c r="BH58" s="103"/>
      <c r="BI58" s="103"/>
      <c r="BJ58" s="103"/>
      <c r="BK58" s="103"/>
      <c r="BL58" s="103"/>
      <c r="BM58" s="103"/>
      <c r="BN58" s="103"/>
      <c r="BO58" s="103"/>
      <c r="BP58" s="103"/>
      <c r="BQ58" s="103"/>
      <c r="BR58" s="104"/>
    </row>
    <row r="59" spans="1:70" x14ac:dyDescent="0.25">
      <c r="A59" s="8" t="s">
        <v>120</v>
      </c>
      <c r="B59" s="12">
        <v>0</v>
      </c>
      <c r="C59" s="13">
        <v>0</v>
      </c>
      <c r="D59" s="12">
        <v>1</v>
      </c>
      <c r="E59" s="13">
        <v>0</v>
      </c>
      <c r="F59" s="12">
        <v>2</v>
      </c>
      <c r="G59" s="13">
        <v>0</v>
      </c>
      <c r="H59" s="12">
        <v>2</v>
      </c>
      <c r="I59" s="13">
        <v>0</v>
      </c>
      <c r="J59" s="12">
        <v>2</v>
      </c>
      <c r="K59" s="13">
        <v>0</v>
      </c>
      <c r="L59" s="12">
        <v>2</v>
      </c>
      <c r="M59" s="13">
        <v>2</v>
      </c>
      <c r="N59" s="12">
        <v>2</v>
      </c>
      <c r="O59" s="13">
        <v>1</v>
      </c>
      <c r="P59" s="12">
        <v>2</v>
      </c>
      <c r="Q59" s="13">
        <v>2</v>
      </c>
      <c r="R59" s="12">
        <v>2</v>
      </c>
      <c r="S59" s="64">
        <v>2</v>
      </c>
      <c r="T59" s="12">
        <v>2</v>
      </c>
      <c r="U59" s="13">
        <v>2</v>
      </c>
      <c r="V59" s="12">
        <v>2</v>
      </c>
      <c r="W59" s="13">
        <v>2</v>
      </c>
      <c r="X59" s="12">
        <v>2</v>
      </c>
      <c r="Y59" s="13"/>
      <c r="Z59" s="12">
        <v>2</v>
      </c>
      <c r="AA59" s="13"/>
      <c r="AB59" s="12">
        <v>2</v>
      </c>
      <c r="AC59" s="13"/>
      <c r="AD59" s="12">
        <v>2</v>
      </c>
      <c r="AE59" s="13"/>
      <c r="AF59" s="12">
        <v>2</v>
      </c>
      <c r="AG59" s="13"/>
      <c r="AH59" s="12">
        <v>2</v>
      </c>
      <c r="AI59" s="13"/>
      <c r="AJ59" s="12">
        <v>2</v>
      </c>
      <c r="AK59" s="13"/>
      <c r="AL59" s="12">
        <v>2</v>
      </c>
      <c r="AM59" s="13"/>
      <c r="AN59" s="12">
        <v>2</v>
      </c>
      <c r="AO59" s="13"/>
      <c r="AP59" s="12">
        <v>2</v>
      </c>
      <c r="AQ59" s="13"/>
      <c r="AR59" s="12">
        <v>1.5</v>
      </c>
      <c r="AS59" s="13"/>
      <c r="AT59" s="15">
        <v>0.5</v>
      </c>
      <c r="AU59" s="14"/>
      <c r="AV59" s="24">
        <f t="shared" si="11"/>
        <v>0</v>
      </c>
      <c r="AW59" s="13">
        <f t="shared" si="12"/>
        <v>-1</v>
      </c>
      <c r="AX59" s="13">
        <f t="shared" si="13"/>
        <v>-2</v>
      </c>
      <c r="AY59" s="13">
        <f t="shared" si="14"/>
        <v>-2</v>
      </c>
      <c r="AZ59" s="13">
        <f t="shared" si="15"/>
        <v>-2</v>
      </c>
      <c r="BA59" s="13">
        <f t="shared" si="16"/>
        <v>0</v>
      </c>
      <c r="BB59" s="13">
        <f t="shared" si="17"/>
        <v>-1</v>
      </c>
      <c r="BC59" s="13">
        <f t="shared" si="10"/>
        <v>0</v>
      </c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4"/>
    </row>
    <row r="60" spans="1:70" x14ac:dyDescent="0.25">
      <c r="A60" s="101" t="s">
        <v>121</v>
      </c>
      <c r="B60" s="102">
        <v>0</v>
      </c>
      <c r="C60" s="103">
        <v>0</v>
      </c>
      <c r="D60" s="102">
        <v>2</v>
      </c>
      <c r="E60" s="103">
        <v>1</v>
      </c>
      <c r="F60" s="102">
        <v>3</v>
      </c>
      <c r="G60" s="103">
        <v>2</v>
      </c>
      <c r="H60" s="102">
        <v>3</v>
      </c>
      <c r="I60" s="103">
        <v>2</v>
      </c>
      <c r="J60" s="102">
        <v>3</v>
      </c>
      <c r="K60" s="103">
        <v>2</v>
      </c>
      <c r="L60" s="102">
        <v>3</v>
      </c>
      <c r="M60" s="103">
        <v>2</v>
      </c>
      <c r="N60" s="102">
        <v>3</v>
      </c>
      <c r="O60" s="103">
        <v>3</v>
      </c>
      <c r="P60" s="102">
        <v>3</v>
      </c>
      <c r="Q60" s="103">
        <v>3</v>
      </c>
      <c r="R60" s="102">
        <v>3</v>
      </c>
      <c r="S60" s="64">
        <v>4</v>
      </c>
      <c r="T60" s="102">
        <v>3</v>
      </c>
      <c r="U60" s="103">
        <v>4</v>
      </c>
      <c r="V60" s="102">
        <v>3</v>
      </c>
      <c r="W60" s="103">
        <v>4</v>
      </c>
      <c r="X60" s="102">
        <v>3</v>
      </c>
      <c r="Y60" s="103"/>
      <c r="Z60" s="102">
        <v>3</v>
      </c>
      <c r="AA60" s="103"/>
      <c r="AB60" s="102">
        <v>3</v>
      </c>
      <c r="AC60" s="103"/>
      <c r="AD60" s="102">
        <v>3</v>
      </c>
      <c r="AE60" s="103"/>
      <c r="AF60" s="102">
        <v>3</v>
      </c>
      <c r="AG60" s="103"/>
      <c r="AH60" s="102">
        <v>3</v>
      </c>
      <c r="AI60" s="103"/>
      <c r="AJ60" s="102">
        <v>3</v>
      </c>
      <c r="AK60" s="103"/>
      <c r="AL60" s="102">
        <v>3</v>
      </c>
      <c r="AM60" s="103"/>
      <c r="AN60" s="102">
        <v>3</v>
      </c>
      <c r="AO60" s="103"/>
      <c r="AP60" s="102">
        <v>3</v>
      </c>
      <c r="AQ60" s="103"/>
      <c r="AR60" s="102">
        <v>3</v>
      </c>
      <c r="AS60" s="103"/>
      <c r="AT60" s="116">
        <v>1.5</v>
      </c>
      <c r="AU60" s="104"/>
      <c r="AV60" s="105">
        <f t="shared" si="11"/>
        <v>0</v>
      </c>
      <c r="AW60" s="103">
        <f t="shared" si="12"/>
        <v>-1</v>
      </c>
      <c r="AX60" s="103">
        <f t="shared" si="13"/>
        <v>-1</v>
      </c>
      <c r="AY60" s="103">
        <f t="shared" si="14"/>
        <v>-1</v>
      </c>
      <c r="AZ60" s="103">
        <f t="shared" si="15"/>
        <v>-1</v>
      </c>
      <c r="BA60" s="103">
        <f t="shared" si="16"/>
        <v>-1</v>
      </c>
      <c r="BB60" s="103">
        <f t="shared" si="17"/>
        <v>0</v>
      </c>
      <c r="BC60" s="103">
        <f t="shared" si="10"/>
        <v>0</v>
      </c>
      <c r="BD60" s="103"/>
      <c r="BE60" s="103"/>
      <c r="BF60" s="103"/>
      <c r="BG60" s="103"/>
      <c r="BH60" s="103"/>
      <c r="BI60" s="103"/>
      <c r="BJ60" s="103"/>
      <c r="BK60" s="103"/>
      <c r="BL60" s="103"/>
      <c r="BM60" s="103"/>
      <c r="BN60" s="103"/>
      <c r="BO60" s="103"/>
      <c r="BP60" s="103"/>
      <c r="BQ60" s="103"/>
      <c r="BR60" s="104"/>
    </row>
    <row r="61" spans="1:70" x14ac:dyDescent="0.25">
      <c r="A61" s="8" t="s">
        <v>122</v>
      </c>
      <c r="B61" s="12">
        <v>0</v>
      </c>
      <c r="C61" s="13">
        <v>0</v>
      </c>
      <c r="D61" s="12">
        <v>2</v>
      </c>
      <c r="E61" s="13">
        <v>0</v>
      </c>
      <c r="F61" s="12">
        <v>2</v>
      </c>
      <c r="G61" s="13">
        <v>0</v>
      </c>
      <c r="H61" s="12">
        <v>2</v>
      </c>
      <c r="I61" s="13">
        <v>0</v>
      </c>
      <c r="J61" s="12">
        <v>2</v>
      </c>
      <c r="K61" s="13">
        <v>2</v>
      </c>
      <c r="L61" s="12">
        <v>2</v>
      </c>
      <c r="M61" s="13">
        <v>2</v>
      </c>
      <c r="N61" s="12">
        <v>2</v>
      </c>
      <c r="O61" s="13">
        <v>0</v>
      </c>
      <c r="P61" s="12">
        <v>2</v>
      </c>
      <c r="Q61" s="13">
        <v>0</v>
      </c>
      <c r="R61" s="12">
        <v>2</v>
      </c>
      <c r="S61" s="64"/>
      <c r="T61" s="12">
        <v>2</v>
      </c>
      <c r="U61" s="13">
        <v>2</v>
      </c>
      <c r="V61" s="12">
        <v>2</v>
      </c>
      <c r="W61" s="13">
        <v>2</v>
      </c>
      <c r="X61" s="12">
        <v>2</v>
      </c>
      <c r="Y61" s="13"/>
      <c r="Z61" s="12">
        <v>2</v>
      </c>
      <c r="AA61" s="13"/>
      <c r="AB61" s="12">
        <v>2</v>
      </c>
      <c r="AC61" s="13"/>
      <c r="AD61" s="12">
        <v>2</v>
      </c>
      <c r="AE61" s="13"/>
      <c r="AF61" s="12">
        <v>2</v>
      </c>
      <c r="AG61" s="13"/>
      <c r="AH61" s="12">
        <v>2</v>
      </c>
      <c r="AI61" s="13"/>
      <c r="AJ61" s="12">
        <v>2</v>
      </c>
      <c r="AK61" s="13"/>
      <c r="AL61" s="12">
        <v>2</v>
      </c>
      <c r="AM61" s="13"/>
      <c r="AN61" s="12">
        <v>2</v>
      </c>
      <c r="AO61" s="13"/>
      <c r="AP61" s="12">
        <v>2</v>
      </c>
      <c r="AQ61" s="13"/>
      <c r="AR61" s="12">
        <v>2</v>
      </c>
      <c r="AS61" s="13"/>
      <c r="AT61" s="15">
        <v>1</v>
      </c>
      <c r="AU61" s="14"/>
      <c r="AV61" s="24">
        <f t="shared" si="11"/>
        <v>0</v>
      </c>
      <c r="AW61" s="13">
        <f t="shared" si="12"/>
        <v>-2</v>
      </c>
      <c r="AX61" s="13">
        <f t="shared" si="13"/>
        <v>-2</v>
      </c>
      <c r="AY61" s="13">
        <f t="shared" si="14"/>
        <v>-2</v>
      </c>
      <c r="AZ61" s="13">
        <f t="shared" si="15"/>
        <v>0</v>
      </c>
      <c r="BA61" s="13">
        <f t="shared" si="16"/>
        <v>0</v>
      </c>
      <c r="BB61" s="13">
        <f t="shared" si="17"/>
        <v>-2</v>
      </c>
      <c r="BC61" s="13">
        <f t="shared" si="10"/>
        <v>-2</v>
      </c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4"/>
    </row>
    <row r="62" spans="1:70" x14ac:dyDescent="0.25">
      <c r="A62" s="101" t="s">
        <v>123</v>
      </c>
      <c r="B62" s="102">
        <v>0</v>
      </c>
      <c r="C62" s="103">
        <v>0</v>
      </c>
      <c r="D62" s="102">
        <v>2</v>
      </c>
      <c r="E62" s="103">
        <v>0</v>
      </c>
      <c r="F62" s="102">
        <v>2</v>
      </c>
      <c r="G62" s="103">
        <v>0</v>
      </c>
      <c r="H62" s="102">
        <v>2</v>
      </c>
      <c r="I62" s="103">
        <v>0</v>
      </c>
      <c r="J62" s="102">
        <v>2</v>
      </c>
      <c r="K62" s="103">
        <v>2</v>
      </c>
      <c r="L62" s="102">
        <v>2</v>
      </c>
      <c r="M62" s="103">
        <v>2</v>
      </c>
      <c r="N62" s="102">
        <v>2</v>
      </c>
      <c r="O62" s="103">
        <v>0</v>
      </c>
      <c r="P62" s="102">
        <v>2</v>
      </c>
      <c r="Q62" s="103">
        <v>0</v>
      </c>
      <c r="R62" s="102">
        <v>2</v>
      </c>
      <c r="S62" s="64"/>
      <c r="T62" s="102">
        <v>2</v>
      </c>
      <c r="U62" s="103">
        <v>2</v>
      </c>
      <c r="V62" s="102">
        <v>2</v>
      </c>
      <c r="W62" s="103">
        <v>2</v>
      </c>
      <c r="X62" s="102">
        <v>2</v>
      </c>
      <c r="Y62" s="103"/>
      <c r="Z62" s="102">
        <v>2</v>
      </c>
      <c r="AA62" s="103"/>
      <c r="AB62" s="102">
        <v>2</v>
      </c>
      <c r="AC62" s="103"/>
      <c r="AD62" s="102">
        <v>2</v>
      </c>
      <c r="AE62" s="103"/>
      <c r="AF62" s="102">
        <v>2</v>
      </c>
      <c r="AG62" s="103"/>
      <c r="AH62" s="102">
        <v>2</v>
      </c>
      <c r="AI62" s="103"/>
      <c r="AJ62" s="102">
        <v>2</v>
      </c>
      <c r="AK62" s="103"/>
      <c r="AL62" s="102">
        <v>2</v>
      </c>
      <c r="AM62" s="103"/>
      <c r="AN62" s="102">
        <v>2</v>
      </c>
      <c r="AO62" s="103"/>
      <c r="AP62" s="102">
        <v>2</v>
      </c>
      <c r="AQ62" s="103"/>
      <c r="AR62" s="102">
        <v>2</v>
      </c>
      <c r="AS62" s="103"/>
      <c r="AT62" s="116">
        <v>1</v>
      </c>
      <c r="AU62" s="104"/>
      <c r="AV62" s="105">
        <f t="shared" si="11"/>
        <v>0</v>
      </c>
      <c r="AW62" s="103">
        <f t="shared" si="12"/>
        <v>-2</v>
      </c>
      <c r="AX62" s="103">
        <f t="shared" si="13"/>
        <v>-2</v>
      </c>
      <c r="AY62" s="103">
        <f t="shared" si="14"/>
        <v>-2</v>
      </c>
      <c r="AZ62" s="103">
        <f t="shared" si="15"/>
        <v>0</v>
      </c>
      <c r="BA62" s="103">
        <f t="shared" si="16"/>
        <v>0</v>
      </c>
      <c r="BB62" s="103">
        <f t="shared" si="17"/>
        <v>-2</v>
      </c>
      <c r="BC62" s="103">
        <f t="shared" si="10"/>
        <v>-2</v>
      </c>
      <c r="BD62" s="103"/>
      <c r="BE62" s="103"/>
      <c r="BF62" s="103"/>
      <c r="BG62" s="103"/>
      <c r="BH62" s="103"/>
      <c r="BI62" s="103"/>
      <c r="BJ62" s="103"/>
      <c r="BK62" s="103"/>
      <c r="BL62" s="103"/>
      <c r="BM62" s="103"/>
      <c r="BN62" s="103"/>
      <c r="BO62" s="103"/>
      <c r="BP62" s="103"/>
      <c r="BQ62" s="103"/>
      <c r="BR62" s="104"/>
    </row>
    <row r="63" spans="1:70" x14ac:dyDescent="0.25">
      <c r="A63" s="8" t="s">
        <v>124</v>
      </c>
      <c r="B63" s="12">
        <v>0</v>
      </c>
      <c r="C63" s="13">
        <v>0</v>
      </c>
      <c r="D63" s="12">
        <v>0</v>
      </c>
      <c r="E63" s="13">
        <v>1</v>
      </c>
      <c r="F63" s="12">
        <v>2</v>
      </c>
      <c r="G63" s="13">
        <v>1</v>
      </c>
      <c r="H63" s="12">
        <v>2</v>
      </c>
      <c r="I63" s="13">
        <v>1</v>
      </c>
      <c r="J63" s="12">
        <v>2</v>
      </c>
      <c r="K63" s="13">
        <v>0</v>
      </c>
      <c r="L63" s="12">
        <v>2</v>
      </c>
      <c r="M63" s="13">
        <v>1</v>
      </c>
      <c r="N63" s="12">
        <v>2</v>
      </c>
      <c r="O63" s="13">
        <v>7</v>
      </c>
      <c r="P63" s="12">
        <v>2</v>
      </c>
      <c r="Q63" s="13">
        <v>10</v>
      </c>
      <c r="R63" s="12">
        <v>2</v>
      </c>
      <c r="S63" s="64">
        <v>10</v>
      </c>
      <c r="T63" s="12">
        <v>2</v>
      </c>
      <c r="U63" s="13">
        <v>9</v>
      </c>
      <c r="V63" s="12">
        <v>2</v>
      </c>
      <c r="W63" s="13">
        <v>9</v>
      </c>
      <c r="X63" s="12">
        <v>2</v>
      </c>
      <c r="Y63" s="13"/>
      <c r="Z63" s="12">
        <v>2</v>
      </c>
      <c r="AA63" s="13"/>
      <c r="AB63" s="12">
        <v>2</v>
      </c>
      <c r="AC63" s="13"/>
      <c r="AD63" s="12">
        <v>2</v>
      </c>
      <c r="AE63" s="13"/>
      <c r="AF63" s="12">
        <v>2</v>
      </c>
      <c r="AG63" s="13"/>
      <c r="AH63" s="12">
        <v>2</v>
      </c>
      <c r="AI63" s="13"/>
      <c r="AJ63" s="12">
        <v>2</v>
      </c>
      <c r="AK63" s="13"/>
      <c r="AL63" s="12">
        <v>2</v>
      </c>
      <c r="AM63" s="13"/>
      <c r="AN63" s="12">
        <v>2</v>
      </c>
      <c r="AO63" s="13"/>
      <c r="AP63" s="12">
        <v>2</v>
      </c>
      <c r="AQ63" s="13"/>
      <c r="AR63" s="12">
        <v>2</v>
      </c>
      <c r="AS63" s="13"/>
      <c r="AT63" s="15">
        <v>2</v>
      </c>
      <c r="AU63" s="14"/>
      <c r="AV63" s="24">
        <f t="shared" si="11"/>
        <v>0</v>
      </c>
      <c r="AW63" s="13">
        <f t="shared" si="12"/>
        <v>1</v>
      </c>
      <c r="AX63" s="13">
        <f t="shared" si="13"/>
        <v>-1</v>
      </c>
      <c r="AY63" s="13">
        <f t="shared" si="14"/>
        <v>-1</v>
      </c>
      <c r="AZ63" s="13">
        <f t="shared" si="15"/>
        <v>-2</v>
      </c>
      <c r="BA63" s="13">
        <f t="shared" si="16"/>
        <v>-1</v>
      </c>
      <c r="BB63" s="13">
        <f t="shared" si="17"/>
        <v>5</v>
      </c>
      <c r="BC63" s="13">
        <f t="shared" si="10"/>
        <v>8</v>
      </c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4"/>
    </row>
    <row r="64" spans="1:70" x14ac:dyDescent="0.25">
      <c r="A64" s="101" t="s">
        <v>125</v>
      </c>
      <c r="B64" s="102">
        <v>0</v>
      </c>
      <c r="C64" s="103">
        <v>0</v>
      </c>
      <c r="D64" s="102">
        <v>0</v>
      </c>
      <c r="E64" s="103">
        <v>0</v>
      </c>
      <c r="F64" s="102">
        <v>1</v>
      </c>
      <c r="G64" s="103">
        <v>0</v>
      </c>
      <c r="H64" s="102">
        <v>1</v>
      </c>
      <c r="I64" s="103">
        <v>0</v>
      </c>
      <c r="J64" s="102">
        <v>1</v>
      </c>
      <c r="K64" s="103">
        <v>0</v>
      </c>
      <c r="L64" s="102">
        <v>1</v>
      </c>
      <c r="M64" s="103">
        <v>1</v>
      </c>
      <c r="N64" s="102">
        <v>1</v>
      </c>
      <c r="O64" s="103">
        <v>1</v>
      </c>
      <c r="P64" s="102">
        <v>1</v>
      </c>
      <c r="Q64" s="103">
        <v>1</v>
      </c>
      <c r="R64" s="102">
        <v>1</v>
      </c>
      <c r="S64" s="64">
        <v>1</v>
      </c>
      <c r="T64" s="102">
        <v>1</v>
      </c>
      <c r="U64" s="103">
        <v>1</v>
      </c>
      <c r="V64" s="102">
        <v>1</v>
      </c>
      <c r="W64" s="103">
        <v>1</v>
      </c>
      <c r="X64" s="102">
        <v>1</v>
      </c>
      <c r="Y64" s="103"/>
      <c r="Z64" s="102">
        <v>1</v>
      </c>
      <c r="AA64" s="103"/>
      <c r="AB64" s="102">
        <v>1</v>
      </c>
      <c r="AC64" s="103"/>
      <c r="AD64" s="102">
        <v>1</v>
      </c>
      <c r="AE64" s="103"/>
      <c r="AF64" s="102">
        <v>1</v>
      </c>
      <c r="AG64" s="103"/>
      <c r="AH64" s="102">
        <v>1</v>
      </c>
      <c r="AI64" s="103"/>
      <c r="AJ64" s="102">
        <v>1</v>
      </c>
      <c r="AK64" s="103"/>
      <c r="AL64" s="102">
        <v>1</v>
      </c>
      <c r="AM64" s="103"/>
      <c r="AN64" s="102">
        <v>1</v>
      </c>
      <c r="AO64" s="103"/>
      <c r="AP64" s="102">
        <v>1</v>
      </c>
      <c r="AQ64" s="103"/>
      <c r="AR64" s="102">
        <v>1</v>
      </c>
      <c r="AS64" s="103"/>
      <c r="AT64" s="116">
        <v>1</v>
      </c>
      <c r="AU64" s="104"/>
      <c r="AV64" s="105">
        <f t="shared" si="11"/>
        <v>0</v>
      </c>
      <c r="AW64" s="103">
        <f t="shared" si="12"/>
        <v>0</v>
      </c>
      <c r="AX64" s="103">
        <f t="shared" si="13"/>
        <v>-1</v>
      </c>
      <c r="AY64" s="103">
        <f t="shared" si="14"/>
        <v>-1</v>
      </c>
      <c r="AZ64" s="103">
        <f t="shared" si="15"/>
        <v>-1</v>
      </c>
      <c r="BA64" s="103">
        <f t="shared" si="16"/>
        <v>0</v>
      </c>
      <c r="BB64" s="103">
        <f t="shared" si="17"/>
        <v>0</v>
      </c>
      <c r="BC64" s="103">
        <f t="shared" si="10"/>
        <v>0</v>
      </c>
      <c r="BD64" s="103"/>
      <c r="BE64" s="103"/>
      <c r="BF64" s="103"/>
      <c r="BG64" s="103"/>
      <c r="BH64" s="103"/>
      <c r="BI64" s="103"/>
      <c r="BJ64" s="103"/>
      <c r="BK64" s="103"/>
      <c r="BL64" s="103"/>
      <c r="BM64" s="103"/>
      <c r="BN64" s="103"/>
      <c r="BO64" s="103"/>
      <c r="BP64" s="103"/>
      <c r="BQ64" s="103"/>
      <c r="BR64" s="104"/>
    </row>
    <row r="65" spans="1:70" x14ac:dyDescent="0.25">
      <c r="A65" s="8" t="s">
        <v>126</v>
      </c>
      <c r="B65" s="12">
        <v>0</v>
      </c>
      <c r="C65" s="13">
        <v>1</v>
      </c>
      <c r="D65" s="12">
        <v>2</v>
      </c>
      <c r="E65" s="13">
        <v>1</v>
      </c>
      <c r="F65" s="12">
        <v>3</v>
      </c>
      <c r="G65" s="13">
        <v>3</v>
      </c>
      <c r="H65" s="12">
        <v>3</v>
      </c>
      <c r="I65" s="13">
        <v>3</v>
      </c>
      <c r="J65" s="12">
        <v>3</v>
      </c>
      <c r="K65" s="13">
        <v>2</v>
      </c>
      <c r="L65" s="12">
        <v>3</v>
      </c>
      <c r="M65" s="13">
        <v>3</v>
      </c>
      <c r="N65" s="12">
        <v>3</v>
      </c>
      <c r="O65" s="13">
        <v>2</v>
      </c>
      <c r="P65" s="12">
        <v>3</v>
      </c>
      <c r="Q65" s="13">
        <v>2</v>
      </c>
      <c r="R65" s="12">
        <v>3</v>
      </c>
      <c r="S65" s="64">
        <v>2</v>
      </c>
      <c r="T65" s="12">
        <v>3</v>
      </c>
      <c r="U65" s="13">
        <v>3</v>
      </c>
      <c r="V65" s="12">
        <v>3</v>
      </c>
      <c r="W65" s="13">
        <v>3</v>
      </c>
      <c r="X65" s="12">
        <v>3</v>
      </c>
      <c r="Y65" s="13"/>
      <c r="Z65" s="12">
        <v>3</v>
      </c>
      <c r="AA65" s="13"/>
      <c r="AB65" s="12">
        <v>3</v>
      </c>
      <c r="AC65" s="13"/>
      <c r="AD65" s="12">
        <v>3</v>
      </c>
      <c r="AE65" s="13"/>
      <c r="AF65" s="12">
        <v>3</v>
      </c>
      <c r="AG65" s="13"/>
      <c r="AH65" s="12">
        <v>3</v>
      </c>
      <c r="AI65" s="13"/>
      <c r="AJ65" s="12">
        <v>3</v>
      </c>
      <c r="AK65" s="13"/>
      <c r="AL65" s="12">
        <v>3</v>
      </c>
      <c r="AM65" s="13"/>
      <c r="AN65" s="12">
        <v>3</v>
      </c>
      <c r="AO65" s="13"/>
      <c r="AP65" s="12">
        <v>3</v>
      </c>
      <c r="AQ65" s="13"/>
      <c r="AR65" s="12">
        <v>3</v>
      </c>
      <c r="AS65" s="13"/>
      <c r="AT65" s="15">
        <v>1.5</v>
      </c>
      <c r="AU65" s="14"/>
      <c r="AV65" s="24">
        <f t="shared" si="11"/>
        <v>1</v>
      </c>
      <c r="AW65" s="13">
        <f t="shared" si="12"/>
        <v>-1</v>
      </c>
      <c r="AX65" s="13">
        <f t="shared" si="13"/>
        <v>0</v>
      </c>
      <c r="AY65" s="13">
        <f t="shared" si="14"/>
        <v>0</v>
      </c>
      <c r="AZ65" s="13">
        <f t="shared" si="15"/>
        <v>-1</v>
      </c>
      <c r="BA65" s="13">
        <f t="shared" si="16"/>
        <v>0</v>
      </c>
      <c r="BB65" s="13">
        <f t="shared" si="17"/>
        <v>-1</v>
      </c>
      <c r="BC65" s="13">
        <f t="shared" si="10"/>
        <v>-1</v>
      </c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4"/>
    </row>
    <row r="66" spans="1:70" x14ac:dyDescent="0.25">
      <c r="A66" s="101" t="s">
        <v>127</v>
      </c>
      <c r="B66" s="102">
        <v>0</v>
      </c>
      <c r="C66" s="103">
        <v>0</v>
      </c>
      <c r="D66" s="102">
        <v>0</v>
      </c>
      <c r="E66" s="103">
        <v>4</v>
      </c>
      <c r="F66" s="102">
        <v>7</v>
      </c>
      <c r="G66" s="103">
        <v>6</v>
      </c>
      <c r="H66" s="102">
        <v>8</v>
      </c>
      <c r="I66" s="103">
        <v>8</v>
      </c>
      <c r="J66" s="102">
        <v>8</v>
      </c>
      <c r="K66" s="103">
        <v>8</v>
      </c>
      <c r="L66" s="102">
        <v>8</v>
      </c>
      <c r="M66" s="103">
        <v>10</v>
      </c>
      <c r="N66" s="102">
        <v>8</v>
      </c>
      <c r="O66" s="103">
        <v>10</v>
      </c>
      <c r="P66" s="102">
        <v>8</v>
      </c>
      <c r="Q66" s="103">
        <v>10</v>
      </c>
      <c r="R66" s="102">
        <v>8</v>
      </c>
      <c r="S66" s="64">
        <v>10</v>
      </c>
      <c r="T66" s="102">
        <v>8</v>
      </c>
      <c r="U66" s="103">
        <v>12</v>
      </c>
      <c r="V66" s="102">
        <v>8</v>
      </c>
      <c r="W66" s="103">
        <v>12</v>
      </c>
      <c r="X66" s="102">
        <v>8</v>
      </c>
      <c r="Y66" s="103"/>
      <c r="Z66" s="102">
        <v>8</v>
      </c>
      <c r="AA66" s="103"/>
      <c r="AB66" s="102">
        <v>8</v>
      </c>
      <c r="AC66" s="103"/>
      <c r="AD66" s="102">
        <v>8</v>
      </c>
      <c r="AE66" s="103"/>
      <c r="AF66" s="102">
        <v>8</v>
      </c>
      <c r="AG66" s="103"/>
      <c r="AH66" s="102">
        <v>8</v>
      </c>
      <c r="AI66" s="103"/>
      <c r="AJ66" s="102">
        <v>8</v>
      </c>
      <c r="AK66" s="103"/>
      <c r="AL66" s="102">
        <v>9</v>
      </c>
      <c r="AM66" s="103"/>
      <c r="AN66" s="102">
        <v>9</v>
      </c>
      <c r="AO66" s="103"/>
      <c r="AP66" s="102">
        <v>8</v>
      </c>
      <c r="AQ66" s="103"/>
      <c r="AR66" s="102">
        <v>5</v>
      </c>
      <c r="AS66" s="103"/>
      <c r="AT66" s="116">
        <v>2</v>
      </c>
      <c r="AU66" s="116"/>
      <c r="AV66" s="105">
        <f t="shared" si="11"/>
        <v>0</v>
      </c>
      <c r="AW66" s="103">
        <f t="shared" si="12"/>
        <v>4</v>
      </c>
      <c r="AX66" s="103">
        <f t="shared" si="13"/>
        <v>-1</v>
      </c>
      <c r="AY66" s="103">
        <f t="shared" si="14"/>
        <v>0</v>
      </c>
      <c r="AZ66" s="103">
        <f t="shared" si="15"/>
        <v>0</v>
      </c>
      <c r="BA66" s="103">
        <f t="shared" si="16"/>
        <v>2</v>
      </c>
      <c r="BB66" s="103">
        <f t="shared" si="17"/>
        <v>2</v>
      </c>
      <c r="BC66" s="103">
        <f t="shared" si="10"/>
        <v>2</v>
      </c>
      <c r="BD66" s="103"/>
      <c r="BE66" s="103"/>
      <c r="BF66" s="103"/>
      <c r="BG66" s="103"/>
      <c r="BH66" s="103"/>
      <c r="BI66" s="103"/>
      <c r="BJ66" s="103"/>
      <c r="BK66" s="103"/>
      <c r="BL66" s="103"/>
      <c r="BM66" s="103"/>
      <c r="BN66" s="103"/>
      <c r="BO66" s="103"/>
      <c r="BP66" s="103"/>
      <c r="BQ66" s="103"/>
      <c r="BR66" s="104"/>
    </row>
    <row r="67" spans="1:70" x14ac:dyDescent="0.25">
      <c r="A67" s="8" t="s">
        <v>128</v>
      </c>
      <c r="B67" s="12">
        <v>0</v>
      </c>
      <c r="C67" s="13">
        <v>0</v>
      </c>
      <c r="D67" s="12">
        <v>8</v>
      </c>
      <c r="E67" s="13">
        <v>0</v>
      </c>
      <c r="F67" s="12">
        <v>8</v>
      </c>
      <c r="G67" s="13">
        <v>3</v>
      </c>
      <c r="H67" s="12">
        <v>8</v>
      </c>
      <c r="I67" s="13">
        <v>3</v>
      </c>
      <c r="J67" s="12">
        <v>8</v>
      </c>
      <c r="K67" s="13">
        <v>5</v>
      </c>
      <c r="L67" s="12">
        <v>8</v>
      </c>
      <c r="M67" s="13">
        <v>5</v>
      </c>
      <c r="N67" s="12">
        <v>8</v>
      </c>
      <c r="O67" s="13">
        <v>7</v>
      </c>
      <c r="P67" s="12">
        <v>8</v>
      </c>
      <c r="Q67" s="13">
        <v>6</v>
      </c>
      <c r="R67" s="12">
        <v>8</v>
      </c>
      <c r="S67" s="64">
        <v>8</v>
      </c>
      <c r="T67" s="12">
        <v>8</v>
      </c>
      <c r="U67" s="13">
        <v>10</v>
      </c>
      <c r="V67" s="12">
        <v>8</v>
      </c>
      <c r="W67" s="13">
        <v>12</v>
      </c>
      <c r="X67" s="12">
        <v>8</v>
      </c>
      <c r="Y67" s="13"/>
      <c r="Z67" s="12">
        <v>8</v>
      </c>
      <c r="AA67" s="13"/>
      <c r="AB67" s="12">
        <v>8</v>
      </c>
      <c r="AC67" s="13"/>
      <c r="AD67" s="12">
        <v>8</v>
      </c>
      <c r="AE67" s="13"/>
      <c r="AF67" s="12">
        <v>9</v>
      </c>
      <c r="AG67" s="13"/>
      <c r="AH67" s="12">
        <v>9</v>
      </c>
      <c r="AI67" s="13"/>
      <c r="AJ67" s="12">
        <v>9</v>
      </c>
      <c r="AK67" s="13"/>
      <c r="AL67" s="12">
        <v>9</v>
      </c>
      <c r="AM67" s="13"/>
      <c r="AN67" s="12">
        <v>9</v>
      </c>
      <c r="AO67" s="13"/>
      <c r="AP67" s="12">
        <v>9</v>
      </c>
      <c r="AQ67" s="13"/>
      <c r="AR67" s="12">
        <v>9</v>
      </c>
      <c r="AS67" s="13"/>
      <c r="AT67" s="15">
        <v>4</v>
      </c>
      <c r="AU67" s="14"/>
      <c r="AV67" s="24">
        <f t="shared" si="11"/>
        <v>0</v>
      </c>
      <c r="AW67" s="13">
        <f t="shared" si="12"/>
        <v>-8</v>
      </c>
      <c r="AX67" s="13">
        <f t="shared" si="13"/>
        <v>-5</v>
      </c>
      <c r="AY67" s="13">
        <f t="shared" si="14"/>
        <v>-5</v>
      </c>
      <c r="AZ67" s="13">
        <f t="shared" si="15"/>
        <v>-3</v>
      </c>
      <c r="BA67" s="13">
        <f t="shared" si="16"/>
        <v>-3</v>
      </c>
      <c r="BB67" s="13">
        <f t="shared" si="17"/>
        <v>-1</v>
      </c>
      <c r="BC67" s="13">
        <f t="shared" si="10"/>
        <v>-2</v>
      </c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4"/>
    </row>
    <row r="68" spans="1:70" x14ac:dyDescent="0.25">
      <c r="A68" s="101" t="s">
        <v>129</v>
      </c>
      <c r="B68" s="102">
        <v>0</v>
      </c>
      <c r="C68" s="103">
        <v>0</v>
      </c>
      <c r="D68" s="102">
        <v>1</v>
      </c>
      <c r="E68" s="103">
        <v>0</v>
      </c>
      <c r="F68" s="102">
        <v>2</v>
      </c>
      <c r="G68" s="103">
        <v>0</v>
      </c>
      <c r="H68" s="102">
        <v>2</v>
      </c>
      <c r="I68" s="103">
        <v>0</v>
      </c>
      <c r="J68" s="102">
        <v>3</v>
      </c>
      <c r="K68" s="103">
        <v>0</v>
      </c>
      <c r="L68" s="102">
        <v>3</v>
      </c>
      <c r="M68" s="103">
        <v>0</v>
      </c>
      <c r="N68" s="102">
        <v>3</v>
      </c>
      <c r="O68" s="103">
        <v>1</v>
      </c>
      <c r="P68" s="102">
        <v>3</v>
      </c>
      <c r="Q68" s="103">
        <v>1</v>
      </c>
      <c r="R68" s="102">
        <v>3</v>
      </c>
      <c r="S68" s="64">
        <v>1</v>
      </c>
      <c r="T68" s="102">
        <v>3</v>
      </c>
      <c r="U68" s="103">
        <v>3</v>
      </c>
      <c r="V68" s="102">
        <v>3</v>
      </c>
      <c r="W68" s="103">
        <v>3</v>
      </c>
      <c r="X68" s="102">
        <v>2</v>
      </c>
      <c r="Y68" s="103"/>
      <c r="Z68" s="102">
        <v>2</v>
      </c>
      <c r="AA68" s="103"/>
      <c r="AB68" s="102">
        <v>2</v>
      </c>
      <c r="AC68" s="103"/>
      <c r="AD68" s="102">
        <v>3</v>
      </c>
      <c r="AE68" s="103"/>
      <c r="AF68" s="102">
        <v>3</v>
      </c>
      <c r="AG68" s="103"/>
      <c r="AH68" s="102">
        <v>3</v>
      </c>
      <c r="AI68" s="103"/>
      <c r="AJ68" s="102">
        <v>3</v>
      </c>
      <c r="AK68" s="103"/>
      <c r="AL68" s="102">
        <v>3</v>
      </c>
      <c r="AM68" s="103"/>
      <c r="AN68" s="102">
        <v>3</v>
      </c>
      <c r="AO68" s="103"/>
      <c r="AP68" s="102">
        <v>3</v>
      </c>
      <c r="AQ68" s="103"/>
      <c r="AR68" s="102">
        <v>2</v>
      </c>
      <c r="AS68" s="103"/>
      <c r="AT68" s="116">
        <v>1</v>
      </c>
      <c r="AU68" s="104"/>
      <c r="AV68" s="105">
        <f t="shared" si="11"/>
        <v>0</v>
      </c>
      <c r="AW68" s="103">
        <f t="shared" si="12"/>
        <v>-1</v>
      </c>
      <c r="AX68" s="103">
        <f t="shared" si="13"/>
        <v>-2</v>
      </c>
      <c r="AY68" s="103">
        <f t="shared" si="14"/>
        <v>-2</v>
      </c>
      <c r="AZ68" s="103">
        <f t="shared" si="15"/>
        <v>-3</v>
      </c>
      <c r="BA68" s="103">
        <f t="shared" si="16"/>
        <v>-3</v>
      </c>
      <c r="BB68" s="103">
        <f t="shared" si="17"/>
        <v>-2</v>
      </c>
      <c r="BC68" s="103">
        <f t="shared" si="10"/>
        <v>-2</v>
      </c>
      <c r="BD68" s="103"/>
      <c r="BE68" s="103"/>
      <c r="BF68" s="103"/>
      <c r="BG68" s="103"/>
      <c r="BH68" s="103"/>
      <c r="BI68" s="103"/>
      <c r="BJ68" s="103"/>
      <c r="BK68" s="103"/>
      <c r="BL68" s="103"/>
      <c r="BM68" s="103"/>
      <c r="BN68" s="103"/>
      <c r="BO68" s="103"/>
      <c r="BP68" s="103"/>
      <c r="BQ68" s="103"/>
      <c r="BR68" s="104"/>
    </row>
    <row r="69" spans="1:70" x14ac:dyDescent="0.25">
      <c r="A69" s="8" t="s">
        <v>130</v>
      </c>
      <c r="B69" s="12">
        <v>0</v>
      </c>
      <c r="C69" s="13">
        <v>0</v>
      </c>
      <c r="D69" s="12">
        <v>0</v>
      </c>
      <c r="E69" s="13">
        <v>0</v>
      </c>
      <c r="F69" s="12">
        <v>1</v>
      </c>
      <c r="G69" s="13">
        <v>0</v>
      </c>
      <c r="H69" s="12">
        <v>1</v>
      </c>
      <c r="I69" s="13">
        <v>0</v>
      </c>
      <c r="J69" s="12">
        <v>1</v>
      </c>
      <c r="K69" s="13">
        <v>0</v>
      </c>
      <c r="L69" s="12">
        <v>1</v>
      </c>
      <c r="M69" s="13">
        <v>0</v>
      </c>
      <c r="N69" s="12">
        <v>1</v>
      </c>
      <c r="O69" s="13">
        <v>0</v>
      </c>
      <c r="P69" s="12">
        <v>1</v>
      </c>
      <c r="Q69" s="13">
        <v>0</v>
      </c>
      <c r="R69" s="12">
        <v>1</v>
      </c>
      <c r="S69" s="64"/>
      <c r="T69" s="12">
        <v>1</v>
      </c>
      <c r="U69" s="13">
        <v>1</v>
      </c>
      <c r="V69" s="12">
        <v>1</v>
      </c>
      <c r="W69" s="13">
        <v>1</v>
      </c>
      <c r="X69" s="12">
        <v>1</v>
      </c>
      <c r="Y69" s="13"/>
      <c r="Z69" s="12">
        <v>1</v>
      </c>
      <c r="AA69" s="13"/>
      <c r="AB69" s="12">
        <v>1</v>
      </c>
      <c r="AC69" s="13"/>
      <c r="AD69" s="12">
        <v>1</v>
      </c>
      <c r="AE69" s="13"/>
      <c r="AF69" s="12">
        <v>1</v>
      </c>
      <c r="AG69" s="13"/>
      <c r="AH69" s="12">
        <v>1</v>
      </c>
      <c r="AI69" s="13"/>
      <c r="AJ69" s="12">
        <v>1</v>
      </c>
      <c r="AK69" s="13"/>
      <c r="AL69" s="12">
        <v>1</v>
      </c>
      <c r="AM69" s="13"/>
      <c r="AN69" s="12">
        <v>1</v>
      </c>
      <c r="AO69" s="13"/>
      <c r="AP69" s="12">
        <v>1</v>
      </c>
      <c r="AQ69" s="13"/>
      <c r="AR69" s="12">
        <v>1</v>
      </c>
      <c r="AS69" s="13"/>
      <c r="AT69" s="15">
        <v>1</v>
      </c>
      <c r="AU69" s="14"/>
      <c r="AV69" s="24">
        <f t="shared" si="11"/>
        <v>0</v>
      </c>
      <c r="AW69" s="13">
        <f t="shared" si="12"/>
        <v>0</v>
      </c>
      <c r="AX69" s="13">
        <f t="shared" si="13"/>
        <v>-1</v>
      </c>
      <c r="AY69" s="13">
        <f t="shared" si="14"/>
        <v>-1</v>
      </c>
      <c r="AZ69" s="13">
        <f t="shared" si="15"/>
        <v>-1</v>
      </c>
      <c r="BA69" s="13">
        <f t="shared" si="16"/>
        <v>-1</v>
      </c>
      <c r="BB69" s="13">
        <f t="shared" si="17"/>
        <v>-1</v>
      </c>
      <c r="BC69" s="13">
        <f t="shared" si="10"/>
        <v>-1</v>
      </c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4"/>
    </row>
    <row r="70" spans="1:70" x14ac:dyDescent="0.25">
      <c r="A70" s="101" t="s">
        <v>131</v>
      </c>
      <c r="B70" s="102">
        <v>0</v>
      </c>
      <c r="C70" s="103">
        <v>0</v>
      </c>
      <c r="D70" s="102">
        <v>0</v>
      </c>
      <c r="E70" s="103">
        <v>0</v>
      </c>
      <c r="F70" s="102">
        <v>1</v>
      </c>
      <c r="G70" s="103">
        <v>0</v>
      </c>
      <c r="H70" s="102">
        <v>1</v>
      </c>
      <c r="I70" s="103">
        <v>0</v>
      </c>
      <c r="J70" s="102">
        <v>1</v>
      </c>
      <c r="K70" s="103">
        <v>0</v>
      </c>
      <c r="L70" s="102">
        <v>1</v>
      </c>
      <c r="M70" s="103">
        <v>0</v>
      </c>
      <c r="N70" s="102">
        <v>1</v>
      </c>
      <c r="O70" s="103">
        <v>0</v>
      </c>
      <c r="P70" s="102">
        <v>1</v>
      </c>
      <c r="Q70" s="103">
        <v>0</v>
      </c>
      <c r="R70" s="102">
        <v>1</v>
      </c>
      <c r="S70" s="64"/>
      <c r="T70" s="102">
        <v>1</v>
      </c>
      <c r="U70" s="103"/>
      <c r="V70" s="102">
        <v>1</v>
      </c>
      <c r="W70" s="103"/>
      <c r="X70" s="102">
        <v>1</v>
      </c>
      <c r="Y70" s="103"/>
      <c r="Z70" s="102">
        <v>1</v>
      </c>
      <c r="AA70" s="103"/>
      <c r="AB70" s="102">
        <v>1</v>
      </c>
      <c r="AC70" s="103"/>
      <c r="AD70" s="102">
        <v>1</v>
      </c>
      <c r="AE70" s="103"/>
      <c r="AF70" s="102">
        <v>1</v>
      </c>
      <c r="AG70" s="103"/>
      <c r="AH70" s="102">
        <v>1</v>
      </c>
      <c r="AI70" s="103"/>
      <c r="AJ70" s="102">
        <v>1</v>
      </c>
      <c r="AK70" s="103"/>
      <c r="AL70" s="102">
        <v>1</v>
      </c>
      <c r="AM70" s="103"/>
      <c r="AN70" s="102">
        <v>1</v>
      </c>
      <c r="AO70" s="103"/>
      <c r="AP70" s="102">
        <v>1</v>
      </c>
      <c r="AQ70" s="103"/>
      <c r="AR70" s="102">
        <v>1</v>
      </c>
      <c r="AS70" s="103"/>
      <c r="AT70" s="116">
        <v>1</v>
      </c>
      <c r="AU70" s="104"/>
      <c r="AV70" s="105">
        <f t="shared" si="11"/>
        <v>0</v>
      </c>
      <c r="AW70" s="103">
        <f t="shared" si="12"/>
        <v>0</v>
      </c>
      <c r="AX70" s="103">
        <f t="shared" si="13"/>
        <v>-1</v>
      </c>
      <c r="AY70" s="103">
        <f t="shared" si="14"/>
        <v>-1</v>
      </c>
      <c r="AZ70" s="103">
        <f t="shared" si="15"/>
        <v>-1</v>
      </c>
      <c r="BA70" s="103">
        <f t="shared" si="16"/>
        <v>-1</v>
      </c>
      <c r="BB70" s="103">
        <f t="shared" si="17"/>
        <v>-1</v>
      </c>
      <c r="BC70" s="103">
        <f t="shared" si="10"/>
        <v>-1</v>
      </c>
      <c r="BD70" s="103"/>
      <c r="BE70" s="103"/>
      <c r="BF70" s="103"/>
      <c r="BG70" s="103"/>
      <c r="BH70" s="103"/>
      <c r="BI70" s="103"/>
      <c r="BJ70" s="103"/>
      <c r="BK70" s="103"/>
      <c r="BL70" s="103"/>
      <c r="BM70" s="103"/>
      <c r="BN70" s="103"/>
      <c r="BO70" s="103"/>
      <c r="BP70" s="103"/>
      <c r="BQ70" s="103"/>
      <c r="BR70" s="104"/>
    </row>
    <row r="71" spans="1:70" x14ac:dyDescent="0.25">
      <c r="A71" s="8" t="s">
        <v>132</v>
      </c>
      <c r="B71" s="12">
        <v>0</v>
      </c>
      <c r="C71" s="13">
        <v>0</v>
      </c>
      <c r="D71" s="12">
        <v>2</v>
      </c>
      <c r="E71" s="13">
        <v>0</v>
      </c>
      <c r="F71" s="12">
        <v>2</v>
      </c>
      <c r="G71" s="13">
        <v>1</v>
      </c>
      <c r="H71" s="12">
        <v>2</v>
      </c>
      <c r="I71" s="13">
        <v>1</v>
      </c>
      <c r="J71" s="12">
        <v>2</v>
      </c>
      <c r="K71" s="13">
        <v>0</v>
      </c>
      <c r="L71" s="12">
        <v>2</v>
      </c>
      <c r="M71" s="13">
        <v>0</v>
      </c>
      <c r="N71" s="12">
        <v>2</v>
      </c>
      <c r="O71" s="13">
        <v>1</v>
      </c>
      <c r="P71" s="12">
        <v>2</v>
      </c>
      <c r="Q71" s="13">
        <v>1</v>
      </c>
      <c r="R71" s="12">
        <v>2</v>
      </c>
      <c r="S71" s="64">
        <v>1</v>
      </c>
      <c r="T71" s="12">
        <v>2</v>
      </c>
      <c r="U71" s="13">
        <v>1</v>
      </c>
      <c r="V71" s="12">
        <v>2</v>
      </c>
      <c r="W71" s="13">
        <v>1</v>
      </c>
      <c r="X71" s="12">
        <v>2</v>
      </c>
      <c r="Y71" s="13"/>
      <c r="Z71" s="12">
        <v>2</v>
      </c>
      <c r="AA71" s="13"/>
      <c r="AB71" s="12">
        <v>2</v>
      </c>
      <c r="AC71" s="13"/>
      <c r="AD71" s="12">
        <v>2</v>
      </c>
      <c r="AE71" s="13"/>
      <c r="AF71" s="12">
        <v>2</v>
      </c>
      <c r="AG71" s="13"/>
      <c r="AH71" s="12">
        <v>2</v>
      </c>
      <c r="AI71" s="13"/>
      <c r="AJ71" s="12">
        <v>2</v>
      </c>
      <c r="AK71" s="13"/>
      <c r="AL71" s="12">
        <v>2</v>
      </c>
      <c r="AM71" s="13"/>
      <c r="AN71" s="12">
        <v>2</v>
      </c>
      <c r="AO71" s="13"/>
      <c r="AP71" s="12">
        <v>2</v>
      </c>
      <c r="AQ71" s="13"/>
      <c r="AR71" s="12">
        <v>2</v>
      </c>
      <c r="AS71" s="13"/>
      <c r="AT71" s="15">
        <v>1</v>
      </c>
      <c r="AU71" s="14"/>
      <c r="AV71" s="24">
        <f t="shared" si="11"/>
        <v>0</v>
      </c>
      <c r="AW71" s="13">
        <f t="shared" si="12"/>
        <v>-2</v>
      </c>
      <c r="AX71" s="13">
        <f t="shared" si="13"/>
        <v>-1</v>
      </c>
      <c r="AY71" s="13">
        <f t="shared" si="14"/>
        <v>-1</v>
      </c>
      <c r="AZ71" s="13">
        <f t="shared" si="15"/>
        <v>-2</v>
      </c>
      <c r="BA71" s="13">
        <f t="shared" si="16"/>
        <v>-2</v>
      </c>
      <c r="BB71" s="13">
        <f t="shared" si="17"/>
        <v>-1</v>
      </c>
      <c r="BC71" s="13">
        <f t="shared" si="10"/>
        <v>-1</v>
      </c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4"/>
    </row>
    <row r="72" spans="1:70" x14ac:dyDescent="0.25">
      <c r="A72" s="101" t="s">
        <v>133</v>
      </c>
      <c r="B72" s="102">
        <v>0</v>
      </c>
      <c r="C72" s="103">
        <v>0</v>
      </c>
      <c r="D72" s="102">
        <v>0</v>
      </c>
      <c r="E72" s="103">
        <v>0</v>
      </c>
      <c r="F72" s="102">
        <v>1</v>
      </c>
      <c r="G72" s="103">
        <v>0</v>
      </c>
      <c r="H72" s="102">
        <v>1</v>
      </c>
      <c r="I72" s="103">
        <v>1</v>
      </c>
      <c r="J72" s="102">
        <v>1</v>
      </c>
      <c r="K72" s="103">
        <v>1</v>
      </c>
      <c r="L72" s="102">
        <v>1</v>
      </c>
      <c r="M72" s="103">
        <v>1</v>
      </c>
      <c r="N72" s="102">
        <v>1</v>
      </c>
      <c r="O72" s="103">
        <v>1</v>
      </c>
      <c r="P72" s="102">
        <v>1</v>
      </c>
      <c r="Q72" s="103">
        <v>1</v>
      </c>
      <c r="R72" s="102">
        <v>1</v>
      </c>
      <c r="S72" s="64">
        <v>1</v>
      </c>
      <c r="T72" s="102">
        <v>1</v>
      </c>
      <c r="U72" s="103">
        <v>1</v>
      </c>
      <c r="V72" s="102">
        <v>1</v>
      </c>
      <c r="W72" s="103">
        <v>1</v>
      </c>
      <c r="X72" s="102">
        <v>1</v>
      </c>
      <c r="Y72" s="103"/>
      <c r="Z72" s="102">
        <v>1</v>
      </c>
      <c r="AA72" s="103"/>
      <c r="AB72" s="102">
        <v>1</v>
      </c>
      <c r="AC72" s="103"/>
      <c r="AD72" s="102">
        <v>1</v>
      </c>
      <c r="AE72" s="103"/>
      <c r="AF72" s="102">
        <v>1</v>
      </c>
      <c r="AG72" s="103"/>
      <c r="AH72" s="102">
        <v>1</v>
      </c>
      <c r="AI72" s="103"/>
      <c r="AJ72" s="102">
        <v>1</v>
      </c>
      <c r="AK72" s="103"/>
      <c r="AL72" s="102">
        <v>1</v>
      </c>
      <c r="AM72" s="103"/>
      <c r="AN72" s="102">
        <v>1</v>
      </c>
      <c r="AO72" s="103"/>
      <c r="AP72" s="102">
        <v>1</v>
      </c>
      <c r="AQ72" s="103"/>
      <c r="AR72" s="102">
        <v>1</v>
      </c>
      <c r="AS72" s="103"/>
      <c r="AT72" s="116">
        <v>1</v>
      </c>
      <c r="AU72" s="104"/>
      <c r="AV72" s="105">
        <f t="shared" si="11"/>
        <v>0</v>
      </c>
      <c r="AW72" s="103">
        <f t="shared" si="12"/>
        <v>0</v>
      </c>
      <c r="AX72" s="103">
        <f t="shared" si="13"/>
        <v>-1</v>
      </c>
      <c r="AY72" s="103">
        <f t="shared" si="14"/>
        <v>0</v>
      </c>
      <c r="AZ72" s="103">
        <f t="shared" si="15"/>
        <v>0</v>
      </c>
      <c r="BA72" s="103">
        <f t="shared" si="16"/>
        <v>0</v>
      </c>
      <c r="BB72" s="103">
        <f t="shared" si="17"/>
        <v>0</v>
      </c>
      <c r="BC72" s="103">
        <f t="shared" si="10"/>
        <v>0</v>
      </c>
      <c r="BD72" s="103"/>
      <c r="BE72" s="103"/>
      <c r="BF72" s="103"/>
      <c r="BG72" s="103"/>
      <c r="BH72" s="103"/>
      <c r="BI72" s="103"/>
      <c r="BJ72" s="103"/>
      <c r="BK72" s="103"/>
      <c r="BL72" s="103"/>
      <c r="BM72" s="103"/>
      <c r="BN72" s="103"/>
      <c r="BO72" s="103"/>
      <c r="BP72" s="103"/>
      <c r="BQ72" s="103"/>
      <c r="BR72" s="104"/>
    </row>
    <row r="73" spans="1:70" x14ac:dyDescent="0.25">
      <c r="A73" s="8" t="s">
        <v>134</v>
      </c>
      <c r="B73" s="12">
        <v>0</v>
      </c>
      <c r="C73" s="13">
        <v>0</v>
      </c>
      <c r="D73" s="12">
        <v>0</v>
      </c>
      <c r="E73" s="13">
        <v>0</v>
      </c>
      <c r="F73" s="12">
        <v>1</v>
      </c>
      <c r="G73" s="13">
        <v>0</v>
      </c>
      <c r="H73" s="12">
        <v>1</v>
      </c>
      <c r="I73" s="13">
        <v>1</v>
      </c>
      <c r="J73" s="12">
        <v>1</v>
      </c>
      <c r="K73" s="13">
        <v>1</v>
      </c>
      <c r="L73" s="12">
        <v>1</v>
      </c>
      <c r="M73" s="13">
        <v>1</v>
      </c>
      <c r="N73" s="12">
        <v>1</v>
      </c>
      <c r="O73" s="13">
        <v>1</v>
      </c>
      <c r="P73" s="12">
        <v>1</v>
      </c>
      <c r="Q73" s="13">
        <v>1</v>
      </c>
      <c r="R73" s="12">
        <v>1</v>
      </c>
      <c r="S73" s="64">
        <v>1</v>
      </c>
      <c r="T73" s="12">
        <v>1</v>
      </c>
      <c r="U73" s="13">
        <v>1</v>
      </c>
      <c r="V73" s="12">
        <v>1</v>
      </c>
      <c r="W73" s="13">
        <v>1</v>
      </c>
      <c r="X73" s="12">
        <v>1</v>
      </c>
      <c r="Y73" s="13"/>
      <c r="Z73" s="12">
        <v>1</v>
      </c>
      <c r="AA73" s="13"/>
      <c r="AB73" s="12">
        <v>1</v>
      </c>
      <c r="AC73" s="13"/>
      <c r="AD73" s="12">
        <v>1</v>
      </c>
      <c r="AE73" s="13"/>
      <c r="AF73" s="12">
        <v>1</v>
      </c>
      <c r="AG73" s="13"/>
      <c r="AH73" s="12">
        <v>1</v>
      </c>
      <c r="AI73" s="13"/>
      <c r="AJ73" s="12">
        <v>1</v>
      </c>
      <c r="AK73" s="13"/>
      <c r="AL73" s="12">
        <v>1</v>
      </c>
      <c r="AM73" s="13"/>
      <c r="AN73" s="12">
        <v>1</v>
      </c>
      <c r="AO73" s="13"/>
      <c r="AP73" s="12">
        <v>1</v>
      </c>
      <c r="AQ73" s="13"/>
      <c r="AR73" s="12">
        <v>1</v>
      </c>
      <c r="AS73" s="13"/>
      <c r="AT73" s="15">
        <v>1</v>
      </c>
      <c r="AU73" s="14"/>
      <c r="AV73" s="24">
        <f t="shared" si="11"/>
        <v>0</v>
      </c>
      <c r="AW73" s="13">
        <f t="shared" si="12"/>
        <v>0</v>
      </c>
      <c r="AX73" s="13">
        <f t="shared" si="13"/>
        <v>-1</v>
      </c>
      <c r="AY73" s="13">
        <f t="shared" si="14"/>
        <v>0</v>
      </c>
      <c r="AZ73" s="13">
        <f t="shared" si="15"/>
        <v>0</v>
      </c>
      <c r="BA73" s="13">
        <f t="shared" si="16"/>
        <v>0</v>
      </c>
      <c r="BB73" s="13">
        <f t="shared" si="17"/>
        <v>0</v>
      </c>
      <c r="BC73" s="13">
        <f t="shared" si="10"/>
        <v>0</v>
      </c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4"/>
    </row>
    <row r="74" spans="1:70" x14ac:dyDescent="0.25">
      <c r="A74" s="101" t="s">
        <v>135</v>
      </c>
      <c r="B74" s="102">
        <v>0</v>
      </c>
      <c r="C74" s="103">
        <v>0</v>
      </c>
      <c r="D74" s="102">
        <v>0</v>
      </c>
      <c r="E74" s="103">
        <v>0</v>
      </c>
      <c r="F74" s="102">
        <v>1</v>
      </c>
      <c r="G74" s="103">
        <v>1</v>
      </c>
      <c r="H74" s="102">
        <v>1</v>
      </c>
      <c r="I74" s="103">
        <v>1</v>
      </c>
      <c r="J74" s="102">
        <v>1</v>
      </c>
      <c r="K74" s="103">
        <v>1</v>
      </c>
      <c r="L74" s="102">
        <v>1</v>
      </c>
      <c r="M74" s="103">
        <v>1</v>
      </c>
      <c r="N74" s="102">
        <v>1</v>
      </c>
      <c r="O74" s="103">
        <v>2</v>
      </c>
      <c r="P74" s="102">
        <v>1</v>
      </c>
      <c r="Q74" s="103">
        <v>2</v>
      </c>
      <c r="R74" s="102">
        <v>1</v>
      </c>
      <c r="S74" s="64">
        <v>2</v>
      </c>
      <c r="T74" s="102">
        <v>1</v>
      </c>
      <c r="U74" s="103">
        <v>2</v>
      </c>
      <c r="V74" s="102">
        <v>1</v>
      </c>
      <c r="W74" s="103">
        <v>2</v>
      </c>
      <c r="X74" s="102">
        <v>1</v>
      </c>
      <c r="Y74" s="103"/>
      <c r="Z74" s="102">
        <v>1</v>
      </c>
      <c r="AA74" s="103"/>
      <c r="AB74" s="102">
        <v>1</v>
      </c>
      <c r="AC74" s="103"/>
      <c r="AD74" s="102">
        <v>1</v>
      </c>
      <c r="AE74" s="103"/>
      <c r="AF74" s="102">
        <v>1</v>
      </c>
      <c r="AG74" s="103"/>
      <c r="AH74" s="102">
        <v>1</v>
      </c>
      <c r="AI74" s="103"/>
      <c r="AJ74" s="102">
        <v>1</v>
      </c>
      <c r="AK74" s="103"/>
      <c r="AL74" s="102">
        <v>1</v>
      </c>
      <c r="AM74" s="103"/>
      <c r="AN74" s="102">
        <v>1</v>
      </c>
      <c r="AO74" s="103"/>
      <c r="AP74" s="102">
        <v>1</v>
      </c>
      <c r="AQ74" s="103"/>
      <c r="AR74" s="102">
        <v>1</v>
      </c>
      <c r="AS74" s="103"/>
      <c r="AT74" s="116">
        <v>1</v>
      </c>
      <c r="AU74" s="104"/>
      <c r="AV74" s="105">
        <f t="shared" si="11"/>
        <v>0</v>
      </c>
      <c r="AW74" s="103">
        <f t="shared" si="12"/>
        <v>0</v>
      </c>
      <c r="AX74" s="103">
        <f t="shared" si="13"/>
        <v>0</v>
      </c>
      <c r="AY74" s="103">
        <f t="shared" si="14"/>
        <v>0</v>
      </c>
      <c r="AZ74" s="103">
        <f t="shared" si="15"/>
        <v>0</v>
      </c>
      <c r="BA74" s="103">
        <f t="shared" si="16"/>
        <v>0</v>
      </c>
      <c r="BB74" s="103">
        <f t="shared" si="17"/>
        <v>1</v>
      </c>
      <c r="BC74" s="103">
        <f t="shared" si="10"/>
        <v>1</v>
      </c>
      <c r="BD74" s="103"/>
      <c r="BE74" s="103"/>
      <c r="BF74" s="103"/>
      <c r="BG74" s="103"/>
      <c r="BH74" s="103"/>
      <c r="BI74" s="103"/>
      <c r="BJ74" s="103"/>
      <c r="BK74" s="103"/>
      <c r="BL74" s="103"/>
      <c r="BM74" s="103"/>
      <c r="BN74" s="103"/>
      <c r="BO74" s="103"/>
      <c r="BP74" s="103"/>
      <c r="BQ74" s="103"/>
      <c r="BR74" s="104"/>
    </row>
    <row r="75" spans="1:70" x14ac:dyDescent="0.25">
      <c r="A75" s="8" t="s">
        <v>136</v>
      </c>
      <c r="B75" s="12">
        <v>0</v>
      </c>
      <c r="C75" s="13">
        <v>0</v>
      </c>
      <c r="D75" s="12">
        <v>0</v>
      </c>
      <c r="E75" s="13">
        <v>2</v>
      </c>
      <c r="F75" s="12">
        <v>3</v>
      </c>
      <c r="G75" s="13">
        <v>2</v>
      </c>
      <c r="H75" s="12">
        <v>3</v>
      </c>
      <c r="I75" s="13">
        <v>2</v>
      </c>
      <c r="J75" s="12">
        <v>3</v>
      </c>
      <c r="K75" s="13">
        <v>2</v>
      </c>
      <c r="L75" s="12">
        <v>3</v>
      </c>
      <c r="M75" s="13">
        <v>3</v>
      </c>
      <c r="N75" s="12">
        <v>3</v>
      </c>
      <c r="O75" s="13">
        <v>4</v>
      </c>
      <c r="P75" s="12">
        <v>3</v>
      </c>
      <c r="Q75" s="13">
        <v>3</v>
      </c>
      <c r="R75" s="12">
        <v>3</v>
      </c>
      <c r="S75" s="64">
        <v>3</v>
      </c>
      <c r="T75" s="12">
        <v>3</v>
      </c>
      <c r="U75" s="13">
        <v>2</v>
      </c>
      <c r="V75" s="12">
        <v>3</v>
      </c>
      <c r="W75" s="13">
        <v>3</v>
      </c>
      <c r="X75" s="12">
        <v>3</v>
      </c>
      <c r="Y75" s="13"/>
      <c r="Z75" s="12">
        <v>3</v>
      </c>
      <c r="AA75" s="13"/>
      <c r="AB75" s="12">
        <v>3</v>
      </c>
      <c r="AC75" s="13"/>
      <c r="AD75" s="12">
        <v>3</v>
      </c>
      <c r="AE75" s="13"/>
      <c r="AF75" s="12">
        <v>3</v>
      </c>
      <c r="AG75" s="13"/>
      <c r="AH75" s="12">
        <v>3</v>
      </c>
      <c r="AI75" s="13"/>
      <c r="AJ75" s="12">
        <v>3</v>
      </c>
      <c r="AK75" s="13"/>
      <c r="AL75" s="12">
        <v>3</v>
      </c>
      <c r="AM75" s="13"/>
      <c r="AN75" s="12">
        <v>3</v>
      </c>
      <c r="AO75" s="13"/>
      <c r="AP75" s="12">
        <v>3</v>
      </c>
      <c r="AQ75" s="13"/>
      <c r="AR75" s="12">
        <v>3</v>
      </c>
      <c r="AS75" s="13"/>
      <c r="AT75" s="15">
        <v>3</v>
      </c>
      <c r="AU75" s="14"/>
      <c r="AV75" s="24">
        <f t="shared" si="11"/>
        <v>0</v>
      </c>
      <c r="AW75" s="13">
        <f t="shared" si="12"/>
        <v>2</v>
      </c>
      <c r="AX75" s="13">
        <f t="shared" si="13"/>
        <v>-1</v>
      </c>
      <c r="AY75" s="13">
        <f t="shared" si="14"/>
        <v>-1</v>
      </c>
      <c r="AZ75" s="13">
        <f t="shared" si="15"/>
        <v>-1</v>
      </c>
      <c r="BA75" s="13">
        <f t="shared" si="16"/>
        <v>0</v>
      </c>
      <c r="BB75" s="13">
        <f t="shared" si="17"/>
        <v>1</v>
      </c>
      <c r="BC75" s="13">
        <f t="shared" si="10"/>
        <v>0</v>
      </c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4"/>
    </row>
    <row r="76" spans="1:70" x14ac:dyDescent="0.25">
      <c r="A76" s="101" t="s">
        <v>137</v>
      </c>
      <c r="B76" s="102">
        <v>0</v>
      </c>
      <c r="C76" s="103">
        <v>0</v>
      </c>
      <c r="D76" s="102">
        <v>0</v>
      </c>
      <c r="E76" s="103">
        <v>2</v>
      </c>
      <c r="F76" s="102">
        <v>1</v>
      </c>
      <c r="G76" s="103">
        <v>3</v>
      </c>
      <c r="H76" s="102">
        <v>6</v>
      </c>
      <c r="I76" s="103">
        <v>4</v>
      </c>
      <c r="J76" s="102">
        <v>6</v>
      </c>
      <c r="K76" s="103">
        <v>6</v>
      </c>
      <c r="L76" s="102">
        <v>6</v>
      </c>
      <c r="M76" s="103">
        <v>6</v>
      </c>
      <c r="N76" s="102">
        <v>6</v>
      </c>
      <c r="O76" s="103">
        <v>6</v>
      </c>
      <c r="P76" s="102">
        <v>6</v>
      </c>
      <c r="Q76" s="103">
        <v>7</v>
      </c>
      <c r="R76" s="102">
        <v>6</v>
      </c>
      <c r="S76" s="64">
        <v>7</v>
      </c>
      <c r="T76" s="102">
        <v>6</v>
      </c>
      <c r="U76" s="103">
        <v>7</v>
      </c>
      <c r="V76" s="102">
        <v>6</v>
      </c>
      <c r="W76" s="103">
        <v>6</v>
      </c>
      <c r="X76" s="102">
        <v>6</v>
      </c>
      <c r="Y76" s="103"/>
      <c r="Z76" s="102">
        <v>6</v>
      </c>
      <c r="AA76" s="103"/>
      <c r="AB76" s="102">
        <v>6</v>
      </c>
      <c r="AC76" s="103"/>
      <c r="AD76" s="102">
        <v>6</v>
      </c>
      <c r="AE76" s="103"/>
      <c r="AF76" s="102">
        <v>6</v>
      </c>
      <c r="AG76" s="103"/>
      <c r="AH76" s="102">
        <v>6</v>
      </c>
      <c r="AI76" s="103"/>
      <c r="AJ76" s="102">
        <v>6</v>
      </c>
      <c r="AK76" s="103"/>
      <c r="AL76" s="102">
        <v>6</v>
      </c>
      <c r="AM76" s="103"/>
      <c r="AN76" s="102">
        <v>6</v>
      </c>
      <c r="AO76" s="103"/>
      <c r="AP76" s="102">
        <v>6</v>
      </c>
      <c r="AQ76" s="103"/>
      <c r="AR76" s="102">
        <v>6</v>
      </c>
      <c r="AS76" s="103"/>
      <c r="AT76" s="116">
        <v>6</v>
      </c>
      <c r="AU76" s="104"/>
      <c r="AV76" s="105">
        <f t="shared" si="11"/>
        <v>0</v>
      </c>
      <c r="AW76" s="103">
        <f t="shared" si="12"/>
        <v>2</v>
      </c>
      <c r="AX76" s="103">
        <f t="shared" si="13"/>
        <v>2</v>
      </c>
      <c r="AY76" s="103">
        <f t="shared" si="14"/>
        <v>-2</v>
      </c>
      <c r="AZ76" s="103">
        <f t="shared" si="15"/>
        <v>0</v>
      </c>
      <c r="BA76" s="103">
        <f t="shared" si="16"/>
        <v>0</v>
      </c>
      <c r="BB76" s="103">
        <f t="shared" si="17"/>
        <v>0</v>
      </c>
      <c r="BC76" s="103">
        <f t="shared" si="10"/>
        <v>1</v>
      </c>
      <c r="BD76" s="103"/>
      <c r="BE76" s="103"/>
      <c r="BF76" s="103"/>
      <c r="BG76" s="103"/>
      <c r="BH76" s="103"/>
      <c r="BI76" s="103"/>
      <c r="BJ76" s="103"/>
      <c r="BK76" s="103"/>
      <c r="BL76" s="103"/>
      <c r="BM76" s="103"/>
      <c r="BN76" s="103"/>
      <c r="BO76" s="103"/>
      <c r="BP76" s="103"/>
      <c r="BQ76" s="103"/>
      <c r="BR76" s="104"/>
    </row>
    <row r="77" spans="1:70" x14ac:dyDescent="0.25">
      <c r="A77" s="8" t="s">
        <v>138</v>
      </c>
      <c r="B77" s="12">
        <v>0</v>
      </c>
      <c r="C77" s="13">
        <v>0</v>
      </c>
      <c r="D77" s="12">
        <v>0</v>
      </c>
      <c r="E77" s="13">
        <v>1</v>
      </c>
      <c r="F77" s="12">
        <v>1</v>
      </c>
      <c r="G77" s="13">
        <v>1</v>
      </c>
      <c r="H77" s="12">
        <v>1</v>
      </c>
      <c r="I77" s="13">
        <v>1</v>
      </c>
      <c r="J77" s="12">
        <v>1</v>
      </c>
      <c r="K77" s="13">
        <v>1</v>
      </c>
      <c r="L77" s="12">
        <v>1</v>
      </c>
      <c r="M77" s="13">
        <v>1</v>
      </c>
      <c r="N77" s="12">
        <v>1</v>
      </c>
      <c r="O77" s="13">
        <v>0</v>
      </c>
      <c r="P77" s="12">
        <v>1</v>
      </c>
      <c r="Q77" s="13">
        <v>0</v>
      </c>
      <c r="R77" s="12">
        <v>1</v>
      </c>
      <c r="S77" s="64"/>
      <c r="T77" s="12">
        <v>1</v>
      </c>
      <c r="U77" s="13">
        <v>1</v>
      </c>
      <c r="V77" s="12">
        <v>1</v>
      </c>
      <c r="W77" s="13">
        <v>1</v>
      </c>
      <c r="X77" s="12">
        <v>1</v>
      </c>
      <c r="Y77" s="13"/>
      <c r="Z77" s="12">
        <v>1</v>
      </c>
      <c r="AA77" s="13"/>
      <c r="AB77" s="12">
        <v>1</v>
      </c>
      <c r="AC77" s="13"/>
      <c r="AD77" s="12">
        <v>1</v>
      </c>
      <c r="AE77" s="13"/>
      <c r="AF77" s="12">
        <v>1</v>
      </c>
      <c r="AG77" s="13"/>
      <c r="AH77" s="12">
        <v>1</v>
      </c>
      <c r="AI77" s="13"/>
      <c r="AJ77" s="12">
        <v>1</v>
      </c>
      <c r="AK77" s="13"/>
      <c r="AL77" s="12">
        <v>1</v>
      </c>
      <c r="AM77" s="13"/>
      <c r="AN77" s="12">
        <v>1</v>
      </c>
      <c r="AO77" s="13"/>
      <c r="AP77" s="12">
        <v>1</v>
      </c>
      <c r="AQ77" s="13"/>
      <c r="AR77" s="12">
        <v>1</v>
      </c>
      <c r="AS77" s="13"/>
      <c r="AT77" s="15">
        <v>0.5</v>
      </c>
      <c r="AU77" s="14"/>
      <c r="AV77" s="24">
        <f t="shared" si="11"/>
        <v>0</v>
      </c>
      <c r="AW77" s="13">
        <f t="shared" si="12"/>
        <v>1</v>
      </c>
      <c r="AX77" s="13">
        <f t="shared" si="13"/>
        <v>0</v>
      </c>
      <c r="AY77" s="13">
        <f t="shared" si="14"/>
        <v>0</v>
      </c>
      <c r="AZ77" s="13">
        <f t="shared" si="15"/>
        <v>0</v>
      </c>
      <c r="BA77" s="13">
        <f t="shared" si="16"/>
        <v>0</v>
      </c>
      <c r="BB77" s="13">
        <f t="shared" si="17"/>
        <v>-1</v>
      </c>
      <c r="BC77" s="13">
        <f t="shared" si="10"/>
        <v>-1</v>
      </c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4"/>
    </row>
    <row r="78" spans="1:70" x14ac:dyDescent="0.25">
      <c r="A78" s="106" t="s">
        <v>139</v>
      </c>
      <c r="B78" s="107">
        <v>0</v>
      </c>
      <c r="C78" s="108">
        <v>0</v>
      </c>
      <c r="D78" s="107">
        <v>1</v>
      </c>
      <c r="E78" s="108">
        <v>2</v>
      </c>
      <c r="F78" s="107">
        <v>1</v>
      </c>
      <c r="G78" s="108">
        <v>2</v>
      </c>
      <c r="H78" s="107">
        <v>1</v>
      </c>
      <c r="I78" s="108">
        <v>2</v>
      </c>
      <c r="J78" s="107">
        <v>1</v>
      </c>
      <c r="K78" s="108">
        <v>5</v>
      </c>
      <c r="L78" s="107">
        <v>1</v>
      </c>
      <c r="M78" s="108">
        <v>2</v>
      </c>
      <c r="N78" s="107">
        <v>1</v>
      </c>
      <c r="O78" s="108">
        <v>2</v>
      </c>
      <c r="P78" s="107">
        <v>1</v>
      </c>
      <c r="Q78" s="108">
        <v>3</v>
      </c>
      <c r="R78" s="107">
        <v>1</v>
      </c>
      <c r="S78" s="65">
        <v>3</v>
      </c>
      <c r="T78" s="107">
        <v>1</v>
      </c>
      <c r="U78" s="108">
        <v>1</v>
      </c>
      <c r="V78" s="107">
        <v>1</v>
      </c>
      <c r="W78" s="108">
        <v>1</v>
      </c>
      <c r="X78" s="107">
        <v>1</v>
      </c>
      <c r="Y78" s="108"/>
      <c r="Z78" s="107">
        <v>1</v>
      </c>
      <c r="AA78" s="108"/>
      <c r="AB78" s="107">
        <v>1</v>
      </c>
      <c r="AC78" s="108"/>
      <c r="AD78" s="107">
        <v>1</v>
      </c>
      <c r="AE78" s="108"/>
      <c r="AF78" s="107">
        <v>1</v>
      </c>
      <c r="AG78" s="108"/>
      <c r="AH78" s="107">
        <v>1</v>
      </c>
      <c r="AI78" s="108"/>
      <c r="AJ78" s="107">
        <v>1</v>
      </c>
      <c r="AK78" s="108"/>
      <c r="AL78" s="107">
        <v>1</v>
      </c>
      <c r="AM78" s="108"/>
      <c r="AN78" s="107">
        <v>1</v>
      </c>
      <c r="AO78" s="108"/>
      <c r="AP78" s="107">
        <v>1</v>
      </c>
      <c r="AQ78" s="108"/>
      <c r="AR78" s="107">
        <v>1</v>
      </c>
      <c r="AS78" s="108"/>
      <c r="AT78" s="117">
        <v>0.375</v>
      </c>
      <c r="AU78" s="109"/>
      <c r="AV78" s="110">
        <f t="shared" si="11"/>
        <v>0</v>
      </c>
      <c r="AW78" s="108">
        <f t="shared" si="12"/>
        <v>1</v>
      </c>
      <c r="AX78" s="108">
        <f t="shared" si="13"/>
        <v>1</v>
      </c>
      <c r="AY78" s="108">
        <f t="shared" si="14"/>
        <v>1</v>
      </c>
      <c r="AZ78" s="108">
        <f t="shared" si="15"/>
        <v>4</v>
      </c>
      <c r="BA78" s="108">
        <f t="shared" si="16"/>
        <v>1</v>
      </c>
      <c r="BB78" s="108">
        <f t="shared" si="17"/>
        <v>1</v>
      </c>
      <c r="BC78" s="108">
        <f t="shared" si="10"/>
        <v>2</v>
      </c>
      <c r="BD78" s="108"/>
      <c r="BE78" s="108"/>
      <c r="BF78" s="108"/>
      <c r="BG78" s="108"/>
      <c r="BH78" s="108"/>
      <c r="BI78" s="108"/>
      <c r="BJ78" s="108"/>
      <c r="BK78" s="108"/>
      <c r="BL78" s="108"/>
      <c r="BM78" s="108"/>
      <c r="BN78" s="108"/>
      <c r="BO78" s="108"/>
      <c r="BP78" s="108"/>
      <c r="BQ78" s="108"/>
      <c r="BR78" s="109"/>
    </row>
    <row r="79" spans="1:70" x14ac:dyDescent="0.25">
      <c r="A79" s="111" t="s">
        <v>96</v>
      </c>
      <c r="B79" s="112">
        <f>SUM(B37:B78)</f>
        <v>0</v>
      </c>
      <c r="C79" s="112">
        <f t="shared" ref="C79:BN79" si="18">SUM(C37:C78)</f>
        <v>4</v>
      </c>
      <c r="D79" s="112">
        <f t="shared" si="18"/>
        <v>32.5</v>
      </c>
      <c r="E79" s="112">
        <f t="shared" si="18"/>
        <v>34</v>
      </c>
      <c r="F79" s="112">
        <f t="shared" si="18"/>
        <v>97</v>
      </c>
      <c r="G79" s="112">
        <f t="shared" si="18"/>
        <v>56</v>
      </c>
      <c r="H79" s="112">
        <f t="shared" si="18"/>
        <v>104</v>
      </c>
      <c r="I79" s="112">
        <f t="shared" si="18"/>
        <v>64</v>
      </c>
      <c r="J79" s="112">
        <f t="shared" si="18"/>
        <v>107</v>
      </c>
      <c r="K79" s="112">
        <f t="shared" si="18"/>
        <v>72</v>
      </c>
      <c r="L79" s="112">
        <f t="shared" si="18"/>
        <v>107</v>
      </c>
      <c r="M79" s="112">
        <f t="shared" si="18"/>
        <v>84</v>
      </c>
      <c r="N79" s="112">
        <f t="shared" si="18"/>
        <v>107</v>
      </c>
      <c r="O79" s="112">
        <f t="shared" si="18"/>
        <v>88</v>
      </c>
      <c r="P79" s="112">
        <f t="shared" si="18"/>
        <v>107</v>
      </c>
      <c r="Q79" s="112">
        <f t="shared" si="18"/>
        <v>102</v>
      </c>
      <c r="R79" s="112">
        <f t="shared" si="18"/>
        <v>107</v>
      </c>
      <c r="S79" s="112">
        <f t="shared" si="18"/>
        <v>109</v>
      </c>
      <c r="T79" s="112">
        <f t="shared" si="18"/>
        <v>107</v>
      </c>
      <c r="U79" s="112">
        <f t="shared" si="18"/>
        <v>115</v>
      </c>
      <c r="V79" s="112">
        <f t="shared" si="18"/>
        <v>107</v>
      </c>
      <c r="W79" s="112">
        <f t="shared" si="18"/>
        <v>118</v>
      </c>
      <c r="X79" s="112">
        <f t="shared" si="18"/>
        <v>104</v>
      </c>
      <c r="Y79" s="112">
        <f t="shared" si="18"/>
        <v>0</v>
      </c>
      <c r="Z79" s="112">
        <f t="shared" si="18"/>
        <v>104</v>
      </c>
      <c r="AA79" s="112">
        <f t="shared" si="18"/>
        <v>0</v>
      </c>
      <c r="AB79" s="112">
        <f t="shared" si="18"/>
        <v>104</v>
      </c>
      <c r="AC79" s="112">
        <f t="shared" si="18"/>
        <v>0</v>
      </c>
      <c r="AD79" s="112">
        <f t="shared" si="18"/>
        <v>107</v>
      </c>
      <c r="AE79" s="112">
        <f t="shared" si="18"/>
        <v>0</v>
      </c>
      <c r="AF79" s="112">
        <f t="shared" si="18"/>
        <v>108</v>
      </c>
      <c r="AG79" s="112">
        <f t="shared" si="18"/>
        <v>0</v>
      </c>
      <c r="AH79" s="112">
        <f t="shared" si="18"/>
        <v>108</v>
      </c>
      <c r="AI79" s="112">
        <f t="shared" si="18"/>
        <v>0</v>
      </c>
      <c r="AJ79" s="112">
        <f t="shared" si="18"/>
        <v>108</v>
      </c>
      <c r="AK79" s="112">
        <f t="shared" si="18"/>
        <v>0</v>
      </c>
      <c r="AL79" s="112">
        <f t="shared" si="18"/>
        <v>109</v>
      </c>
      <c r="AM79" s="112">
        <f t="shared" si="18"/>
        <v>0</v>
      </c>
      <c r="AN79" s="112">
        <f t="shared" si="18"/>
        <v>109</v>
      </c>
      <c r="AO79" s="112">
        <f t="shared" si="18"/>
        <v>0</v>
      </c>
      <c r="AP79" s="112">
        <f t="shared" si="18"/>
        <v>108</v>
      </c>
      <c r="AQ79" s="112">
        <f t="shared" si="18"/>
        <v>0</v>
      </c>
      <c r="AR79" s="112">
        <f t="shared" si="18"/>
        <v>101</v>
      </c>
      <c r="AS79" s="112">
        <f t="shared" si="18"/>
        <v>0</v>
      </c>
      <c r="AT79" s="112">
        <f t="shared" si="18"/>
        <v>69.375</v>
      </c>
      <c r="AU79" s="118">
        <f t="shared" si="18"/>
        <v>0</v>
      </c>
      <c r="AV79" s="119">
        <f t="shared" si="18"/>
        <v>4</v>
      </c>
      <c r="AW79" s="120">
        <f t="shared" si="18"/>
        <v>1.5</v>
      </c>
      <c r="AX79" s="120">
        <f t="shared" si="18"/>
        <v>-41</v>
      </c>
      <c r="AY79" s="120">
        <f t="shared" si="18"/>
        <v>-40</v>
      </c>
      <c r="AZ79" s="120">
        <f t="shared" si="18"/>
        <v>-35</v>
      </c>
      <c r="BA79" s="120">
        <f t="shared" si="18"/>
        <v>-23</v>
      </c>
      <c r="BB79" s="120">
        <f t="shared" si="18"/>
        <v>-19</v>
      </c>
      <c r="BC79" s="120">
        <f t="shared" si="18"/>
        <v>-5</v>
      </c>
      <c r="BD79" s="120">
        <f t="shared" si="18"/>
        <v>0</v>
      </c>
      <c r="BE79" s="120">
        <f t="shared" si="18"/>
        <v>0</v>
      </c>
      <c r="BF79" s="120">
        <f t="shared" si="18"/>
        <v>0</v>
      </c>
      <c r="BG79" s="120">
        <f t="shared" si="18"/>
        <v>0</v>
      </c>
      <c r="BH79" s="120">
        <f t="shared" si="18"/>
        <v>0</v>
      </c>
      <c r="BI79" s="120">
        <f t="shared" si="18"/>
        <v>0</v>
      </c>
      <c r="BJ79" s="120">
        <f t="shared" si="18"/>
        <v>0</v>
      </c>
      <c r="BK79" s="120">
        <f t="shared" si="18"/>
        <v>0</v>
      </c>
      <c r="BL79" s="120">
        <f t="shared" si="18"/>
        <v>0</v>
      </c>
      <c r="BM79" s="120">
        <f t="shared" si="18"/>
        <v>0</v>
      </c>
      <c r="BN79" s="120">
        <f t="shared" si="18"/>
        <v>0</v>
      </c>
      <c r="BO79" s="120">
        <f t="shared" ref="BO79:BR79" si="19">SUM(BO37:BO78)</f>
        <v>0</v>
      </c>
      <c r="BP79" s="120">
        <f t="shared" si="19"/>
        <v>0</v>
      </c>
      <c r="BQ79" s="120">
        <f t="shared" si="19"/>
        <v>0</v>
      </c>
      <c r="BR79" s="121">
        <f t="shared" si="19"/>
        <v>0</v>
      </c>
    </row>
    <row r="80" spans="1:70" x14ac:dyDescent="0.25">
      <c r="O80" s="15"/>
    </row>
    <row r="81" spans="1:70" x14ac:dyDescent="0.25">
      <c r="A81" s="206" t="s">
        <v>140</v>
      </c>
      <c r="B81" s="89">
        <v>45992</v>
      </c>
      <c r="C81" s="90"/>
      <c r="D81" s="89">
        <v>46023</v>
      </c>
      <c r="E81" s="90"/>
      <c r="F81" s="89">
        <v>46054</v>
      </c>
      <c r="G81" s="90"/>
      <c r="H81" s="89">
        <v>46082</v>
      </c>
      <c r="I81" s="90"/>
      <c r="J81" s="89">
        <v>46113</v>
      </c>
      <c r="K81" s="90"/>
      <c r="L81" s="89">
        <v>46143</v>
      </c>
      <c r="M81" s="90"/>
      <c r="N81" s="89">
        <v>46174</v>
      </c>
      <c r="O81" s="90"/>
      <c r="P81" s="89">
        <v>46204</v>
      </c>
      <c r="Q81" s="90"/>
      <c r="R81" s="89">
        <v>46235</v>
      </c>
      <c r="S81" s="90"/>
      <c r="T81" s="89">
        <v>46266</v>
      </c>
      <c r="U81" s="90"/>
      <c r="V81" s="89">
        <v>46296</v>
      </c>
      <c r="W81" s="90"/>
      <c r="X81" s="89">
        <v>46327</v>
      </c>
      <c r="Y81" s="90"/>
      <c r="Z81" s="89">
        <v>46357</v>
      </c>
      <c r="AA81" s="90"/>
      <c r="AB81" s="89">
        <v>46388</v>
      </c>
      <c r="AC81" s="90"/>
      <c r="AD81" s="89">
        <v>46419</v>
      </c>
      <c r="AE81" s="90"/>
      <c r="AF81" s="89">
        <v>46447</v>
      </c>
      <c r="AG81" s="90"/>
      <c r="AH81" s="89">
        <v>46478</v>
      </c>
      <c r="AI81" s="90"/>
      <c r="AJ81" s="89">
        <v>46508</v>
      </c>
      <c r="AK81" s="90"/>
      <c r="AL81" s="89">
        <v>46539</v>
      </c>
      <c r="AM81" s="90"/>
      <c r="AN81" s="89">
        <v>46569</v>
      </c>
      <c r="AO81" s="90"/>
      <c r="AP81" s="89">
        <v>46600</v>
      </c>
      <c r="AQ81" s="90"/>
      <c r="AR81" s="89">
        <v>46631</v>
      </c>
      <c r="AS81" s="90"/>
      <c r="AT81" s="89">
        <v>46661</v>
      </c>
      <c r="AU81" s="91"/>
      <c r="AV81" s="92">
        <v>45992</v>
      </c>
      <c r="AW81" s="93">
        <v>46023</v>
      </c>
      <c r="AX81" s="93">
        <v>46054</v>
      </c>
      <c r="AY81" s="93">
        <v>46082</v>
      </c>
      <c r="AZ81" s="93">
        <v>46113</v>
      </c>
      <c r="BA81" s="93">
        <v>46143</v>
      </c>
      <c r="BB81" s="93">
        <v>46174</v>
      </c>
      <c r="BC81" s="93">
        <v>46204</v>
      </c>
      <c r="BD81" s="93">
        <v>46235</v>
      </c>
      <c r="BE81" s="93">
        <v>46266</v>
      </c>
      <c r="BF81" s="93">
        <v>46296</v>
      </c>
      <c r="BG81" s="93">
        <v>46327</v>
      </c>
      <c r="BH81" s="93">
        <v>46357</v>
      </c>
      <c r="BI81" s="93">
        <v>46388</v>
      </c>
      <c r="BJ81" s="93">
        <v>46419</v>
      </c>
      <c r="BK81" s="93">
        <v>46447</v>
      </c>
      <c r="BL81" s="93">
        <v>46478</v>
      </c>
      <c r="BM81" s="93">
        <v>46508</v>
      </c>
      <c r="BN81" s="93">
        <v>46539</v>
      </c>
      <c r="BO81" s="93">
        <v>46569</v>
      </c>
      <c r="BP81" s="93">
        <v>46600</v>
      </c>
      <c r="BQ81" s="93">
        <v>46631</v>
      </c>
      <c r="BR81" s="94">
        <v>46661</v>
      </c>
    </row>
    <row r="82" spans="1:70" x14ac:dyDescent="0.25">
      <c r="A82" s="208"/>
      <c r="B82" s="96" t="s">
        <v>63</v>
      </c>
      <c r="C82" s="97" t="s">
        <v>64</v>
      </c>
      <c r="D82" s="96" t="s">
        <v>63</v>
      </c>
      <c r="E82" s="97" t="s">
        <v>64</v>
      </c>
      <c r="F82" s="96" t="s">
        <v>63</v>
      </c>
      <c r="G82" s="97" t="s">
        <v>64</v>
      </c>
      <c r="H82" s="96" t="s">
        <v>63</v>
      </c>
      <c r="I82" s="97" t="s">
        <v>64</v>
      </c>
      <c r="J82" s="96" t="s">
        <v>63</v>
      </c>
      <c r="K82" s="97" t="s">
        <v>64</v>
      </c>
      <c r="L82" s="96" t="s">
        <v>63</v>
      </c>
      <c r="M82" s="97" t="s">
        <v>64</v>
      </c>
      <c r="N82" s="96" t="s">
        <v>63</v>
      </c>
      <c r="O82" s="97" t="s">
        <v>64</v>
      </c>
      <c r="P82" s="96" t="s">
        <v>63</v>
      </c>
      <c r="Q82" s="97" t="s">
        <v>64</v>
      </c>
      <c r="R82" s="96" t="s">
        <v>63</v>
      </c>
      <c r="S82" s="97" t="s">
        <v>64</v>
      </c>
      <c r="T82" s="96" t="s">
        <v>63</v>
      </c>
      <c r="U82" s="97" t="s">
        <v>64</v>
      </c>
      <c r="V82" s="96" t="s">
        <v>63</v>
      </c>
      <c r="W82" s="97" t="s">
        <v>64</v>
      </c>
      <c r="X82" s="96" t="s">
        <v>63</v>
      </c>
      <c r="Y82" s="97" t="s">
        <v>64</v>
      </c>
      <c r="Z82" s="96" t="s">
        <v>63</v>
      </c>
      <c r="AA82" s="97" t="s">
        <v>64</v>
      </c>
      <c r="AB82" s="96" t="s">
        <v>63</v>
      </c>
      <c r="AC82" s="97" t="s">
        <v>64</v>
      </c>
      <c r="AD82" s="96" t="s">
        <v>63</v>
      </c>
      <c r="AE82" s="97" t="s">
        <v>64</v>
      </c>
      <c r="AF82" s="96" t="s">
        <v>63</v>
      </c>
      <c r="AG82" s="97" t="s">
        <v>64</v>
      </c>
      <c r="AH82" s="96" t="s">
        <v>63</v>
      </c>
      <c r="AI82" s="97" t="s">
        <v>64</v>
      </c>
      <c r="AJ82" s="96" t="s">
        <v>63</v>
      </c>
      <c r="AK82" s="97" t="s">
        <v>64</v>
      </c>
      <c r="AL82" s="96" t="s">
        <v>63</v>
      </c>
      <c r="AM82" s="97" t="s">
        <v>64</v>
      </c>
      <c r="AN82" s="96" t="s">
        <v>63</v>
      </c>
      <c r="AO82" s="97" t="s">
        <v>64</v>
      </c>
      <c r="AP82" s="96" t="s">
        <v>63</v>
      </c>
      <c r="AQ82" s="97" t="s">
        <v>64</v>
      </c>
      <c r="AR82" s="96" t="s">
        <v>63</v>
      </c>
      <c r="AS82" s="97" t="s">
        <v>64</v>
      </c>
      <c r="AT82" s="96" t="s">
        <v>63</v>
      </c>
      <c r="AU82" s="98" t="s">
        <v>64</v>
      </c>
      <c r="AV82" s="99" t="s">
        <v>65</v>
      </c>
      <c r="AW82" s="96" t="s">
        <v>65</v>
      </c>
      <c r="AX82" s="96" t="s">
        <v>65</v>
      </c>
      <c r="AY82" s="96" t="s">
        <v>65</v>
      </c>
      <c r="AZ82" s="96" t="s">
        <v>65</v>
      </c>
      <c r="BA82" s="96" t="s">
        <v>65</v>
      </c>
      <c r="BB82" s="96" t="s">
        <v>65</v>
      </c>
      <c r="BC82" s="96" t="s">
        <v>65</v>
      </c>
      <c r="BD82" s="96" t="s">
        <v>65</v>
      </c>
      <c r="BE82" s="96" t="s">
        <v>65</v>
      </c>
      <c r="BF82" s="96" t="s">
        <v>65</v>
      </c>
      <c r="BG82" s="96" t="s">
        <v>65</v>
      </c>
      <c r="BH82" s="96" t="s">
        <v>65</v>
      </c>
      <c r="BI82" s="96" t="s">
        <v>65</v>
      </c>
      <c r="BJ82" s="96" t="s">
        <v>65</v>
      </c>
      <c r="BK82" s="96" t="s">
        <v>65</v>
      </c>
      <c r="BL82" s="96" t="s">
        <v>65</v>
      </c>
      <c r="BM82" s="96" t="s">
        <v>65</v>
      </c>
      <c r="BN82" s="96" t="s">
        <v>65</v>
      </c>
      <c r="BO82" s="96" t="s">
        <v>65</v>
      </c>
      <c r="BP82" s="96" t="s">
        <v>65</v>
      </c>
      <c r="BQ82" s="96" t="s">
        <v>65</v>
      </c>
      <c r="BR82" s="100" t="s">
        <v>65</v>
      </c>
    </row>
    <row r="83" spans="1:70" x14ac:dyDescent="0.25">
      <c r="A83" s="8" t="s">
        <v>141</v>
      </c>
      <c r="B83" s="9">
        <v>0</v>
      </c>
      <c r="C83" s="10">
        <v>0</v>
      </c>
      <c r="D83" s="9">
        <v>1</v>
      </c>
      <c r="E83" s="10">
        <v>4</v>
      </c>
      <c r="F83" s="9">
        <v>2</v>
      </c>
      <c r="G83" s="10">
        <v>9</v>
      </c>
      <c r="H83" s="9">
        <v>2</v>
      </c>
      <c r="I83" s="10">
        <v>9</v>
      </c>
      <c r="J83" s="9">
        <v>2</v>
      </c>
      <c r="K83" s="10">
        <v>22</v>
      </c>
      <c r="L83" s="9">
        <v>2</v>
      </c>
      <c r="M83" s="10">
        <v>25</v>
      </c>
      <c r="N83" s="9">
        <v>2</v>
      </c>
      <c r="O83" s="10">
        <v>25</v>
      </c>
      <c r="P83" s="9">
        <v>2</v>
      </c>
      <c r="Q83" s="10">
        <v>27</v>
      </c>
      <c r="R83" s="9">
        <v>2</v>
      </c>
      <c r="S83" s="63">
        <v>27</v>
      </c>
      <c r="T83" s="9">
        <v>2</v>
      </c>
      <c r="U83" s="10">
        <v>27</v>
      </c>
      <c r="V83" s="9">
        <v>2</v>
      </c>
      <c r="W83" s="10">
        <v>27</v>
      </c>
      <c r="X83" s="9">
        <v>2</v>
      </c>
      <c r="Y83" s="10"/>
      <c r="Z83" s="9">
        <v>2</v>
      </c>
      <c r="AA83" s="10"/>
      <c r="AB83" s="9">
        <v>2</v>
      </c>
      <c r="AC83" s="10"/>
      <c r="AD83" s="9">
        <v>2</v>
      </c>
      <c r="AE83" s="10"/>
      <c r="AF83" s="9">
        <v>2</v>
      </c>
      <c r="AG83" s="10"/>
      <c r="AH83" s="9">
        <v>2</v>
      </c>
      <c r="AI83" s="10"/>
      <c r="AJ83" s="9">
        <v>2</v>
      </c>
      <c r="AK83" s="10"/>
      <c r="AL83" s="9">
        <v>2</v>
      </c>
      <c r="AM83" s="10"/>
      <c r="AN83" s="9">
        <v>2</v>
      </c>
      <c r="AO83" s="10"/>
      <c r="AP83" s="9">
        <v>2</v>
      </c>
      <c r="AQ83" s="10"/>
      <c r="AR83" s="9">
        <v>2</v>
      </c>
      <c r="AS83" s="10"/>
      <c r="AT83" s="15">
        <v>1</v>
      </c>
      <c r="AU83" s="14"/>
      <c r="AV83" s="23">
        <f>C83-B83</f>
        <v>0</v>
      </c>
      <c r="AW83" s="10">
        <f>E83-D83</f>
        <v>3</v>
      </c>
      <c r="AX83" s="10">
        <f>G83-F83</f>
        <v>7</v>
      </c>
      <c r="AY83" s="10">
        <f>I83-H83</f>
        <v>7</v>
      </c>
      <c r="AZ83" s="10">
        <f>K83-J83</f>
        <v>20</v>
      </c>
      <c r="BA83" s="10">
        <f>M83-L83</f>
        <v>23</v>
      </c>
      <c r="BB83" s="10">
        <f>O83-N83</f>
        <v>23</v>
      </c>
      <c r="BC83" s="10">
        <f t="shared" ref="BC83:BC89" si="20">Q83-P83</f>
        <v>25</v>
      </c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25"/>
    </row>
    <row r="84" spans="1:70" x14ac:dyDescent="0.25">
      <c r="A84" s="101" t="s">
        <v>141</v>
      </c>
      <c r="B84" s="102">
        <v>0</v>
      </c>
      <c r="C84" s="103">
        <v>0</v>
      </c>
      <c r="D84" s="102">
        <v>2</v>
      </c>
      <c r="E84" s="103">
        <v>1</v>
      </c>
      <c r="F84" s="102">
        <v>5</v>
      </c>
      <c r="G84" s="103">
        <v>5</v>
      </c>
      <c r="H84" s="102">
        <v>12</v>
      </c>
      <c r="I84" s="103">
        <v>5</v>
      </c>
      <c r="J84" s="102">
        <v>12</v>
      </c>
      <c r="K84" s="103">
        <v>5</v>
      </c>
      <c r="L84" s="102">
        <v>12</v>
      </c>
      <c r="M84" s="103">
        <v>5</v>
      </c>
      <c r="N84" s="102">
        <v>12</v>
      </c>
      <c r="O84" s="103">
        <v>5</v>
      </c>
      <c r="P84" s="102">
        <v>12</v>
      </c>
      <c r="Q84" s="103">
        <v>5</v>
      </c>
      <c r="R84" s="102">
        <v>12</v>
      </c>
      <c r="S84" s="64">
        <v>5</v>
      </c>
      <c r="T84" s="102">
        <v>12</v>
      </c>
      <c r="U84" s="103">
        <v>5</v>
      </c>
      <c r="V84" s="102">
        <v>12</v>
      </c>
      <c r="W84" s="103">
        <v>5</v>
      </c>
      <c r="X84" s="102">
        <v>12</v>
      </c>
      <c r="Y84" s="103"/>
      <c r="Z84" s="102">
        <v>12</v>
      </c>
      <c r="AA84" s="103"/>
      <c r="AB84" s="102">
        <v>12</v>
      </c>
      <c r="AC84" s="103"/>
      <c r="AD84" s="102">
        <v>12</v>
      </c>
      <c r="AE84" s="103"/>
      <c r="AF84" s="102">
        <v>12</v>
      </c>
      <c r="AG84" s="103"/>
      <c r="AH84" s="102">
        <v>12</v>
      </c>
      <c r="AI84" s="103"/>
      <c r="AJ84" s="102">
        <v>12</v>
      </c>
      <c r="AK84" s="103"/>
      <c r="AL84" s="102">
        <v>12</v>
      </c>
      <c r="AM84" s="103"/>
      <c r="AN84" s="102">
        <v>12</v>
      </c>
      <c r="AO84" s="103"/>
      <c r="AP84" s="102">
        <v>12</v>
      </c>
      <c r="AQ84" s="103"/>
      <c r="AR84" s="102">
        <v>12</v>
      </c>
      <c r="AS84" s="103"/>
      <c r="AT84" s="116">
        <v>8</v>
      </c>
      <c r="AU84" s="104"/>
      <c r="AV84" s="105">
        <f t="shared" ref="AV84:AV89" si="21">C84-B84</f>
        <v>0</v>
      </c>
      <c r="AW84" s="103">
        <f t="shared" ref="AW84:AW89" si="22">E84-D84</f>
        <v>-1</v>
      </c>
      <c r="AX84" s="103">
        <f t="shared" ref="AX84:AX89" si="23">G84-F84</f>
        <v>0</v>
      </c>
      <c r="AY84" s="103">
        <f t="shared" ref="AY84:AY89" si="24">I84-H84</f>
        <v>-7</v>
      </c>
      <c r="AZ84" s="103">
        <f t="shared" ref="AZ84:AZ89" si="25">K84-J84</f>
        <v>-7</v>
      </c>
      <c r="BA84" s="103">
        <f t="shared" ref="BA84:BA89" si="26">M84-L84</f>
        <v>-7</v>
      </c>
      <c r="BB84" s="103">
        <f t="shared" ref="BB84:BB89" si="27">O84-N84</f>
        <v>-7</v>
      </c>
      <c r="BC84" s="103">
        <f t="shared" si="20"/>
        <v>-7</v>
      </c>
      <c r="BD84" s="103"/>
      <c r="BE84" s="103"/>
      <c r="BF84" s="103"/>
      <c r="BG84" s="103"/>
      <c r="BH84" s="103"/>
      <c r="BI84" s="103"/>
      <c r="BJ84" s="103"/>
      <c r="BK84" s="103"/>
      <c r="BL84" s="103"/>
      <c r="BM84" s="103"/>
      <c r="BN84" s="103"/>
      <c r="BO84" s="103"/>
      <c r="BP84" s="103"/>
      <c r="BQ84" s="103"/>
      <c r="BR84" s="104"/>
    </row>
    <row r="85" spans="1:70" x14ac:dyDescent="0.25">
      <c r="A85" s="8" t="s">
        <v>141</v>
      </c>
      <c r="B85" s="12">
        <v>0</v>
      </c>
      <c r="C85" s="13">
        <v>0</v>
      </c>
      <c r="D85" s="12">
        <v>0</v>
      </c>
      <c r="E85" s="13">
        <v>0</v>
      </c>
      <c r="F85" s="12">
        <v>3</v>
      </c>
      <c r="G85" s="13">
        <v>0</v>
      </c>
      <c r="H85" s="12">
        <v>5</v>
      </c>
      <c r="I85" s="13">
        <v>0</v>
      </c>
      <c r="J85" s="12">
        <v>7</v>
      </c>
      <c r="K85" s="13">
        <v>0</v>
      </c>
      <c r="L85" s="12">
        <v>7</v>
      </c>
      <c r="M85" s="13">
        <v>0</v>
      </c>
      <c r="N85" s="12">
        <v>7</v>
      </c>
      <c r="O85" s="13">
        <v>0</v>
      </c>
      <c r="P85" s="12">
        <v>7</v>
      </c>
      <c r="Q85" s="13">
        <v>0</v>
      </c>
      <c r="R85" s="12">
        <v>7</v>
      </c>
      <c r="S85" s="64"/>
      <c r="T85" s="12">
        <v>7</v>
      </c>
      <c r="U85" s="13"/>
      <c r="V85" s="12">
        <v>7</v>
      </c>
      <c r="W85" s="13"/>
      <c r="X85" s="12">
        <v>7</v>
      </c>
      <c r="Y85" s="13"/>
      <c r="Z85" s="12">
        <v>7</v>
      </c>
      <c r="AA85" s="13"/>
      <c r="AB85" s="12">
        <v>7</v>
      </c>
      <c r="AC85" s="13"/>
      <c r="AD85" s="12">
        <v>7</v>
      </c>
      <c r="AE85" s="13"/>
      <c r="AF85" s="12">
        <v>8</v>
      </c>
      <c r="AG85" s="13"/>
      <c r="AH85" s="12">
        <v>8</v>
      </c>
      <c r="AI85" s="13"/>
      <c r="AJ85" s="12">
        <v>8</v>
      </c>
      <c r="AK85" s="13"/>
      <c r="AL85" s="12">
        <v>8</v>
      </c>
      <c r="AM85" s="13"/>
      <c r="AN85" s="12">
        <v>8</v>
      </c>
      <c r="AO85" s="13"/>
      <c r="AP85" s="12">
        <v>8</v>
      </c>
      <c r="AQ85" s="13"/>
      <c r="AR85" s="12">
        <v>8</v>
      </c>
      <c r="AS85" s="13"/>
      <c r="AT85" s="15">
        <v>0</v>
      </c>
      <c r="AU85" s="14"/>
      <c r="AV85" s="24">
        <f t="shared" si="21"/>
        <v>0</v>
      </c>
      <c r="AW85" s="13">
        <f t="shared" si="22"/>
        <v>0</v>
      </c>
      <c r="AX85" s="13">
        <f t="shared" si="23"/>
        <v>-3</v>
      </c>
      <c r="AY85" s="13">
        <f t="shared" si="24"/>
        <v>-5</v>
      </c>
      <c r="AZ85" s="13">
        <f t="shared" si="25"/>
        <v>-7</v>
      </c>
      <c r="BA85" s="13">
        <f t="shared" si="26"/>
        <v>-7</v>
      </c>
      <c r="BB85" s="13">
        <f t="shared" si="27"/>
        <v>-7</v>
      </c>
      <c r="BC85" s="13">
        <f t="shared" si="20"/>
        <v>-7</v>
      </c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4"/>
    </row>
    <row r="86" spans="1:70" x14ac:dyDescent="0.25">
      <c r="A86" s="101" t="s">
        <v>141</v>
      </c>
      <c r="B86" s="102">
        <v>0</v>
      </c>
      <c r="C86" s="103">
        <v>0</v>
      </c>
      <c r="D86" s="102">
        <v>0</v>
      </c>
      <c r="E86" s="103">
        <v>1</v>
      </c>
      <c r="F86" s="102">
        <v>1</v>
      </c>
      <c r="G86" s="103">
        <v>2</v>
      </c>
      <c r="H86" s="102">
        <v>1</v>
      </c>
      <c r="I86" s="103">
        <v>2</v>
      </c>
      <c r="J86" s="102">
        <v>1</v>
      </c>
      <c r="K86" s="103">
        <v>2</v>
      </c>
      <c r="L86" s="102">
        <v>1</v>
      </c>
      <c r="M86" s="103">
        <v>2</v>
      </c>
      <c r="N86" s="102">
        <v>1</v>
      </c>
      <c r="O86" s="103">
        <v>2</v>
      </c>
      <c r="P86" s="102">
        <v>1</v>
      </c>
      <c r="Q86" s="103">
        <v>2</v>
      </c>
      <c r="R86" s="102">
        <v>1</v>
      </c>
      <c r="S86" s="64">
        <v>2</v>
      </c>
      <c r="T86" s="102">
        <v>1</v>
      </c>
      <c r="U86" s="103">
        <v>2</v>
      </c>
      <c r="V86" s="102">
        <v>1</v>
      </c>
      <c r="W86" s="103">
        <v>2</v>
      </c>
      <c r="X86" s="102">
        <v>1</v>
      </c>
      <c r="Y86" s="103"/>
      <c r="Z86" s="102">
        <v>1</v>
      </c>
      <c r="AA86" s="103"/>
      <c r="AB86" s="102">
        <v>1</v>
      </c>
      <c r="AC86" s="103"/>
      <c r="AD86" s="102">
        <v>1</v>
      </c>
      <c r="AE86" s="103"/>
      <c r="AF86" s="102">
        <v>1</v>
      </c>
      <c r="AG86" s="103"/>
      <c r="AH86" s="102">
        <v>1</v>
      </c>
      <c r="AI86" s="103"/>
      <c r="AJ86" s="102">
        <v>1</v>
      </c>
      <c r="AK86" s="103"/>
      <c r="AL86" s="102">
        <v>1</v>
      </c>
      <c r="AM86" s="103"/>
      <c r="AN86" s="102">
        <v>1</v>
      </c>
      <c r="AO86" s="103"/>
      <c r="AP86" s="102">
        <v>1</v>
      </c>
      <c r="AQ86" s="103"/>
      <c r="AR86" s="102">
        <v>1</v>
      </c>
      <c r="AS86" s="103"/>
      <c r="AT86" s="116">
        <v>1</v>
      </c>
      <c r="AU86" s="104"/>
      <c r="AV86" s="105">
        <f t="shared" si="21"/>
        <v>0</v>
      </c>
      <c r="AW86" s="103">
        <f t="shared" si="22"/>
        <v>1</v>
      </c>
      <c r="AX86" s="103">
        <f t="shared" si="23"/>
        <v>1</v>
      </c>
      <c r="AY86" s="103">
        <f t="shared" si="24"/>
        <v>1</v>
      </c>
      <c r="AZ86" s="103">
        <f t="shared" si="25"/>
        <v>1</v>
      </c>
      <c r="BA86" s="103">
        <f t="shared" si="26"/>
        <v>1</v>
      </c>
      <c r="BB86" s="103">
        <f t="shared" si="27"/>
        <v>1</v>
      </c>
      <c r="BC86" s="103">
        <f t="shared" si="20"/>
        <v>1</v>
      </c>
      <c r="BD86" s="103"/>
      <c r="BE86" s="103"/>
      <c r="BF86" s="103"/>
      <c r="BG86" s="103"/>
      <c r="BH86" s="103"/>
      <c r="BI86" s="103"/>
      <c r="BJ86" s="103"/>
      <c r="BK86" s="103"/>
      <c r="BL86" s="103"/>
      <c r="BM86" s="103"/>
      <c r="BN86" s="103"/>
      <c r="BO86" s="103"/>
      <c r="BP86" s="103"/>
      <c r="BQ86" s="103"/>
      <c r="BR86" s="104"/>
    </row>
    <row r="87" spans="1:70" x14ac:dyDescent="0.25">
      <c r="A87" s="8" t="s">
        <v>142</v>
      </c>
      <c r="B87" s="12">
        <v>0</v>
      </c>
      <c r="C87" s="13">
        <v>0</v>
      </c>
      <c r="D87" s="12">
        <v>0</v>
      </c>
      <c r="E87" s="13">
        <v>0</v>
      </c>
      <c r="F87" s="12">
        <v>0</v>
      </c>
      <c r="G87" s="13">
        <v>0</v>
      </c>
      <c r="H87" s="12">
        <v>1</v>
      </c>
      <c r="I87" s="13">
        <v>0</v>
      </c>
      <c r="J87" s="12">
        <v>1</v>
      </c>
      <c r="K87" s="13">
        <v>0</v>
      </c>
      <c r="L87" s="12">
        <v>1</v>
      </c>
      <c r="M87" s="13">
        <v>0</v>
      </c>
      <c r="N87" s="12">
        <v>1</v>
      </c>
      <c r="O87" s="13">
        <v>1</v>
      </c>
      <c r="P87" s="12">
        <v>1</v>
      </c>
      <c r="Q87" s="13">
        <v>1</v>
      </c>
      <c r="R87" s="12">
        <v>1</v>
      </c>
      <c r="S87" s="64">
        <v>1</v>
      </c>
      <c r="T87" s="12">
        <v>1</v>
      </c>
      <c r="U87" s="13">
        <v>1</v>
      </c>
      <c r="V87" s="12">
        <v>1</v>
      </c>
      <c r="W87" s="13">
        <v>1</v>
      </c>
      <c r="X87" s="12">
        <v>1</v>
      </c>
      <c r="Y87" s="13"/>
      <c r="Z87" s="12">
        <v>1</v>
      </c>
      <c r="AA87" s="13"/>
      <c r="AB87" s="12">
        <v>1</v>
      </c>
      <c r="AC87" s="13"/>
      <c r="AD87" s="12">
        <v>1</v>
      </c>
      <c r="AE87" s="13"/>
      <c r="AF87" s="12">
        <v>1</v>
      </c>
      <c r="AG87" s="13"/>
      <c r="AH87" s="12">
        <v>1</v>
      </c>
      <c r="AI87" s="13"/>
      <c r="AJ87" s="12">
        <v>1</v>
      </c>
      <c r="AK87" s="13"/>
      <c r="AL87" s="12">
        <v>1</v>
      </c>
      <c r="AM87" s="13"/>
      <c r="AN87" s="12">
        <v>1</v>
      </c>
      <c r="AO87" s="13"/>
      <c r="AP87" s="12">
        <v>1</v>
      </c>
      <c r="AQ87" s="13"/>
      <c r="AR87" s="12">
        <v>1</v>
      </c>
      <c r="AS87" s="13"/>
      <c r="AT87" s="15">
        <v>1</v>
      </c>
      <c r="AU87" s="14"/>
      <c r="AV87" s="24">
        <f t="shared" si="21"/>
        <v>0</v>
      </c>
      <c r="AW87" s="13">
        <f t="shared" si="22"/>
        <v>0</v>
      </c>
      <c r="AX87" s="13">
        <f t="shared" si="23"/>
        <v>0</v>
      </c>
      <c r="AY87" s="13">
        <f t="shared" si="24"/>
        <v>-1</v>
      </c>
      <c r="AZ87" s="13">
        <f t="shared" si="25"/>
        <v>-1</v>
      </c>
      <c r="BA87" s="13">
        <f t="shared" si="26"/>
        <v>-1</v>
      </c>
      <c r="BB87" s="13">
        <f t="shared" si="27"/>
        <v>0</v>
      </c>
      <c r="BC87" s="13">
        <f t="shared" si="20"/>
        <v>0</v>
      </c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4"/>
    </row>
    <row r="88" spans="1:70" x14ac:dyDescent="0.25">
      <c r="A88" s="101" t="s">
        <v>143</v>
      </c>
      <c r="B88" s="102">
        <v>0</v>
      </c>
      <c r="C88" s="103">
        <v>0</v>
      </c>
      <c r="D88" s="102">
        <v>0</v>
      </c>
      <c r="E88" s="103">
        <v>6</v>
      </c>
      <c r="F88" s="102">
        <v>7</v>
      </c>
      <c r="G88" s="103">
        <v>7</v>
      </c>
      <c r="H88" s="102">
        <v>8</v>
      </c>
      <c r="I88" s="103">
        <v>7</v>
      </c>
      <c r="J88" s="102">
        <v>8</v>
      </c>
      <c r="K88" s="103">
        <v>7</v>
      </c>
      <c r="L88" s="102">
        <v>8</v>
      </c>
      <c r="M88" s="103">
        <v>7</v>
      </c>
      <c r="N88" s="102">
        <v>8</v>
      </c>
      <c r="O88" s="103">
        <v>7</v>
      </c>
      <c r="P88" s="102">
        <v>8</v>
      </c>
      <c r="Q88" s="103">
        <v>9</v>
      </c>
      <c r="R88" s="102">
        <v>8</v>
      </c>
      <c r="S88" s="64">
        <v>10</v>
      </c>
      <c r="T88" s="102">
        <v>8</v>
      </c>
      <c r="U88" s="103">
        <v>11</v>
      </c>
      <c r="V88" s="102">
        <v>8</v>
      </c>
      <c r="W88" s="103">
        <v>11</v>
      </c>
      <c r="X88" s="102">
        <v>8</v>
      </c>
      <c r="Y88" s="103"/>
      <c r="Z88" s="102">
        <v>8</v>
      </c>
      <c r="AA88" s="103"/>
      <c r="AB88" s="102">
        <v>8</v>
      </c>
      <c r="AC88" s="103"/>
      <c r="AD88" s="102">
        <v>8</v>
      </c>
      <c r="AE88" s="103"/>
      <c r="AF88" s="102">
        <v>8</v>
      </c>
      <c r="AG88" s="103"/>
      <c r="AH88" s="102">
        <v>8</v>
      </c>
      <c r="AI88" s="103"/>
      <c r="AJ88" s="102">
        <v>8</v>
      </c>
      <c r="AK88" s="103"/>
      <c r="AL88" s="102">
        <v>8</v>
      </c>
      <c r="AM88" s="103"/>
      <c r="AN88" s="102">
        <v>8</v>
      </c>
      <c r="AO88" s="103"/>
      <c r="AP88" s="102">
        <v>8</v>
      </c>
      <c r="AQ88" s="103"/>
      <c r="AR88" s="102">
        <v>5</v>
      </c>
      <c r="AS88" s="103"/>
      <c r="AT88" s="116">
        <v>2</v>
      </c>
      <c r="AU88" s="104"/>
      <c r="AV88" s="105">
        <f t="shared" si="21"/>
        <v>0</v>
      </c>
      <c r="AW88" s="103">
        <f t="shared" si="22"/>
        <v>6</v>
      </c>
      <c r="AX88" s="103">
        <f t="shared" si="23"/>
        <v>0</v>
      </c>
      <c r="AY88" s="103">
        <f t="shared" si="24"/>
        <v>-1</v>
      </c>
      <c r="AZ88" s="103">
        <f t="shared" si="25"/>
        <v>-1</v>
      </c>
      <c r="BA88" s="103">
        <f t="shared" si="26"/>
        <v>-1</v>
      </c>
      <c r="BB88" s="103">
        <f t="shared" si="27"/>
        <v>-1</v>
      </c>
      <c r="BC88" s="103">
        <f t="shared" si="20"/>
        <v>1</v>
      </c>
      <c r="BD88" s="103"/>
      <c r="BE88" s="103"/>
      <c r="BF88" s="103"/>
      <c r="BG88" s="103"/>
      <c r="BH88" s="103"/>
      <c r="BI88" s="103"/>
      <c r="BJ88" s="103"/>
      <c r="BK88" s="103"/>
      <c r="BL88" s="103"/>
      <c r="BM88" s="103"/>
      <c r="BN88" s="103"/>
      <c r="BO88" s="103"/>
      <c r="BP88" s="103"/>
      <c r="BQ88" s="103"/>
      <c r="BR88" s="104"/>
    </row>
    <row r="89" spans="1:70" x14ac:dyDescent="0.25">
      <c r="A89" s="16" t="s">
        <v>144</v>
      </c>
      <c r="B89" s="17">
        <v>0</v>
      </c>
      <c r="C89" s="18">
        <v>0</v>
      </c>
      <c r="D89" s="17">
        <v>1</v>
      </c>
      <c r="E89" s="18">
        <v>1</v>
      </c>
      <c r="F89" s="17">
        <v>2</v>
      </c>
      <c r="G89" s="18">
        <v>2</v>
      </c>
      <c r="H89" s="17">
        <v>3</v>
      </c>
      <c r="I89" s="18">
        <v>2</v>
      </c>
      <c r="J89" s="17">
        <v>3</v>
      </c>
      <c r="K89" s="18">
        <v>2</v>
      </c>
      <c r="L89" s="17">
        <v>3</v>
      </c>
      <c r="M89" s="18">
        <v>2</v>
      </c>
      <c r="N89" s="17">
        <v>3</v>
      </c>
      <c r="O89" s="18">
        <v>2</v>
      </c>
      <c r="P89" s="17">
        <v>3</v>
      </c>
      <c r="Q89" s="18">
        <v>3</v>
      </c>
      <c r="R89" s="17">
        <v>3</v>
      </c>
      <c r="S89" s="65">
        <v>3</v>
      </c>
      <c r="T89" s="17">
        <v>3</v>
      </c>
      <c r="U89" s="18">
        <v>3</v>
      </c>
      <c r="V89" s="17">
        <v>3</v>
      </c>
      <c r="W89" s="18">
        <v>3</v>
      </c>
      <c r="X89" s="17">
        <v>3</v>
      </c>
      <c r="Y89" s="18"/>
      <c r="Z89" s="17">
        <v>3</v>
      </c>
      <c r="AA89" s="18"/>
      <c r="AB89" s="17">
        <v>3</v>
      </c>
      <c r="AC89" s="18"/>
      <c r="AD89" s="17">
        <v>3</v>
      </c>
      <c r="AE89" s="18"/>
      <c r="AF89" s="17">
        <v>3</v>
      </c>
      <c r="AG89" s="18"/>
      <c r="AH89" s="17">
        <v>3</v>
      </c>
      <c r="AI89" s="18"/>
      <c r="AJ89" s="17">
        <v>3</v>
      </c>
      <c r="AK89" s="18"/>
      <c r="AL89" s="17">
        <v>3</v>
      </c>
      <c r="AM89" s="18"/>
      <c r="AN89" s="17">
        <v>3</v>
      </c>
      <c r="AO89" s="18"/>
      <c r="AP89" s="17">
        <v>3</v>
      </c>
      <c r="AQ89" s="18"/>
      <c r="AR89" s="17">
        <v>3</v>
      </c>
      <c r="AS89" s="18"/>
      <c r="AT89" s="19">
        <v>2</v>
      </c>
      <c r="AU89" s="20"/>
      <c r="AV89" s="24">
        <f t="shared" si="21"/>
        <v>0</v>
      </c>
      <c r="AW89" s="13">
        <f t="shared" si="22"/>
        <v>0</v>
      </c>
      <c r="AX89" s="13">
        <f t="shared" si="23"/>
        <v>0</v>
      </c>
      <c r="AY89" s="13">
        <f t="shared" si="24"/>
        <v>-1</v>
      </c>
      <c r="AZ89" s="13">
        <f t="shared" si="25"/>
        <v>-1</v>
      </c>
      <c r="BA89" s="13">
        <f t="shared" si="26"/>
        <v>-1</v>
      </c>
      <c r="BB89" s="13">
        <f t="shared" si="27"/>
        <v>-1</v>
      </c>
      <c r="BC89" s="13">
        <f t="shared" si="20"/>
        <v>0</v>
      </c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4"/>
    </row>
    <row r="90" spans="1:70" x14ac:dyDescent="0.25">
      <c r="A90" s="111" t="s">
        <v>96</v>
      </c>
      <c r="B90" s="112">
        <f>SUM(B83:B89)</f>
        <v>0</v>
      </c>
      <c r="C90" s="112">
        <f t="shared" ref="C90:AU90" si="28">SUM(C83:C89)</f>
        <v>0</v>
      </c>
      <c r="D90" s="112">
        <f t="shared" si="28"/>
        <v>4</v>
      </c>
      <c r="E90" s="112">
        <f t="shared" si="28"/>
        <v>13</v>
      </c>
      <c r="F90" s="112">
        <f t="shared" si="28"/>
        <v>20</v>
      </c>
      <c r="G90" s="112">
        <f t="shared" si="28"/>
        <v>25</v>
      </c>
      <c r="H90" s="112">
        <f t="shared" si="28"/>
        <v>32</v>
      </c>
      <c r="I90" s="112">
        <f t="shared" si="28"/>
        <v>25</v>
      </c>
      <c r="J90" s="112">
        <f t="shared" si="28"/>
        <v>34</v>
      </c>
      <c r="K90" s="112">
        <f t="shared" si="28"/>
        <v>38</v>
      </c>
      <c r="L90" s="112">
        <f t="shared" si="28"/>
        <v>34</v>
      </c>
      <c r="M90" s="112">
        <f t="shared" si="28"/>
        <v>41</v>
      </c>
      <c r="N90" s="112">
        <f t="shared" si="28"/>
        <v>34</v>
      </c>
      <c r="O90" s="112">
        <f t="shared" si="28"/>
        <v>42</v>
      </c>
      <c r="P90" s="112">
        <f t="shared" si="28"/>
        <v>34</v>
      </c>
      <c r="Q90" s="112">
        <f t="shared" si="28"/>
        <v>47</v>
      </c>
      <c r="R90" s="112">
        <f t="shared" si="28"/>
        <v>34</v>
      </c>
      <c r="S90" s="112">
        <f t="shared" si="28"/>
        <v>48</v>
      </c>
      <c r="T90" s="112">
        <f t="shared" si="28"/>
        <v>34</v>
      </c>
      <c r="U90" s="112">
        <f t="shared" si="28"/>
        <v>49</v>
      </c>
      <c r="V90" s="112">
        <f t="shared" si="28"/>
        <v>34</v>
      </c>
      <c r="W90" s="112">
        <f t="shared" si="28"/>
        <v>49</v>
      </c>
      <c r="X90" s="112">
        <f t="shared" si="28"/>
        <v>34</v>
      </c>
      <c r="Y90" s="112">
        <f t="shared" si="28"/>
        <v>0</v>
      </c>
      <c r="Z90" s="112">
        <f t="shared" si="28"/>
        <v>34</v>
      </c>
      <c r="AA90" s="112">
        <f t="shared" si="28"/>
        <v>0</v>
      </c>
      <c r="AB90" s="112">
        <f t="shared" si="28"/>
        <v>34</v>
      </c>
      <c r="AC90" s="112">
        <f t="shared" si="28"/>
        <v>0</v>
      </c>
      <c r="AD90" s="112">
        <f t="shared" si="28"/>
        <v>34</v>
      </c>
      <c r="AE90" s="112">
        <f t="shared" si="28"/>
        <v>0</v>
      </c>
      <c r="AF90" s="112">
        <f t="shared" si="28"/>
        <v>35</v>
      </c>
      <c r="AG90" s="112">
        <f t="shared" si="28"/>
        <v>0</v>
      </c>
      <c r="AH90" s="112">
        <f t="shared" si="28"/>
        <v>35</v>
      </c>
      <c r="AI90" s="112">
        <f t="shared" si="28"/>
        <v>0</v>
      </c>
      <c r="AJ90" s="112">
        <f t="shared" si="28"/>
        <v>35</v>
      </c>
      <c r="AK90" s="112">
        <f t="shared" si="28"/>
        <v>0</v>
      </c>
      <c r="AL90" s="112">
        <f t="shared" si="28"/>
        <v>35</v>
      </c>
      <c r="AM90" s="112">
        <f t="shared" si="28"/>
        <v>0</v>
      </c>
      <c r="AN90" s="112">
        <f t="shared" si="28"/>
        <v>35</v>
      </c>
      <c r="AO90" s="112">
        <f t="shared" si="28"/>
        <v>0</v>
      </c>
      <c r="AP90" s="112">
        <f t="shared" si="28"/>
        <v>35</v>
      </c>
      <c r="AQ90" s="112">
        <f t="shared" si="28"/>
        <v>0</v>
      </c>
      <c r="AR90" s="112">
        <f t="shared" si="28"/>
        <v>32</v>
      </c>
      <c r="AS90" s="112">
        <f t="shared" si="28"/>
        <v>0</v>
      </c>
      <c r="AT90" s="112">
        <f t="shared" si="28"/>
        <v>15</v>
      </c>
      <c r="AU90" s="118">
        <f t="shared" si="28"/>
        <v>0</v>
      </c>
      <c r="AV90" s="119">
        <f>SUM(AV83:AV89)</f>
        <v>0</v>
      </c>
      <c r="AW90" s="120">
        <f t="shared" ref="AW90:BR90" si="29">SUM(AW83:AW89)</f>
        <v>9</v>
      </c>
      <c r="AX90" s="120">
        <f t="shared" si="29"/>
        <v>5</v>
      </c>
      <c r="AY90" s="120">
        <f t="shared" si="29"/>
        <v>-7</v>
      </c>
      <c r="AZ90" s="120">
        <f t="shared" si="29"/>
        <v>4</v>
      </c>
      <c r="BA90" s="120">
        <f t="shared" si="29"/>
        <v>7</v>
      </c>
      <c r="BB90" s="120">
        <f t="shared" si="29"/>
        <v>8</v>
      </c>
      <c r="BC90" s="120">
        <f t="shared" si="29"/>
        <v>13</v>
      </c>
      <c r="BD90" s="120">
        <f t="shared" si="29"/>
        <v>0</v>
      </c>
      <c r="BE90" s="120">
        <f t="shared" si="29"/>
        <v>0</v>
      </c>
      <c r="BF90" s="120">
        <f t="shared" si="29"/>
        <v>0</v>
      </c>
      <c r="BG90" s="120">
        <f t="shared" si="29"/>
        <v>0</v>
      </c>
      <c r="BH90" s="120">
        <f t="shared" si="29"/>
        <v>0</v>
      </c>
      <c r="BI90" s="120">
        <f t="shared" si="29"/>
        <v>0</v>
      </c>
      <c r="BJ90" s="120">
        <f t="shared" si="29"/>
        <v>0</v>
      </c>
      <c r="BK90" s="120">
        <f t="shared" si="29"/>
        <v>0</v>
      </c>
      <c r="BL90" s="120">
        <f t="shared" si="29"/>
        <v>0</v>
      </c>
      <c r="BM90" s="120">
        <f t="shared" si="29"/>
        <v>0</v>
      </c>
      <c r="BN90" s="120">
        <f t="shared" si="29"/>
        <v>0</v>
      </c>
      <c r="BO90" s="120">
        <f t="shared" si="29"/>
        <v>0</v>
      </c>
      <c r="BP90" s="120">
        <f t="shared" si="29"/>
        <v>0</v>
      </c>
      <c r="BQ90" s="120">
        <f t="shared" si="29"/>
        <v>0</v>
      </c>
      <c r="BR90" s="121">
        <f t="shared" si="29"/>
        <v>0</v>
      </c>
    </row>
    <row r="91" spans="1:70" x14ac:dyDescent="0.25">
      <c r="O91" s="15"/>
    </row>
    <row r="92" spans="1:70" x14ac:dyDescent="0.25">
      <c r="A92" s="206" t="s">
        <v>145</v>
      </c>
      <c r="B92" s="89">
        <v>45992</v>
      </c>
      <c r="C92" s="90"/>
      <c r="D92" s="89">
        <v>46023</v>
      </c>
      <c r="E92" s="90"/>
      <c r="F92" s="89">
        <v>46054</v>
      </c>
      <c r="G92" s="90"/>
      <c r="H92" s="89">
        <v>46082</v>
      </c>
      <c r="I92" s="90"/>
      <c r="J92" s="89">
        <v>46113</v>
      </c>
      <c r="K92" s="90"/>
      <c r="L92" s="89">
        <v>46143</v>
      </c>
      <c r="M92" s="90"/>
      <c r="N92" s="89">
        <v>46174</v>
      </c>
      <c r="O92" s="90"/>
      <c r="P92" s="89">
        <v>46204</v>
      </c>
      <c r="Q92" s="90"/>
      <c r="R92" s="89">
        <v>46235</v>
      </c>
      <c r="S92" s="90"/>
      <c r="T92" s="89">
        <v>46266</v>
      </c>
      <c r="U92" s="90"/>
      <c r="V92" s="89">
        <v>46296</v>
      </c>
      <c r="W92" s="90"/>
      <c r="X92" s="89">
        <v>46327</v>
      </c>
      <c r="Y92" s="90"/>
      <c r="Z92" s="89">
        <v>46357</v>
      </c>
      <c r="AA92" s="90"/>
      <c r="AB92" s="89">
        <v>46388</v>
      </c>
      <c r="AC92" s="90"/>
      <c r="AD92" s="89">
        <v>46419</v>
      </c>
      <c r="AE92" s="90"/>
      <c r="AF92" s="89">
        <v>46447</v>
      </c>
      <c r="AG92" s="90"/>
      <c r="AH92" s="89">
        <v>46478</v>
      </c>
      <c r="AI92" s="90"/>
      <c r="AJ92" s="89">
        <v>46508</v>
      </c>
      <c r="AK92" s="90"/>
      <c r="AL92" s="89">
        <v>46539</v>
      </c>
      <c r="AM92" s="90"/>
      <c r="AN92" s="89">
        <v>46569</v>
      </c>
      <c r="AO92" s="90"/>
      <c r="AP92" s="89">
        <v>46600</v>
      </c>
      <c r="AQ92" s="90"/>
      <c r="AR92" s="89">
        <v>46631</v>
      </c>
      <c r="AS92" s="90"/>
      <c r="AT92" s="89">
        <v>46661</v>
      </c>
      <c r="AU92" s="91"/>
      <c r="AV92" s="92">
        <v>45992</v>
      </c>
      <c r="AW92" s="93">
        <v>46023</v>
      </c>
      <c r="AX92" s="93">
        <v>46054</v>
      </c>
      <c r="AY92" s="93">
        <v>46082</v>
      </c>
      <c r="AZ92" s="93">
        <v>46113</v>
      </c>
      <c r="BA92" s="93">
        <v>46143</v>
      </c>
      <c r="BB92" s="93">
        <v>46174</v>
      </c>
      <c r="BC92" s="93">
        <v>46204</v>
      </c>
      <c r="BD92" s="93">
        <v>46235</v>
      </c>
      <c r="BE92" s="93">
        <v>46266</v>
      </c>
      <c r="BF92" s="93">
        <v>46296</v>
      </c>
      <c r="BG92" s="93">
        <v>46327</v>
      </c>
      <c r="BH92" s="93">
        <v>46357</v>
      </c>
      <c r="BI92" s="93">
        <v>46388</v>
      </c>
      <c r="BJ92" s="93">
        <v>46419</v>
      </c>
      <c r="BK92" s="93">
        <v>46447</v>
      </c>
      <c r="BL92" s="93">
        <v>46478</v>
      </c>
      <c r="BM92" s="93">
        <v>46508</v>
      </c>
      <c r="BN92" s="93">
        <v>46539</v>
      </c>
      <c r="BO92" s="93">
        <v>46569</v>
      </c>
      <c r="BP92" s="93">
        <v>46600</v>
      </c>
      <c r="BQ92" s="93">
        <v>46631</v>
      </c>
      <c r="BR92" s="94">
        <v>46661</v>
      </c>
    </row>
    <row r="93" spans="1:70" x14ac:dyDescent="0.25">
      <c r="A93" s="207"/>
      <c r="B93" s="96" t="s">
        <v>63</v>
      </c>
      <c r="C93" s="97" t="s">
        <v>64</v>
      </c>
      <c r="D93" s="96" t="s">
        <v>63</v>
      </c>
      <c r="E93" s="97" t="s">
        <v>64</v>
      </c>
      <c r="F93" s="96" t="s">
        <v>63</v>
      </c>
      <c r="G93" s="97" t="s">
        <v>64</v>
      </c>
      <c r="H93" s="96" t="s">
        <v>63</v>
      </c>
      <c r="I93" s="97" t="s">
        <v>64</v>
      </c>
      <c r="J93" s="96" t="s">
        <v>63</v>
      </c>
      <c r="K93" s="97" t="s">
        <v>64</v>
      </c>
      <c r="L93" s="96" t="s">
        <v>63</v>
      </c>
      <c r="M93" s="97" t="s">
        <v>64</v>
      </c>
      <c r="N93" s="96" t="s">
        <v>63</v>
      </c>
      <c r="O93" s="97" t="s">
        <v>64</v>
      </c>
      <c r="P93" s="96" t="s">
        <v>63</v>
      </c>
      <c r="Q93" s="97" t="s">
        <v>64</v>
      </c>
      <c r="R93" s="96" t="s">
        <v>63</v>
      </c>
      <c r="S93" s="97" t="s">
        <v>64</v>
      </c>
      <c r="T93" s="96" t="s">
        <v>63</v>
      </c>
      <c r="U93" s="97" t="s">
        <v>64</v>
      </c>
      <c r="V93" s="96" t="s">
        <v>63</v>
      </c>
      <c r="W93" s="97" t="s">
        <v>64</v>
      </c>
      <c r="X93" s="96" t="s">
        <v>63</v>
      </c>
      <c r="Y93" s="97" t="s">
        <v>64</v>
      </c>
      <c r="Z93" s="96" t="s">
        <v>63</v>
      </c>
      <c r="AA93" s="97" t="s">
        <v>64</v>
      </c>
      <c r="AB93" s="96" t="s">
        <v>63</v>
      </c>
      <c r="AC93" s="97" t="s">
        <v>64</v>
      </c>
      <c r="AD93" s="96" t="s">
        <v>63</v>
      </c>
      <c r="AE93" s="97" t="s">
        <v>64</v>
      </c>
      <c r="AF93" s="96" t="s">
        <v>63</v>
      </c>
      <c r="AG93" s="97" t="s">
        <v>64</v>
      </c>
      <c r="AH93" s="96" t="s">
        <v>63</v>
      </c>
      <c r="AI93" s="97" t="s">
        <v>64</v>
      </c>
      <c r="AJ93" s="96" t="s">
        <v>63</v>
      </c>
      <c r="AK93" s="97" t="s">
        <v>64</v>
      </c>
      <c r="AL93" s="96" t="s">
        <v>63</v>
      </c>
      <c r="AM93" s="97" t="s">
        <v>64</v>
      </c>
      <c r="AN93" s="96" t="s">
        <v>63</v>
      </c>
      <c r="AO93" s="97" t="s">
        <v>64</v>
      </c>
      <c r="AP93" s="96" t="s">
        <v>63</v>
      </c>
      <c r="AQ93" s="97" t="s">
        <v>64</v>
      </c>
      <c r="AR93" s="96" t="s">
        <v>63</v>
      </c>
      <c r="AS93" s="97" t="s">
        <v>64</v>
      </c>
      <c r="AT93" s="96" t="s">
        <v>63</v>
      </c>
      <c r="AU93" s="98" t="s">
        <v>64</v>
      </c>
      <c r="AV93" s="99" t="s">
        <v>65</v>
      </c>
      <c r="AW93" s="96" t="s">
        <v>65</v>
      </c>
      <c r="AX93" s="96" t="s">
        <v>65</v>
      </c>
      <c r="AY93" s="96" t="s">
        <v>65</v>
      </c>
      <c r="AZ93" s="96" t="s">
        <v>65</v>
      </c>
      <c r="BA93" s="96" t="s">
        <v>65</v>
      </c>
      <c r="BB93" s="96" t="s">
        <v>65</v>
      </c>
      <c r="BC93" s="96" t="s">
        <v>65</v>
      </c>
      <c r="BD93" s="96" t="s">
        <v>65</v>
      </c>
      <c r="BE93" s="96" t="s">
        <v>65</v>
      </c>
      <c r="BF93" s="96" t="s">
        <v>65</v>
      </c>
      <c r="BG93" s="96" t="s">
        <v>65</v>
      </c>
      <c r="BH93" s="96" t="s">
        <v>65</v>
      </c>
      <c r="BI93" s="96" t="s">
        <v>65</v>
      </c>
      <c r="BJ93" s="96" t="s">
        <v>65</v>
      </c>
      <c r="BK93" s="96" t="s">
        <v>65</v>
      </c>
      <c r="BL93" s="96" t="s">
        <v>65</v>
      </c>
      <c r="BM93" s="96" t="s">
        <v>65</v>
      </c>
      <c r="BN93" s="96" t="s">
        <v>65</v>
      </c>
      <c r="BO93" s="96" t="s">
        <v>65</v>
      </c>
      <c r="BP93" s="96" t="s">
        <v>65</v>
      </c>
      <c r="BQ93" s="96" t="s">
        <v>65</v>
      </c>
      <c r="BR93" s="100" t="s">
        <v>65</v>
      </c>
    </row>
    <row r="94" spans="1:70" x14ac:dyDescent="0.25">
      <c r="A94" s="101" t="s">
        <v>146</v>
      </c>
      <c r="B94" s="122">
        <v>0</v>
      </c>
      <c r="C94" s="123">
        <v>0</v>
      </c>
      <c r="D94" s="122">
        <v>0</v>
      </c>
      <c r="E94" s="123">
        <v>1</v>
      </c>
      <c r="F94" s="122">
        <v>1</v>
      </c>
      <c r="G94" s="123">
        <v>3</v>
      </c>
      <c r="H94" s="122">
        <v>3</v>
      </c>
      <c r="I94" s="123">
        <v>3</v>
      </c>
      <c r="J94" s="122">
        <v>3</v>
      </c>
      <c r="K94" s="123">
        <v>3</v>
      </c>
      <c r="L94" s="122">
        <v>3</v>
      </c>
      <c r="M94" s="123">
        <v>3</v>
      </c>
      <c r="N94" s="122">
        <v>3</v>
      </c>
      <c r="O94" s="123">
        <v>5</v>
      </c>
      <c r="P94" s="122">
        <v>3</v>
      </c>
      <c r="Q94" s="123">
        <v>7</v>
      </c>
      <c r="R94" s="122">
        <v>3</v>
      </c>
      <c r="S94" s="63">
        <v>7</v>
      </c>
      <c r="T94" s="122">
        <v>3</v>
      </c>
      <c r="U94" s="123">
        <v>7</v>
      </c>
      <c r="V94" s="122">
        <v>3</v>
      </c>
      <c r="W94" s="123">
        <v>7</v>
      </c>
      <c r="X94" s="122">
        <v>3</v>
      </c>
      <c r="Y94" s="123"/>
      <c r="Z94" s="122">
        <v>3</v>
      </c>
      <c r="AA94" s="123"/>
      <c r="AB94" s="122">
        <v>3</v>
      </c>
      <c r="AC94" s="123"/>
      <c r="AD94" s="122">
        <v>3</v>
      </c>
      <c r="AE94" s="123"/>
      <c r="AF94" s="122">
        <v>3</v>
      </c>
      <c r="AG94" s="123"/>
      <c r="AH94" s="122">
        <v>3</v>
      </c>
      <c r="AI94" s="123"/>
      <c r="AJ94" s="122">
        <v>3</v>
      </c>
      <c r="AK94" s="123"/>
      <c r="AL94" s="122">
        <v>3</v>
      </c>
      <c r="AM94" s="123"/>
      <c r="AN94" s="122">
        <v>3</v>
      </c>
      <c r="AO94" s="123"/>
      <c r="AP94" s="122">
        <v>3</v>
      </c>
      <c r="AQ94" s="123"/>
      <c r="AR94" s="122">
        <v>3</v>
      </c>
      <c r="AS94" s="123"/>
      <c r="AT94" s="116">
        <v>0</v>
      </c>
      <c r="AU94" s="124"/>
      <c r="AV94" s="125">
        <f>C94-B94</f>
        <v>0</v>
      </c>
      <c r="AW94" s="116">
        <f>E94-D94</f>
        <v>1</v>
      </c>
      <c r="AX94" s="116">
        <f>G94-F94</f>
        <v>2</v>
      </c>
      <c r="AY94" s="116">
        <f>I94-H94</f>
        <v>0</v>
      </c>
      <c r="AZ94" s="116">
        <f>K94-J94</f>
        <v>0</v>
      </c>
      <c r="BA94" s="116">
        <f>M94-L94</f>
        <v>0</v>
      </c>
      <c r="BB94" s="116">
        <f>O94-N94</f>
        <v>2</v>
      </c>
      <c r="BC94" s="116">
        <f t="shared" ref="BC94:BC115" si="30">Q94-P94</f>
        <v>4</v>
      </c>
      <c r="BD94" s="116"/>
      <c r="BE94" s="116"/>
      <c r="BF94" s="116"/>
      <c r="BG94" s="116"/>
      <c r="BH94" s="116"/>
      <c r="BI94" s="116"/>
      <c r="BJ94" s="116"/>
      <c r="BK94" s="116"/>
      <c r="BL94" s="116"/>
      <c r="BM94" s="116"/>
      <c r="BN94" s="116"/>
      <c r="BO94" s="116"/>
      <c r="BP94" s="116"/>
      <c r="BQ94" s="116"/>
      <c r="BR94" s="104"/>
    </row>
    <row r="95" spans="1:70" x14ac:dyDescent="0.25">
      <c r="A95" s="8" t="s">
        <v>147</v>
      </c>
      <c r="B95" s="12">
        <v>0</v>
      </c>
      <c r="C95" s="13">
        <v>0</v>
      </c>
      <c r="D95" s="12">
        <v>1</v>
      </c>
      <c r="E95" s="13">
        <v>1</v>
      </c>
      <c r="F95" s="12">
        <v>2</v>
      </c>
      <c r="G95" s="13">
        <v>1</v>
      </c>
      <c r="H95" s="12">
        <v>5</v>
      </c>
      <c r="I95" s="13">
        <v>2</v>
      </c>
      <c r="J95" s="12">
        <v>5</v>
      </c>
      <c r="K95" s="13">
        <v>3</v>
      </c>
      <c r="L95" s="12">
        <v>5</v>
      </c>
      <c r="M95" s="13">
        <v>3</v>
      </c>
      <c r="N95" s="12">
        <v>5</v>
      </c>
      <c r="O95" s="13">
        <v>5</v>
      </c>
      <c r="P95" s="12">
        <v>5</v>
      </c>
      <c r="Q95" s="13">
        <v>5</v>
      </c>
      <c r="R95" s="12">
        <v>5</v>
      </c>
      <c r="S95" s="64">
        <v>5</v>
      </c>
      <c r="T95" s="12">
        <v>5</v>
      </c>
      <c r="U95" s="13">
        <v>5</v>
      </c>
      <c r="V95" s="12">
        <v>5</v>
      </c>
      <c r="W95" s="13">
        <v>5</v>
      </c>
      <c r="X95" s="12">
        <v>5</v>
      </c>
      <c r="Y95" s="13"/>
      <c r="Z95" s="12">
        <v>5</v>
      </c>
      <c r="AA95" s="13"/>
      <c r="AB95" s="12">
        <v>5</v>
      </c>
      <c r="AC95" s="13"/>
      <c r="AD95" s="12">
        <v>5</v>
      </c>
      <c r="AE95" s="13"/>
      <c r="AF95" s="12">
        <v>5</v>
      </c>
      <c r="AG95" s="13"/>
      <c r="AH95" s="12">
        <v>5</v>
      </c>
      <c r="AI95" s="13"/>
      <c r="AJ95" s="12">
        <v>5</v>
      </c>
      <c r="AK95" s="13"/>
      <c r="AL95" s="12">
        <v>5</v>
      </c>
      <c r="AM95" s="13"/>
      <c r="AN95" s="12">
        <v>5</v>
      </c>
      <c r="AO95" s="13"/>
      <c r="AP95" s="12">
        <v>5</v>
      </c>
      <c r="AQ95" s="13"/>
      <c r="AR95" s="12">
        <v>5</v>
      </c>
      <c r="AS95" s="13"/>
      <c r="AT95" s="15">
        <v>0</v>
      </c>
      <c r="AU95" s="21"/>
      <c r="AV95" s="26">
        <f t="shared" ref="AV95:AV115" si="31">C95-B95</f>
        <v>0</v>
      </c>
      <c r="AW95" s="15">
        <f t="shared" ref="AW95:AW115" si="32">E95-D95</f>
        <v>0</v>
      </c>
      <c r="AX95" s="15">
        <f t="shared" ref="AX95:AX115" si="33">G95-F95</f>
        <v>-1</v>
      </c>
      <c r="AY95" s="15">
        <f t="shared" ref="AY95:AY115" si="34">I95-H95</f>
        <v>-3</v>
      </c>
      <c r="AZ95" s="15">
        <f t="shared" ref="AZ95:AZ115" si="35">K95-J95</f>
        <v>-2</v>
      </c>
      <c r="BA95" s="15">
        <f t="shared" ref="BA95:BA115" si="36">M95-L95</f>
        <v>-2</v>
      </c>
      <c r="BB95" s="15">
        <f t="shared" ref="BB95:BB115" si="37">O95-N95</f>
        <v>0</v>
      </c>
      <c r="BC95" s="15">
        <f t="shared" si="30"/>
        <v>0</v>
      </c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4"/>
    </row>
    <row r="96" spans="1:70" x14ac:dyDescent="0.25">
      <c r="A96" s="101" t="s">
        <v>148</v>
      </c>
      <c r="B96" s="102">
        <v>0</v>
      </c>
      <c r="C96" s="103">
        <v>0</v>
      </c>
      <c r="D96" s="102">
        <v>0</v>
      </c>
      <c r="E96" s="103">
        <v>1</v>
      </c>
      <c r="F96" s="102">
        <v>3</v>
      </c>
      <c r="G96" s="103">
        <v>1</v>
      </c>
      <c r="H96" s="102">
        <v>4</v>
      </c>
      <c r="I96" s="103">
        <v>1</v>
      </c>
      <c r="J96" s="102">
        <v>5</v>
      </c>
      <c r="K96" s="103">
        <v>1</v>
      </c>
      <c r="L96" s="102">
        <v>5</v>
      </c>
      <c r="M96" s="103">
        <v>5</v>
      </c>
      <c r="N96" s="102">
        <v>5</v>
      </c>
      <c r="O96" s="103">
        <v>5</v>
      </c>
      <c r="P96" s="102">
        <v>5</v>
      </c>
      <c r="Q96" s="103">
        <v>7</v>
      </c>
      <c r="R96" s="102">
        <v>5</v>
      </c>
      <c r="S96" s="64">
        <v>6</v>
      </c>
      <c r="T96" s="102">
        <v>5</v>
      </c>
      <c r="U96" s="103">
        <v>6</v>
      </c>
      <c r="V96" s="102">
        <v>5</v>
      </c>
      <c r="W96" s="103">
        <v>6</v>
      </c>
      <c r="X96" s="102">
        <v>5</v>
      </c>
      <c r="Y96" s="103"/>
      <c r="Z96" s="102">
        <v>5</v>
      </c>
      <c r="AA96" s="103"/>
      <c r="AB96" s="102">
        <v>5</v>
      </c>
      <c r="AC96" s="103"/>
      <c r="AD96" s="102">
        <v>5</v>
      </c>
      <c r="AE96" s="103"/>
      <c r="AF96" s="102">
        <v>5</v>
      </c>
      <c r="AG96" s="103"/>
      <c r="AH96" s="102">
        <v>5</v>
      </c>
      <c r="AI96" s="103"/>
      <c r="AJ96" s="102">
        <v>5</v>
      </c>
      <c r="AK96" s="103"/>
      <c r="AL96" s="102">
        <v>5</v>
      </c>
      <c r="AM96" s="103"/>
      <c r="AN96" s="102">
        <v>5</v>
      </c>
      <c r="AO96" s="103"/>
      <c r="AP96" s="102">
        <v>5</v>
      </c>
      <c r="AQ96" s="103"/>
      <c r="AR96" s="102">
        <v>5</v>
      </c>
      <c r="AS96" s="103"/>
      <c r="AT96" s="116">
        <v>2</v>
      </c>
      <c r="AU96" s="124"/>
      <c r="AV96" s="125">
        <f t="shared" si="31"/>
        <v>0</v>
      </c>
      <c r="AW96" s="116">
        <f t="shared" si="32"/>
        <v>1</v>
      </c>
      <c r="AX96" s="116">
        <f t="shared" si="33"/>
        <v>-2</v>
      </c>
      <c r="AY96" s="116">
        <f t="shared" si="34"/>
        <v>-3</v>
      </c>
      <c r="AZ96" s="116">
        <f t="shared" si="35"/>
        <v>-4</v>
      </c>
      <c r="BA96" s="116">
        <f t="shared" si="36"/>
        <v>0</v>
      </c>
      <c r="BB96" s="116">
        <f t="shared" si="37"/>
        <v>0</v>
      </c>
      <c r="BC96" s="116">
        <f t="shared" si="30"/>
        <v>2</v>
      </c>
      <c r="BD96" s="116"/>
      <c r="BE96" s="116"/>
      <c r="BF96" s="116"/>
      <c r="BG96" s="116"/>
      <c r="BH96" s="116"/>
      <c r="BI96" s="116"/>
      <c r="BJ96" s="116"/>
      <c r="BK96" s="116"/>
      <c r="BL96" s="116"/>
      <c r="BM96" s="116"/>
      <c r="BN96" s="116"/>
      <c r="BO96" s="116"/>
      <c r="BP96" s="116"/>
      <c r="BQ96" s="116"/>
      <c r="BR96" s="104"/>
    </row>
    <row r="97" spans="1:70" x14ac:dyDescent="0.25">
      <c r="A97" s="8" t="s">
        <v>149</v>
      </c>
      <c r="B97" s="12">
        <v>0</v>
      </c>
      <c r="C97" s="13">
        <v>0</v>
      </c>
      <c r="D97" s="12">
        <v>0</v>
      </c>
      <c r="E97" s="13">
        <v>1</v>
      </c>
      <c r="F97" s="12">
        <v>1</v>
      </c>
      <c r="G97" s="13">
        <v>1</v>
      </c>
      <c r="H97" s="12">
        <v>2</v>
      </c>
      <c r="I97" s="13">
        <v>2</v>
      </c>
      <c r="J97" s="12">
        <v>2</v>
      </c>
      <c r="K97" s="13">
        <v>2</v>
      </c>
      <c r="L97" s="12">
        <v>2</v>
      </c>
      <c r="M97" s="13">
        <v>2</v>
      </c>
      <c r="N97" s="12">
        <v>2</v>
      </c>
      <c r="O97" s="13">
        <v>2</v>
      </c>
      <c r="P97" s="12">
        <v>2</v>
      </c>
      <c r="Q97" s="13">
        <v>1</v>
      </c>
      <c r="R97" s="12">
        <v>2</v>
      </c>
      <c r="S97" s="64">
        <v>1</v>
      </c>
      <c r="T97" s="12">
        <v>2</v>
      </c>
      <c r="U97" s="13">
        <v>1</v>
      </c>
      <c r="V97" s="12">
        <v>2</v>
      </c>
      <c r="W97" s="13">
        <v>1</v>
      </c>
      <c r="X97" s="12">
        <v>2</v>
      </c>
      <c r="Y97" s="13"/>
      <c r="Z97" s="12">
        <v>2</v>
      </c>
      <c r="AA97" s="13"/>
      <c r="AB97" s="12">
        <v>2</v>
      </c>
      <c r="AC97" s="13"/>
      <c r="AD97" s="12">
        <v>2</v>
      </c>
      <c r="AE97" s="13"/>
      <c r="AF97" s="12">
        <v>2</v>
      </c>
      <c r="AG97" s="13"/>
      <c r="AH97" s="12">
        <v>2</v>
      </c>
      <c r="AI97" s="13"/>
      <c r="AJ97" s="12">
        <v>2</v>
      </c>
      <c r="AK97" s="13"/>
      <c r="AL97" s="12">
        <v>2</v>
      </c>
      <c r="AM97" s="13"/>
      <c r="AN97" s="12">
        <v>2</v>
      </c>
      <c r="AO97" s="13"/>
      <c r="AP97" s="12">
        <v>2</v>
      </c>
      <c r="AQ97" s="13"/>
      <c r="AR97" s="12">
        <v>2</v>
      </c>
      <c r="AS97" s="13"/>
      <c r="AT97" s="15">
        <v>1</v>
      </c>
      <c r="AU97" s="21"/>
      <c r="AV97" s="26">
        <f t="shared" si="31"/>
        <v>0</v>
      </c>
      <c r="AW97" s="15">
        <f t="shared" si="32"/>
        <v>1</v>
      </c>
      <c r="AX97" s="15">
        <f t="shared" si="33"/>
        <v>0</v>
      </c>
      <c r="AY97" s="15">
        <f t="shared" si="34"/>
        <v>0</v>
      </c>
      <c r="AZ97" s="15">
        <f t="shared" si="35"/>
        <v>0</v>
      </c>
      <c r="BA97" s="15">
        <f t="shared" si="36"/>
        <v>0</v>
      </c>
      <c r="BB97" s="15">
        <f t="shared" si="37"/>
        <v>0</v>
      </c>
      <c r="BC97" s="15">
        <f t="shared" si="30"/>
        <v>-1</v>
      </c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4"/>
    </row>
    <row r="98" spans="1:70" x14ac:dyDescent="0.25">
      <c r="A98" s="101" t="s">
        <v>150</v>
      </c>
      <c r="B98" s="102">
        <v>0</v>
      </c>
      <c r="C98" s="103">
        <v>0</v>
      </c>
      <c r="D98" s="102">
        <v>0</v>
      </c>
      <c r="E98" s="103">
        <v>0</v>
      </c>
      <c r="F98" s="102">
        <v>1</v>
      </c>
      <c r="G98" s="103">
        <v>0</v>
      </c>
      <c r="H98" s="102">
        <v>1</v>
      </c>
      <c r="I98" s="103">
        <v>0</v>
      </c>
      <c r="J98" s="102">
        <v>1</v>
      </c>
      <c r="K98" s="103">
        <v>0</v>
      </c>
      <c r="L98" s="102">
        <v>1</v>
      </c>
      <c r="M98" s="103">
        <v>0</v>
      </c>
      <c r="N98" s="102">
        <v>1</v>
      </c>
      <c r="O98" s="103">
        <v>0</v>
      </c>
      <c r="P98" s="102">
        <v>1</v>
      </c>
      <c r="Q98" s="103">
        <v>0</v>
      </c>
      <c r="R98" s="102">
        <v>1</v>
      </c>
      <c r="S98" s="64">
        <v>1</v>
      </c>
      <c r="T98" s="102">
        <v>1</v>
      </c>
      <c r="U98" s="103">
        <v>1</v>
      </c>
      <c r="V98" s="102">
        <v>1</v>
      </c>
      <c r="W98" s="103">
        <v>1</v>
      </c>
      <c r="X98" s="102">
        <v>1</v>
      </c>
      <c r="Y98" s="103"/>
      <c r="Z98" s="102">
        <v>1</v>
      </c>
      <c r="AA98" s="103"/>
      <c r="AB98" s="102">
        <v>1</v>
      </c>
      <c r="AC98" s="103"/>
      <c r="AD98" s="102">
        <v>1</v>
      </c>
      <c r="AE98" s="103"/>
      <c r="AF98" s="102">
        <v>1</v>
      </c>
      <c r="AG98" s="103"/>
      <c r="AH98" s="102">
        <v>1</v>
      </c>
      <c r="AI98" s="103"/>
      <c r="AJ98" s="102">
        <v>1</v>
      </c>
      <c r="AK98" s="103"/>
      <c r="AL98" s="102">
        <v>1</v>
      </c>
      <c r="AM98" s="103"/>
      <c r="AN98" s="102">
        <v>1</v>
      </c>
      <c r="AO98" s="103"/>
      <c r="AP98" s="102">
        <v>1</v>
      </c>
      <c r="AQ98" s="103"/>
      <c r="AR98" s="102">
        <v>1</v>
      </c>
      <c r="AS98" s="103"/>
      <c r="AT98" s="116">
        <v>0</v>
      </c>
      <c r="AU98" s="124"/>
      <c r="AV98" s="125">
        <f t="shared" si="31"/>
        <v>0</v>
      </c>
      <c r="AW98" s="116">
        <f t="shared" si="32"/>
        <v>0</v>
      </c>
      <c r="AX98" s="116">
        <f t="shared" si="33"/>
        <v>-1</v>
      </c>
      <c r="AY98" s="116">
        <f t="shared" si="34"/>
        <v>-1</v>
      </c>
      <c r="AZ98" s="116">
        <f t="shared" si="35"/>
        <v>-1</v>
      </c>
      <c r="BA98" s="116">
        <f t="shared" si="36"/>
        <v>-1</v>
      </c>
      <c r="BB98" s="116">
        <f t="shared" si="37"/>
        <v>-1</v>
      </c>
      <c r="BC98" s="116">
        <f t="shared" si="30"/>
        <v>-1</v>
      </c>
      <c r="BD98" s="116"/>
      <c r="BE98" s="116"/>
      <c r="BF98" s="116"/>
      <c r="BG98" s="116"/>
      <c r="BH98" s="116"/>
      <c r="BI98" s="116"/>
      <c r="BJ98" s="116"/>
      <c r="BK98" s="116"/>
      <c r="BL98" s="116"/>
      <c r="BM98" s="116"/>
      <c r="BN98" s="116"/>
      <c r="BO98" s="116"/>
      <c r="BP98" s="116"/>
      <c r="BQ98" s="116"/>
      <c r="BR98" s="104"/>
    </row>
    <row r="99" spans="1:70" x14ac:dyDescent="0.25">
      <c r="A99" s="8" t="s">
        <v>150</v>
      </c>
      <c r="B99" s="12">
        <v>0</v>
      </c>
      <c r="C99" s="13">
        <v>0</v>
      </c>
      <c r="D99" s="12">
        <v>0</v>
      </c>
      <c r="E99" s="13">
        <v>1</v>
      </c>
      <c r="F99" s="12">
        <v>1</v>
      </c>
      <c r="G99" s="13">
        <v>1</v>
      </c>
      <c r="H99" s="12">
        <v>1</v>
      </c>
      <c r="I99" s="13">
        <v>2</v>
      </c>
      <c r="J99" s="12">
        <v>1</v>
      </c>
      <c r="K99" s="13">
        <v>2</v>
      </c>
      <c r="L99" s="12">
        <v>1</v>
      </c>
      <c r="M99" s="13">
        <v>2</v>
      </c>
      <c r="N99" s="12">
        <v>1</v>
      </c>
      <c r="O99" s="13">
        <v>2</v>
      </c>
      <c r="P99" s="12">
        <v>1</v>
      </c>
      <c r="Q99" s="13">
        <v>2</v>
      </c>
      <c r="R99" s="12">
        <v>1</v>
      </c>
      <c r="S99" s="64">
        <v>2</v>
      </c>
      <c r="T99" s="12">
        <v>1</v>
      </c>
      <c r="U99" s="13">
        <v>2</v>
      </c>
      <c r="V99" s="12">
        <v>1</v>
      </c>
      <c r="W99" s="13">
        <v>2</v>
      </c>
      <c r="X99" s="12">
        <v>1</v>
      </c>
      <c r="Y99" s="13"/>
      <c r="Z99" s="12">
        <v>1</v>
      </c>
      <c r="AA99" s="13"/>
      <c r="AB99" s="12">
        <v>1</v>
      </c>
      <c r="AC99" s="13"/>
      <c r="AD99" s="12">
        <v>1</v>
      </c>
      <c r="AE99" s="13"/>
      <c r="AF99" s="12">
        <v>1</v>
      </c>
      <c r="AG99" s="13"/>
      <c r="AH99" s="12">
        <v>1</v>
      </c>
      <c r="AI99" s="13"/>
      <c r="AJ99" s="12">
        <v>1</v>
      </c>
      <c r="AK99" s="13"/>
      <c r="AL99" s="12">
        <v>1</v>
      </c>
      <c r="AM99" s="13"/>
      <c r="AN99" s="12">
        <v>1</v>
      </c>
      <c r="AO99" s="13"/>
      <c r="AP99" s="12">
        <v>1</v>
      </c>
      <c r="AQ99" s="13"/>
      <c r="AR99" s="12">
        <v>0</v>
      </c>
      <c r="AS99" s="13"/>
      <c r="AT99" s="15">
        <v>0</v>
      </c>
      <c r="AU99" s="21"/>
      <c r="AV99" s="26">
        <f t="shared" si="31"/>
        <v>0</v>
      </c>
      <c r="AW99" s="15">
        <f t="shared" si="32"/>
        <v>1</v>
      </c>
      <c r="AX99" s="15">
        <f t="shared" si="33"/>
        <v>0</v>
      </c>
      <c r="AY99" s="15">
        <f t="shared" si="34"/>
        <v>1</v>
      </c>
      <c r="AZ99" s="15">
        <f t="shared" si="35"/>
        <v>1</v>
      </c>
      <c r="BA99" s="15">
        <f t="shared" si="36"/>
        <v>1</v>
      </c>
      <c r="BB99" s="15">
        <f t="shared" si="37"/>
        <v>1</v>
      </c>
      <c r="BC99" s="15">
        <f t="shared" si="30"/>
        <v>1</v>
      </c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4"/>
    </row>
    <row r="100" spans="1:70" x14ac:dyDescent="0.25">
      <c r="A100" s="126" t="s">
        <v>151</v>
      </c>
      <c r="B100" s="127">
        <v>0</v>
      </c>
      <c r="C100" s="66">
        <v>0</v>
      </c>
      <c r="D100" s="127">
        <v>0</v>
      </c>
      <c r="E100" s="66">
        <v>1</v>
      </c>
      <c r="F100" s="127">
        <v>0</v>
      </c>
      <c r="G100" s="66">
        <v>2</v>
      </c>
      <c r="H100" s="127">
        <v>0</v>
      </c>
      <c r="I100" s="66">
        <v>3</v>
      </c>
      <c r="J100" s="127">
        <v>0</v>
      </c>
      <c r="K100" s="66">
        <v>5</v>
      </c>
      <c r="L100" s="127">
        <v>0</v>
      </c>
      <c r="M100" s="66">
        <v>5</v>
      </c>
      <c r="N100" s="127">
        <v>0</v>
      </c>
      <c r="O100" s="66">
        <v>5</v>
      </c>
      <c r="P100" s="127">
        <v>0</v>
      </c>
      <c r="Q100" s="66">
        <v>5</v>
      </c>
      <c r="R100" s="127">
        <v>0</v>
      </c>
      <c r="S100" s="64">
        <v>7</v>
      </c>
      <c r="T100" s="127">
        <v>0</v>
      </c>
      <c r="U100" s="66">
        <v>7</v>
      </c>
      <c r="V100" s="127">
        <v>0</v>
      </c>
      <c r="W100" s="66">
        <v>7</v>
      </c>
      <c r="X100" s="127">
        <v>0</v>
      </c>
      <c r="Y100" s="66"/>
      <c r="Z100" s="127">
        <v>0</v>
      </c>
      <c r="AA100" s="66"/>
      <c r="AB100" s="127">
        <v>0</v>
      </c>
      <c r="AC100" s="66"/>
      <c r="AD100" s="127">
        <v>0</v>
      </c>
      <c r="AE100" s="66"/>
      <c r="AF100" s="127">
        <v>0</v>
      </c>
      <c r="AG100" s="66"/>
      <c r="AH100" s="127">
        <v>0</v>
      </c>
      <c r="AI100" s="66"/>
      <c r="AJ100" s="127">
        <v>0</v>
      </c>
      <c r="AK100" s="66"/>
      <c r="AL100" s="127">
        <v>0</v>
      </c>
      <c r="AM100" s="66"/>
      <c r="AN100" s="127">
        <v>0</v>
      </c>
      <c r="AO100" s="66"/>
      <c r="AP100" s="127">
        <v>0</v>
      </c>
      <c r="AQ100" s="66"/>
      <c r="AR100" s="127">
        <v>0</v>
      </c>
      <c r="AS100" s="66"/>
      <c r="AT100" s="128">
        <v>0</v>
      </c>
      <c r="AU100" s="129"/>
      <c r="AV100" s="130">
        <f t="shared" si="31"/>
        <v>0</v>
      </c>
      <c r="AW100" s="128">
        <f t="shared" si="32"/>
        <v>1</v>
      </c>
      <c r="AX100" s="128">
        <f t="shared" si="33"/>
        <v>2</v>
      </c>
      <c r="AY100" s="128">
        <f t="shared" si="34"/>
        <v>3</v>
      </c>
      <c r="AZ100" s="128">
        <f t="shared" si="35"/>
        <v>5</v>
      </c>
      <c r="BA100" s="128">
        <f t="shared" si="36"/>
        <v>5</v>
      </c>
      <c r="BB100" s="128">
        <f t="shared" si="37"/>
        <v>5</v>
      </c>
      <c r="BC100" s="128">
        <f t="shared" si="30"/>
        <v>5</v>
      </c>
      <c r="BD100" s="128"/>
      <c r="BE100" s="128"/>
      <c r="BF100" s="128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31"/>
    </row>
    <row r="101" spans="1:70" x14ac:dyDescent="0.25">
      <c r="A101" s="8" t="s">
        <v>152</v>
      </c>
      <c r="B101" s="12">
        <v>0</v>
      </c>
      <c r="C101" s="13">
        <v>0</v>
      </c>
      <c r="D101" s="12">
        <v>0</v>
      </c>
      <c r="E101" s="13">
        <v>0</v>
      </c>
      <c r="F101" s="12">
        <v>1</v>
      </c>
      <c r="G101" s="13">
        <v>0</v>
      </c>
      <c r="H101" s="12">
        <v>1</v>
      </c>
      <c r="I101" s="13">
        <v>0</v>
      </c>
      <c r="J101" s="12">
        <v>1</v>
      </c>
      <c r="K101" s="13">
        <v>0</v>
      </c>
      <c r="L101" s="12">
        <v>1</v>
      </c>
      <c r="M101" s="13">
        <v>0</v>
      </c>
      <c r="N101" s="12">
        <v>1</v>
      </c>
      <c r="O101" s="13">
        <v>1</v>
      </c>
      <c r="P101" s="12">
        <v>1</v>
      </c>
      <c r="Q101" s="13">
        <v>1</v>
      </c>
      <c r="R101" s="12">
        <v>1</v>
      </c>
      <c r="S101" s="64">
        <v>1</v>
      </c>
      <c r="T101" s="12">
        <v>1</v>
      </c>
      <c r="U101" s="13">
        <v>1</v>
      </c>
      <c r="V101" s="12">
        <v>1</v>
      </c>
      <c r="W101" s="13">
        <v>1</v>
      </c>
      <c r="X101" s="12">
        <v>1</v>
      </c>
      <c r="Y101" s="13"/>
      <c r="Z101" s="12">
        <v>1</v>
      </c>
      <c r="AA101" s="13"/>
      <c r="AB101" s="12">
        <v>1</v>
      </c>
      <c r="AC101" s="13"/>
      <c r="AD101" s="12">
        <v>1</v>
      </c>
      <c r="AE101" s="13"/>
      <c r="AF101" s="12">
        <v>1</v>
      </c>
      <c r="AG101" s="13"/>
      <c r="AH101" s="12">
        <v>1</v>
      </c>
      <c r="AI101" s="13"/>
      <c r="AJ101" s="12">
        <v>1</v>
      </c>
      <c r="AK101" s="13"/>
      <c r="AL101" s="12">
        <v>1</v>
      </c>
      <c r="AM101" s="13"/>
      <c r="AN101" s="12">
        <v>1</v>
      </c>
      <c r="AO101" s="13"/>
      <c r="AP101" s="12">
        <v>1</v>
      </c>
      <c r="AQ101" s="13"/>
      <c r="AR101" s="12">
        <v>0</v>
      </c>
      <c r="AS101" s="13"/>
      <c r="AT101" s="15">
        <v>0</v>
      </c>
      <c r="AU101" s="21"/>
      <c r="AV101" s="26">
        <f t="shared" si="31"/>
        <v>0</v>
      </c>
      <c r="AW101" s="15">
        <f t="shared" si="32"/>
        <v>0</v>
      </c>
      <c r="AX101" s="15">
        <f t="shared" si="33"/>
        <v>-1</v>
      </c>
      <c r="AY101" s="15">
        <f t="shared" si="34"/>
        <v>-1</v>
      </c>
      <c r="AZ101" s="15">
        <f t="shared" si="35"/>
        <v>-1</v>
      </c>
      <c r="BA101" s="15">
        <f t="shared" si="36"/>
        <v>-1</v>
      </c>
      <c r="BB101" s="15">
        <f t="shared" si="37"/>
        <v>0</v>
      </c>
      <c r="BC101" s="15">
        <f t="shared" si="30"/>
        <v>0</v>
      </c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4"/>
    </row>
    <row r="102" spans="1:70" x14ac:dyDescent="0.25">
      <c r="A102" s="101" t="s">
        <v>153</v>
      </c>
      <c r="B102" s="102">
        <v>0</v>
      </c>
      <c r="C102" s="103">
        <v>0</v>
      </c>
      <c r="D102" s="102">
        <v>0</v>
      </c>
      <c r="E102" s="103">
        <v>1</v>
      </c>
      <c r="F102" s="102">
        <v>1</v>
      </c>
      <c r="G102" s="103">
        <v>1</v>
      </c>
      <c r="H102" s="102">
        <v>2</v>
      </c>
      <c r="I102" s="103">
        <v>1</v>
      </c>
      <c r="J102" s="102">
        <v>2</v>
      </c>
      <c r="K102" s="103">
        <v>1</v>
      </c>
      <c r="L102" s="102">
        <v>2</v>
      </c>
      <c r="M102" s="103">
        <v>1</v>
      </c>
      <c r="N102" s="102">
        <v>2</v>
      </c>
      <c r="O102" s="103">
        <v>1</v>
      </c>
      <c r="P102" s="102">
        <v>2</v>
      </c>
      <c r="Q102" s="103">
        <v>2</v>
      </c>
      <c r="R102" s="102">
        <v>2</v>
      </c>
      <c r="S102" s="64">
        <v>2</v>
      </c>
      <c r="T102" s="102">
        <v>2</v>
      </c>
      <c r="U102" s="103">
        <v>2</v>
      </c>
      <c r="V102" s="102">
        <v>2</v>
      </c>
      <c r="W102" s="103">
        <v>2</v>
      </c>
      <c r="X102" s="102">
        <v>2</v>
      </c>
      <c r="Y102" s="103"/>
      <c r="Z102" s="102">
        <v>2</v>
      </c>
      <c r="AA102" s="103"/>
      <c r="AB102" s="102">
        <v>2</v>
      </c>
      <c r="AC102" s="103"/>
      <c r="AD102" s="102">
        <v>2</v>
      </c>
      <c r="AE102" s="103"/>
      <c r="AF102" s="102">
        <v>2</v>
      </c>
      <c r="AG102" s="103"/>
      <c r="AH102" s="102">
        <v>2</v>
      </c>
      <c r="AI102" s="103"/>
      <c r="AJ102" s="102">
        <v>2</v>
      </c>
      <c r="AK102" s="103"/>
      <c r="AL102" s="102">
        <v>2</v>
      </c>
      <c r="AM102" s="103"/>
      <c r="AN102" s="102">
        <v>2</v>
      </c>
      <c r="AO102" s="103"/>
      <c r="AP102" s="102">
        <v>2</v>
      </c>
      <c r="AQ102" s="103"/>
      <c r="AR102" s="102">
        <v>2</v>
      </c>
      <c r="AS102" s="103"/>
      <c r="AT102" s="116">
        <v>0</v>
      </c>
      <c r="AU102" s="124"/>
      <c r="AV102" s="125">
        <f t="shared" si="31"/>
        <v>0</v>
      </c>
      <c r="AW102" s="116">
        <f t="shared" si="32"/>
        <v>1</v>
      </c>
      <c r="AX102" s="116">
        <f t="shared" si="33"/>
        <v>0</v>
      </c>
      <c r="AY102" s="116">
        <f t="shared" si="34"/>
        <v>-1</v>
      </c>
      <c r="AZ102" s="116">
        <f t="shared" si="35"/>
        <v>-1</v>
      </c>
      <c r="BA102" s="116">
        <f t="shared" si="36"/>
        <v>-1</v>
      </c>
      <c r="BB102" s="116">
        <f t="shared" si="37"/>
        <v>-1</v>
      </c>
      <c r="BC102" s="116">
        <f t="shared" si="30"/>
        <v>0</v>
      </c>
      <c r="BD102" s="116"/>
      <c r="BE102" s="116"/>
      <c r="BF102" s="116"/>
      <c r="BG102" s="116"/>
      <c r="BH102" s="116"/>
      <c r="BI102" s="116"/>
      <c r="BJ102" s="116"/>
      <c r="BK102" s="116"/>
      <c r="BL102" s="116"/>
      <c r="BM102" s="116"/>
      <c r="BN102" s="116"/>
      <c r="BO102" s="116"/>
      <c r="BP102" s="116"/>
      <c r="BQ102" s="116"/>
      <c r="BR102" s="104"/>
    </row>
    <row r="103" spans="1:70" x14ac:dyDescent="0.25">
      <c r="A103" s="126" t="s">
        <v>154</v>
      </c>
      <c r="B103" s="127">
        <v>0</v>
      </c>
      <c r="C103" s="66">
        <v>0</v>
      </c>
      <c r="D103" s="127">
        <v>0</v>
      </c>
      <c r="E103" s="66">
        <v>1</v>
      </c>
      <c r="F103" s="127">
        <v>0</v>
      </c>
      <c r="G103" s="66">
        <v>1</v>
      </c>
      <c r="H103" s="127">
        <v>0</v>
      </c>
      <c r="I103" s="66">
        <v>1</v>
      </c>
      <c r="J103" s="127">
        <v>0</v>
      </c>
      <c r="K103" s="66">
        <v>1</v>
      </c>
      <c r="L103" s="127">
        <v>0</v>
      </c>
      <c r="M103" s="66">
        <v>1</v>
      </c>
      <c r="N103" s="127">
        <v>0</v>
      </c>
      <c r="O103" s="66">
        <v>1</v>
      </c>
      <c r="P103" s="127">
        <v>0</v>
      </c>
      <c r="Q103" s="66">
        <v>1</v>
      </c>
      <c r="R103" s="127">
        <v>0</v>
      </c>
      <c r="S103" s="64">
        <v>1</v>
      </c>
      <c r="T103" s="127">
        <v>0</v>
      </c>
      <c r="U103" s="66">
        <v>1</v>
      </c>
      <c r="V103" s="127">
        <v>0</v>
      </c>
      <c r="W103" s="66">
        <v>1</v>
      </c>
      <c r="X103" s="127">
        <v>0</v>
      </c>
      <c r="Y103" s="66"/>
      <c r="Z103" s="127">
        <v>0</v>
      </c>
      <c r="AA103" s="66"/>
      <c r="AB103" s="127">
        <v>0</v>
      </c>
      <c r="AC103" s="66"/>
      <c r="AD103" s="127">
        <v>0</v>
      </c>
      <c r="AE103" s="66"/>
      <c r="AF103" s="127">
        <v>0</v>
      </c>
      <c r="AG103" s="66"/>
      <c r="AH103" s="127">
        <v>0</v>
      </c>
      <c r="AI103" s="66"/>
      <c r="AJ103" s="127">
        <v>0</v>
      </c>
      <c r="AK103" s="66"/>
      <c r="AL103" s="127">
        <v>0</v>
      </c>
      <c r="AM103" s="66"/>
      <c r="AN103" s="127">
        <v>0</v>
      </c>
      <c r="AO103" s="66"/>
      <c r="AP103" s="127">
        <v>0</v>
      </c>
      <c r="AQ103" s="66"/>
      <c r="AR103" s="127">
        <v>0</v>
      </c>
      <c r="AS103" s="66"/>
      <c r="AT103" s="128">
        <v>0</v>
      </c>
      <c r="AU103" s="129"/>
      <c r="AV103" s="130">
        <f t="shared" si="31"/>
        <v>0</v>
      </c>
      <c r="AW103" s="128">
        <f t="shared" si="32"/>
        <v>1</v>
      </c>
      <c r="AX103" s="128">
        <f t="shared" si="33"/>
        <v>1</v>
      </c>
      <c r="AY103" s="128">
        <f t="shared" si="34"/>
        <v>1</v>
      </c>
      <c r="AZ103" s="128">
        <f t="shared" si="35"/>
        <v>1</v>
      </c>
      <c r="BA103" s="128">
        <f t="shared" si="36"/>
        <v>1</v>
      </c>
      <c r="BB103" s="128">
        <f t="shared" si="37"/>
        <v>1</v>
      </c>
      <c r="BC103" s="128">
        <f t="shared" si="30"/>
        <v>1</v>
      </c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31"/>
    </row>
    <row r="104" spans="1:70" x14ac:dyDescent="0.25">
      <c r="A104" s="101" t="s">
        <v>155</v>
      </c>
      <c r="B104" s="102">
        <v>1</v>
      </c>
      <c r="C104" s="103">
        <v>1</v>
      </c>
      <c r="D104" s="102">
        <v>0</v>
      </c>
      <c r="E104" s="103">
        <v>1</v>
      </c>
      <c r="F104" s="102">
        <v>3</v>
      </c>
      <c r="G104" s="103">
        <v>2</v>
      </c>
      <c r="H104" s="102">
        <v>3</v>
      </c>
      <c r="I104" s="103">
        <v>2</v>
      </c>
      <c r="J104" s="102">
        <v>3</v>
      </c>
      <c r="K104" s="103">
        <v>2</v>
      </c>
      <c r="L104" s="102">
        <v>3</v>
      </c>
      <c r="M104" s="103">
        <v>1</v>
      </c>
      <c r="N104" s="102">
        <v>3</v>
      </c>
      <c r="O104" s="103">
        <v>1</v>
      </c>
      <c r="P104" s="102">
        <v>3</v>
      </c>
      <c r="Q104" s="103">
        <v>2</v>
      </c>
      <c r="R104" s="102">
        <v>3</v>
      </c>
      <c r="S104" s="64">
        <v>2</v>
      </c>
      <c r="T104" s="102">
        <v>3</v>
      </c>
      <c r="U104" s="103">
        <v>2</v>
      </c>
      <c r="V104" s="102">
        <v>3</v>
      </c>
      <c r="W104" s="103">
        <v>2</v>
      </c>
      <c r="X104" s="102">
        <v>3</v>
      </c>
      <c r="Y104" s="103"/>
      <c r="Z104" s="102">
        <v>3</v>
      </c>
      <c r="AA104" s="103"/>
      <c r="AB104" s="102">
        <v>3</v>
      </c>
      <c r="AC104" s="103"/>
      <c r="AD104" s="102">
        <v>3</v>
      </c>
      <c r="AE104" s="103"/>
      <c r="AF104" s="102">
        <v>3</v>
      </c>
      <c r="AG104" s="103"/>
      <c r="AH104" s="102">
        <v>3</v>
      </c>
      <c r="AI104" s="103"/>
      <c r="AJ104" s="102">
        <v>3</v>
      </c>
      <c r="AK104" s="103"/>
      <c r="AL104" s="102">
        <v>3</v>
      </c>
      <c r="AM104" s="103"/>
      <c r="AN104" s="102">
        <v>3</v>
      </c>
      <c r="AO104" s="103"/>
      <c r="AP104" s="102">
        <v>3</v>
      </c>
      <c r="AQ104" s="103"/>
      <c r="AR104" s="102">
        <v>1</v>
      </c>
      <c r="AS104" s="103"/>
      <c r="AT104" s="116">
        <v>0</v>
      </c>
      <c r="AU104" s="124"/>
      <c r="AV104" s="125">
        <f t="shared" si="31"/>
        <v>0</v>
      </c>
      <c r="AW104" s="116">
        <f t="shared" si="32"/>
        <v>1</v>
      </c>
      <c r="AX104" s="116">
        <f t="shared" si="33"/>
        <v>-1</v>
      </c>
      <c r="AY104" s="116">
        <f t="shared" si="34"/>
        <v>-1</v>
      </c>
      <c r="AZ104" s="116">
        <f t="shared" si="35"/>
        <v>-1</v>
      </c>
      <c r="BA104" s="116">
        <f t="shared" si="36"/>
        <v>-2</v>
      </c>
      <c r="BB104" s="116">
        <f t="shared" si="37"/>
        <v>-2</v>
      </c>
      <c r="BC104" s="116">
        <f t="shared" si="30"/>
        <v>-1</v>
      </c>
      <c r="BD104" s="116"/>
      <c r="BE104" s="116"/>
      <c r="BF104" s="116"/>
      <c r="BG104" s="116"/>
      <c r="BH104" s="116"/>
      <c r="BI104" s="116"/>
      <c r="BJ104" s="116"/>
      <c r="BK104" s="116"/>
      <c r="BL104" s="116"/>
      <c r="BM104" s="116"/>
      <c r="BN104" s="116"/>
      <c r="BO104" s="116"/>
      <c r="BP104" s="116"/>
      <c r="BQ104" s="116"/>
      <c r="BR104" s="104"/>
    </row>
    <row r="105" spans="1:70" x14ac:dyDescent="0.25">
      <c r="A105" s="8" t="s">
        <v>155</v>
      </c>
      <c r="B105" s="12">
        <v>0</v>
      </c>
      <c r="C105" s="13">
        <v>0</v>
      </c>
      <c r="D105" s="12">
        <v>0</v>
      </c>
      <c r="E105" s="13">
        <v>2</v>
      </c>
      <c r="F105" s="12">
        <v>3</v>
      </c>
      <c r="G105" s="13">
        <v>2</v>
      </c>
      <c r="H105" s="12">
        <v>3</v>
      </c>
      <c r="I105" s="13">
        <v>2</v>
      </c>
      <c r="J105" s="12">
        <v>3</v>
      </c>
      <c r="K105" s="13">
        <v>3</v>
      </c>
      <c r="L105" s="12">
        <v>3</v>
      </c>
      <c r="M105" s="13">
        <v>4</v>
      </c>
      <c r="N105" s="12">
        <v>3</v>
      </c>
      <c r="O105" s="13">
        <v>4</v>
      </c>
      <c r="P105" s="12">
        <v>3</v>
      </c>
      <c r="Q105" s="13">
        <v>5</v>
      </c>
      <c r="R105" s="12">
        <v>3</v>
      </c>
      <c r="S105" s="64">
        <v>5</v>
      </c>
      <c r="T105" s="12">
        <v>3</v>
      </c>
      <c r="U105" s="13">
        <v>5</v>
      </c>
      <c r="V105" s="12">
        <v>3</v>
      </c>
      <c r="W105" s="13">
        <v>5</v>
      </c>
      <c r="X105" s="12">
        <v>3</v>
      </c>
      <c r="Y105" s="13"/>
      <c r="Z105" s="12">
        <v>3</v>
      </c>
      <c r="AA105" s="13"/>
      <c r="AB105" s="12">
        <v>3</v>
      </c>
      <c r="AC105" s="13"/>
      <c r="AD105" s="12">
        <v>3</v>
      </c>
      <c r="AE105" s="13"/>
      <c r="AF105" s="12">
        <v>3</v>
      </c>
      <c r="AG105" s="13"/>
      <c r="AH105" s="12">
        <v>3</v>
      </c>
      <c r="AI105" s="13"/>
      <c r="AJ105" s="12">
        <v>3</v>
      </c>
      <c r="AK105" s="13"/>
      <c r="AL105" s="12">
        <v>3</v>
      </c>
      <c r="AM105" s="13"/>
      <c r="AN105" s="12">
        <v>3</v>
      </c>
      <c r="AO105" s="13"/>
      <c r="AP105" s="12">
        <v>3</v>
      </c>
      <c r="AQ105" s="13"/>
      <c r="AR105" s="12">
        <v>1</v>
      </c>
      <c r="AS105" s="13"/>
      <c r="AT105" s="15">
        <v>0</v>
      </c>
      <c r="AU105" s="21"/>
      <c r="AV105" s="26">
        <f t="shared" si="31"/>
        <v>0</v>
      </c>
      <c r="AW105" s="15">
        <f t="shared" si="32"/>
        <v>2</v>
      </c>
      <c r="AX105" s="15">
        <f t="shared" si="33"/>
        <v>-1</v>
      </c>
      <c r="AY105" s="15">
        <f t="shared" si="34"/>
        <v>-1</v>
      </c>
      <c r="AZ105" s="15">
        <f t="shared" si="35"/>
        <v>0</v>
      </c>
      <c r="BA105" s="15">
        <f t="shared" si="36"/>
        <v>1</v>
      </c>
      <c r="BB105" s="15">
        <f t="shared" si="37"/>
        <v>1</v>
      </c>
      <c r="BC105" s="15">
        <f t="shared" si="30"/>
        <v>2</v>
      </c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4"/>
    </row>
    <row r="106" spans="1:70" x14ac:dyDescent="0.25">
      <c r="A106" s="101" t="s">
        <v>155</v>
      </c>
      <c r="B106" s="102">
        <v>0</v>
      </c>
      <c r="C106" s="103">
        <v>0</v>
      </c>
      <c r="D106" s="102">
        <v>0</v>
      </c>
      <c r="E106" s="103">
        <v>0</v>
      </c>
      <c r="F106" s="102">
        <v>3</v>
      </c>
      <c r="G106" s="103">
        <v>2</v>
      </c>
      <c r="H106" s="102">
        <v>3</v>
      </c>
      <c r="I106" s="103">
        <v>2</v>
      </c>
      <c r="J106" s="102">
        <v>3</v>
      </c>
      <c r="K106" s="103">
        <v>2</v>
      </c>
      <c r="L106" s="102">
        <v>3</v>
      </c>
      <c r="M106" s="103">
        <v>3</v>
      </c>
      <c r="N106" s="102">
        <v>3</v>
      </c>
      <c r="O106" s="103">
        <v>4</v>
      </c>
      <c r="P106" s="102">
        <v>3</v>
      </c>
      <c r="Q106" s="103">
        <v>4</v>
      </c>
      <c r="R106" s="102">
        <v>3</v>
      </c>
      <c r="S106" s="64">
        <v>4</v>
      </c>
      <c r="T106" s="102">
        <v>3</v>
      </c>
      <c r="U106" s="103">
        <v>4</v>
      </c>
      <c r="V106" s="102">
        <v>3</v>
      </c>
      <c r="W106" s="103">
        <v>4</v>
      </c>
      <c r="X106" s="102">
        <v>3</v>
      </c>
      <c r="Y106" s="103"/>
      <c r="Z106" s="102">
        <v>3</v>
      </c>
      <c r="AA106" s="103"/>
      <c r="AB106" s="102">
        <v>3</v>
      </c>
      <c r="AC106" s="103"/>
      <c r="AD106" s="102">
        <v>3</v>
      </c>
      <c r="AE106" s="103"/>
      <c r="AF106" s="102">
        <v>3</v>
      </c>
      <c r="AG106" s="103"/>
      <c r="AH106" s="102">
        <v>3</v>
      </c>
      <c r="AI106" s="103"/>
      <c r="AJ106" s="102">
        <v>3</v>
      </c>
      <c r="AK106" s="103"/>
      <c r="AL106" s="102">
        <v>3</v>
      </c>
      <c r="AM106" s="103"/>
      <c r="AN106" s="102">
        <v>3</v>
      </c>
      <c r="AO106" s="103"/>
      <c r="AP106" s="102">
        <v>3</v>
      </c>
      <c r="AQ106" s="103"/>
      <c r="AR106" s="102">
        <v>3</v>
      </c>
      <c r="AS106" s="103"/>
      <c r="AT106" s="116">
        <v>1.5</v>
      </c>
      <c r="AU106" s="124"/>
      <c r="AV106" s="125">
        <f t="shared" si="31"/>
        <v>0</v>
      </c>
      <c r="AW106" s="116">
        <f t="shared" si="32"/>
        <v>0</v>
      </c>
      <c r="AX106" s="116">
        <f t="shared" si="33"/>
        <v>-1</v>
      </c>
      <c r="AY106" s="116">
        <f t="shared" si="34"/>
        <v>-1</v>
      </c>
      <c r="AZ106" s="116">
        <f t="shared" si="35"/>
        <v>-1</v>
      </c>
      <c r="BA106" s="116">
        <f t="shared" si="36"/>
        <v>0</v>
      </c>
      <c r="BB106" s="116">
        <f t="shared" si="37"/>
        <v>1</v>
      </c>
      <c r="BC106" s="116">
        <f t="shared" si="30"/>
        <v>1</v>
      </c>
      <c r="BD106" s="116"/>
      <c r="BE106" s="116"/>
      <c r="BF106" s="116"/>
      <c r="BG106" s="116"/>
      <c r="BH106" s="116"/>
      <c r="BI106" s="116"/>
      <c r="BJ106" s="116"/>
      <c r="BK106" s="116"/>
      <c r="BL106" s="116"/>
      <c r="BM106" s="116"/>
      <c r="BN106" s="116"/>
      <c r="BO106" s="116"/>
      <c r="BP106" s="116"/>
      <c r="BQ106" s="116"/>
      <c r="BR106" s="104"/>
    </row>
    <row r="107" spans="1:70" x14ac:dyDescent="0.25">
      <c r="A107" s="8" t="s">
        <v>156</v>
      </c>
      <c r="B107" s="12">
        <v>0</v>
      </c>
      <c r="C107" s="13">
        <v>0</v>
      </c>
      <c r="D107" s="12">
        <v>0</v>
      </c>
      <c r="E107" s="13">
        <v>0</v>
      </c>
      <c r="F107" s="12">
        <v>0</v>
      </c>
      <c r="G107" s="13">
        <v>0</v>
      </c>
      <c r="H107" s="12">
        <v>1</v>
      </c>
      <c r="I107" s="13">
        <v>0</v>
      </c>
      <c r="J107" s="12">
        <v>1</v>
      </c>
      <c r="K107" s="13">
        <v>1</v>
      </c>
      <c r="L107" s="12">
        <v>1</v>
      </c>
      <c r="M107" s="13">
        <v>2</v>
      </c>
      <c r="N107" s="12">
        <v>1</v>
      </c>
      <c r="O107" s="13">
        <v>2</v>
      </c>
      <c r="P107" s="12">
        <v>1</v>
      </c>
      <c r="Q107" s="13">
        <v>2</v>
      </c>
      <c r="R107" s="12">
        <v>1</v>
      </c>
      <c r="S107" s="64">
        <v>2</v>
      </c>
      <c r="T107" s="12">
        <v>1</v>
      </c>
      <c r="U107" s="13">
        <v>2</v>
      </c>
      <c r="V107" s="12">
        <v>1</v>
      </c>
      <c r="W107" s="13">
        <v>2</v>
      </c>
      <c r="X107" s="12">
        <v>1</v>
      </c>
      <c r="Y107" s="13"/>
      <c r="Z107" s="12">
        <v>1</v>
      </c>
      <c r="AA107" s="13"/>
      <c r="AB107" s="12">
        <v>1</v>
      </c>
      <c r="AC107" s="13"/>
      <c r="AD107" s="12">
        <v>1</v>
      </c>
      <c r="AE107" s="13"/>
      <c r="AF107" s="12">
        <v>1</v>
      </c>
      <c r="AG107" s="13"/>
      <c r="AH107" s="12">
        <v>1</v>
      </c>
      <c r="AI107" s="13"/>
      <c r="AJ107" s="12">
        <v>1</v>
      </c>
      <c r="AK107" s="13"/>
      <c r="AL107" s="12">
        <v>1</v>
      </c>
      <c r="AM107" s="13"/>
      <c r="AN107" s="12">
        <v>1</v>
      </c>
      <c r="AO107" s="13"/>
      <c r="AP107" s="12">
        <v>1</v>
      </c>
      <c r="AQ107" s="13"/>
      <c r="AR107" s="12">
        <v>1</v>
      </c>
      <c r="AS107" s="13"/>
      <c r="AT107" s="15">
        <v>0</v>
      </c>
      <c r="AU107" s="21"/>
      <c r="AV107" s="26">
        <f t="shared" si="31"/>
        <v>0</v>
      </c>
      <c r="AW107" s="15">
        <f t="shared" si="32"/>
        <v>0</v>
      </c>
      <c r="AX107" s="15">
        <f t="shared" si="33"/>
        <v>0</v>
      </c>
      <c r="AY107" s="15">
        <f t="shared" si="34"/>
        <v>-1</v>
      </c>
      <c r="AZ107" s="15">
        <f t="shared" si="35"/>
        <v>0</v>
      </c>
      <c r="BA107" s="15">
        <f t="shared" si="36"/>
        <v>1</v>
      </c>
      <c r="BB107" s="15">
        <f t="shared" si="37"/>
        <v>1</v>
      </c>
      <c r="BC107" s="15">
        <f t="shared" si="30"/>
        <v>1</v>
      </c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4"/>
    </row>
    <row r="108" spans="1:70" x14ac:dyDescent="0.25">
      <c r="A108" s="101" t="s">
        <v>156</v>
      </c>
      <c r="B108" s="102">
        <v>0</v>
      </c>
      <c r="C108" s="103">
        <v>0</v>
      </c>
      <c r="D108" s="102">
        <v>0</v>
      </c>
      <c r="E108" s="103">
        <v>0</v>
      </c>
      <c r="F108" s="102">
        <v>0</v>
      </c>
      <c r="G108" s="103">
        <v>0</v>
      </c>
      <c r="H108" s="102">
        <v>1</v>
      </c>
      <c r="I108" s="103">
        <v>0</v>
      </c>
      <c r="J108" s="102">
        <v>2</v>
      </c>
      <c r="K108" s="103">
        <v>0</v>
      </c>
      <c r="L108" s="102">
        <v>2</v>
      </c>
      <c r="M108" s="103">
        <v>0</v>
      </c>
      <c r="N108" s="102">
        <v>2</v>
      </c>
      <c r="O108" s="103">
        <v>0</v>
      </c>
      <c r="P108" s="102">
        <v>2</v>
      </c>
      <c r="Q108" s="103">
        <v>0</v>
      </c>
      <c r="R108" s="102">
        <v>2</v>
      </c>
      <c r="S108" s="64"/>
      <c r="T108" s="102">
        <v>2</v>
      </c>
      <c r="U108" s="103"/>
      <c r="V108" s="102">
        <v>2</v>
      </c>
      <c r="W108" s="103"/>
      <c r="X108" s="102">
        <v>1</v>
      </c>
      <c r="Y108" s="103"/>
      <c r="Z108" s="102">
        <v>1</v>
      </c>
      <c r="AA108" s="103"/>
      <c r="AB108" s="102">
        <v>1</v>
      </c>
      <c r="AC108" s="103"/>
      <c r="AD108" s="102">
        <v>2</v>
      </c>
      <c r="AE108" s="103"/>
      <c r="AF108" s="102">
        <v>2</v>
      </c>
      <c r="AG108" s="103"/>
      <c r="AH108" s="102">
        <v>2</v>
      </c>
      <c r="AI108" s="103"/>
      <c r="AJ108" s="102">
        <v>2</v>
      </c>
      <c r="AK108" s="103"/>
      <c r="AL108" s="102">
        <v>2</v>
      </c>
      <c r="AM108" s="103"/>
      <c r="AN108" s="102">
        <v>2</v>
      </c>
      <c r="AO108" s="103"/>
      <c r="AP108" s="102">
        <v>2</v>
      </c>
      <c r="AQ108" s="103"/>
      <c r="AR108" s="102">
        <v>1</v>
      </c>
      <c r="AS108" s="103"/>
      <c r="AT108" s="116">
        <v>0</v>
      </c>
      <c r="AU108" s="124"/>
      <c r="AV108" s="125">
        <f t="shared" si="31"/>
        <v>0</v>
      </c>
      <c r="AW108" s="116">
        <f t="shared" si="32"/>
        <v>0</v>
      </c>
      <c r="AX108" s="116">
        <f t="shared" si="33"/>
        <v>0</v>
      </c>
      <c r="AY108" s="116">
        <f t="shared" si="34"/>
        <v>-1</v>
      </c>
      <c r="AZ108" s="116">
        <f t="shared" si="35"/>
        <v>-2</v>
      </c>
      <c r="BA108" s="116">
        <f t="shared" si="36"/>
        <v>-2</v>
      </c>
      <c r="BB108" s="116">
        <f t="shared" si="37"/>
        <v>-2</v>
      </c>
      <c r="BC108" s="116">
        <f t="shared" si="30"/>
        <v>-2</v>
      </c>
      <c r="BD108" s="116"/>
      <c r="BE108" s="116"/>
      <c r="BF108" s="116"/>
      <c r="BG108" s="116"/>
      <c r="BH108" s="116"/>
      <c r="BI108" s="116"/>
      <c r="BJ108" s="116"/>
      <c r="BK108" s="116"/>
      <c r="BL108" s="116"/>
      <c r="BM108" s="116"/>
      <c r="BN108" s="116"/>
      <c r="BO108" s="116"/>
      <c r="BP108" s="116"/>
      <c r="BQ108" s="116"/>
      <c r="BR108" s="104"/>
    </row>
    <row r="109" spans="1:70" x14ac:dyDescent="0.25">
      <c r="A109" s="8" t="s">
        <v>157</v>
      </c>
      <c r="B109" s="12">
        <v>0</v>
      </c>
      <c r="C109" s="13">
        <v>0</v>
      </c>
      <c r="D109" s="12">
        <v>0</v>
      </c>
      <c r="E109" s="13">
        <v>2</v>
      </c>
      <c r="F109" s="12">
        <v>1</v>
      </c>
      <c r="G109" s="13">
        <v>2</v>
      </c>
      <c r="H109" s="12">
        <v>2</v>
      </c>
      <c r="I109" s="13">
        <v>2</v>
      </c>
      <c r="J109" s="12">
        <v>2</v>
      </c>
      <c r="K109" s="13">
        <v>2</v>
      </c>
      <c r="L109" s="12">
        <v>2</v>
      </c>
      <c r="M109" s="13">
        <v>2</v>
      </c>
      <c r="N109" s="12">
        <v>2</v>
      </c>
      <c r="O109" s="13">
        <v>1</v>
      </c>
      <c r="P109" s="12">
        <v>2</v>
      </c>
      <c r="Q109" s="13">
        <v>1</v>
      </c>
      <c r="R109" s="12">
        <v>2</v>
      </c>
      <c r="S109" s="64">
        <v>1</v>
      </c>
      <c r="T109" s="12">
        <v>2</v>
      </c>
      <c r="U109" s="13">
        <v>1</v>
      </c>
      <c r="V109" s="12">
        <v>2</v>
      </c>
      <c r="W109" s="13">
        <v>1</v>
      </c>
      <c r="X109" s="12">
        <v>2</v>
      </c>
      <c r="Y109" s="13"/>
      <c r="Z109" s="12">
        <v>2</v>
      </c>
      <c r="AA109" s="13"/>
      <c r="AB109" s="12">
        <v>2</v>
      </c>
      <c r="AC109" s="13"/>
      <c r="AD109" s="12">
        <v>2</v>
      </c>
      <c r="AE109" s="13"/>
      <c r="AF109" s="12">
        <v>2</v>
      </c>
      <c r="AG109" s="13"/>
      <c r="AH109" s="12">
        <v>2</v>
      </c>
      <c r="AI109" s="13"/>
      <c r="AJ109" s="12">
        <v>2</v>
      </c>
      <c r="AK109" s="13"/>
      <c r="AL109" s="12">
        <v>2</v>
      </c>
      <c r="AM109" s="13"/>
      <c r="AN109" s="12">
        <v>2</v>
      </c>
      <c r="AO109" s="13"/>
      <c r="AP109" s="12">
        <v>2</v>
      </c>
      <c r="AQ109" s="13"/>
      <c r="AR109" s="12">
        <v>2</v>
      </c>
      <c r="AS109" s="13"/>
      <c r="AT109" s="15">
        <v>0</v>
      </c>
      <c r="AU109" s="21"/>
      <c r="AV109" s="26">
        <f t="shared" si="31"/>
        <v>0</v>
      </c>
      <c r="AW109" s="15">
        <f t="shared" si="32"/>
        <v>2</v>
      </c>
      <c r="AX109" s="15">
        <f t="shared" si="33"/>
        <v>1</v>
      </c>
      <c r="AY109" s="15">
        <f t="shared" si="34"/>
        <v>0</v>
      </c>
      <c r="AZ109" s="15">
        <f t="shared" si="35"/>
        <v>0</v>
      </c>
      <c r="BA109" s="15">
        <f t="shared" si="36"/>
        <v>0</v>
      </c>
      <c r="BB109" s="15">
        <f t="shared" si="37"/>
        <v>-1</v>
      </c>
      <c r="BC109" s="15">
        <f t="shared" si="30"/>
        <v>-1</v>
      </c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4"/>
    </row>
    <row r="110" spans="1:70" x14ac:dyDescent="0.25">
      <c r="A110" s="101" t="s">
        <v>158</v>
      </c>
      <c r="B110" s="102">
        <v>0</v>
      </c>
      <c r="C110" s="103">
        <v>0</v>
      </c>
      <c r="D110" s="102">
        <v>0</v>
      </c>
      <c r="E110" s="103">
        <v>0</v>
      </c>
      <c r="F110" s="102">
        <v>0</v>
      </c>
      <c r="G110" s="103">
        <v>0</v>
      </c>
      <c r="H110" s="102">
        <v>1</v>
      </c>
      <c r="I110" s="103">
        <v>0</v>
      </c>
      <c r="J110" s="102">
        <v>1</v>
      </c>
      <c r="K110" s="103">
        <v>0</v>
      </c>
      <c r="L110" s="102">
        <v>1</v>
      </c>
      <c r="M110" s="103">
        <v>0</v>
      </c>
      <c r="N110" s="102">
        <v>1</v>
      </c>
      <c r="O110" s="103">
        <v>0</v>
      </c>
      <c r="P110" s="102">
        <v>1</v>
      </c>
      <c r="Q110" s="103">
        <v>0</v>
      </c>
      <c r="R110" s="102">
        <v>1</v>
      </c>
      <c r="S110" s="64">
        <v>1</v>
      </c>
      <c r="T110" s="102">
        <v>1</v>
      </c>
      <c r="U110" s="103">
        <v>1</v>
      </c>
      <c r="V110" s="102">
        <v>1</v>
      </c>
      <c r="W110" s="103">
        <v>1</v>
      </c>
      <c r="X110" s="102">
        <v>1</v>
      </c>
      <c r="Y110" s="103"/>
      <c r="Z110" s="102">
        <v>1</v>
      </c>
      <c r="AA110" s="103"/>
      <c r="AB110" s="102">
        <v>1</v>
      </c>
      <c r="AC110" s="103"/>
      <c r="AD110" s="102">
        <v>1</v>
      </c>
      <c r="AE110" s="103"/>
      <c r="AF110" s="102">
        <v>1</v>
      </c>
      <c r="AG110" s="103"/>
      <c r="AH110" s="102">
        <v>1</v>
      </c>
      <c r="AI110" s="103"/>
      <c r="AJ110" s="102">
        <v>1</v>
      </c>
      <c r="AK110" s="103"/>
      <c r="AL110" s="102">
        <v>1</v>
      </c>
      <c r="AM110" s="103"/>
      <c r="AN110" s="102">
        <v>1</v>
      </c>
      <c r="AO110" s="103"/>
      <c r="AP110" s="102">
        <v>1</v>
      </c>
      <c r="AQ110" s="103"/>
      <c r="AR110" s="102">
        <v>1</v>
      </c>
      <c r="AS110" s="103"/>
      <c r="AT110" s="116">
        <v>0</v>
      </c>
      <c r="AU110" s="124"/>
      <c r="AV110" s="125">
        <f t="shared" si="31"/>
        <v>0</v>
      </c>
      <c r="AW110" s="116">
        <f t="shared" si="32"/>
        <v>0</v>
      </c>
      <c r="AX110" s="116">
        <f t="shared" si="33"/>
        <v>0</v>
      </c>
      <c r="AY110" s="116">
        <f t="shared" si="34"/>
        <v>-1</v>
      </c>
      <c r="AZ110" s="116">
        <f t="shared" si="35"/>
        <v>-1</v>
      </c>
      <c r="BA110" s="116">
        <f t="shared" si="36"/>
        <v>-1</v>
      </c>
      <c r="BB110" s="116">
        <f t="shared" si="37"/>
        <v>-1</v>
      </c>
      <c r="BC110" s="116">
        <f t="shared" si="30"/>
        <v>-1</v>
      </c>
      <c r="BD110" s="116"/>
      <c r="BE110" s="116"/>
      <c r="BF110" s="116"/>
      <c r="BG110" s="116"/>
      <c r="BH110" s="116"/>
      <c r="BI110" s="116"/>
      <c r="BJ110" s="116"/>
      <c r="BK110" s="116"/>
      <c r="BL110" s="116"/>
      <c r="BM110" s="116"/>
      <c r="BN110" s="116"/>
      <c r="BO110" s="116"/>
      <c r="BP110" s="116"/>
      <c r="BQ110" s="116"/>
      <c r="BR110" s="104"/>
    </row>
    <row r="111" spans="1:70" x14ac:dyDescent="0.25">
      <c r="A111" s="8" t="s">
        <v>159</v>
      </c>
      <c r="B111" s="12">
        <v>0</v>
      </c>
      <c r="C111" s="13">
        <v>0</v>
      </c>
      <c r="D111" s="12">
        <v>0</v>
      </c>
      <c r="E111" s="13">
        <v>0</v>
      </c>
      <c r="F111" s="12">
        <v>0</v>
      </c>
      <c r="G111" s="13">
        <v>0</v>
      </c>
      <c r="H111" s="12">
        <v>1</v>
      </c>
      <c r="I111" s="13">
        <v>0</v>
      </c>
      <c r="J111" s="12">
        <v>1</v>
      </c>
      <c r="K111" s="13">
        <v>0</v>
      </c>
      <c r="L111" s="12">
        <v>1</v>
      </c>
      <c r="M111" s="13">
        <v>0</v>
      </c>
      <c r="N111" s="12">
        <v>1</v>
      </c>
      <c r="O111" s="13">
        <v>1</v>
      </c>
      <c r="P111" s="12">
        <v>1</v>
      </c>
      <c r="Q111" s="13">
        <v>1</v>
      </c>
      <c r="R111" s="12">
        <v>1</v>
      </c>
      <c r="S111" s="64">
        <v>1</v>
      </c>
      <c r="T111" s="12">
        <v>1</v>
      </c>
      <c r="U111" s="13">
        <v>1</v>
      </c>
      <c r="V111" s="12">
        <v>1</v>
      </c>
      <c r="W111" s="13">
        <v>1</v>
      </c>
      <c r="X111" s="12">
        <v>1</v>
      </c>
      <c r="Y111" s="13"/>
      <c r="Z111" s="12">
        <v>1</v>
      </c>
      <c r="AA111" s="13"/>
      <c r="AB111" s="12">
        <v>1</v>
      </c>
      <c r="AC111" s="13"/>
      <c r="AD111" s="12">
        <v>1</v>
      </c>
      <c r="AE111" s="13"/>
      <c r="AF111" s="12">
        <v>1</v>
      </c>
      <c r="AG111" s="13"/>
      <c r="AH111" s="12">
        <v>1</v>
      </c>
      <c r="AI111" s="13"/>
      <c r="AJ111" s="12">
        <v>1</v>
      </c>
      <c r="AK111" s="13"/>
      <c r="AL111" s="12">
        <v>1</v>
      </c>
      <c r="AM111" s="13"/>
      <c r="AN111" s="12">
        <v>1</v>
      </c>
      <c r="AO111" s="13"/>
      <c r="AP111" s="12">
        <v>1</v>
      </c>
      <c r="AQ111" s="13"/>
      <c r="AR111" s="12">
        <v>1</v>
      </c>
      <c r="AS111" s="13"/>
      <c r="AT111" s="15">
        <v>0</v>
      </c>
      <c r="AU111" s="21"/>
      <c r="AV111" s="26">
        <f t="shared" si="31"/>
        <v>0</v>
      </c>
      <c r="AW111" s="15">
        <f t="shared" si="32"/>
        <v>0</v>
      </c>
      <c r="AX111" s="15">
        <f t="shared" si="33"/>
        <v>0</v>
      </c>
      <c r="AY111" s="15">
        <f t="shared" si="34"/>
        <v>-1</v>
      </c>
      <c r="AZ111" s="15">
        <f t="shared" si="35"/>
        <v>-1</v>
      </c>
      <c r="BA111" s="15">
        <f t="shared" si="36"/>
        <v>-1</v>
      </c>
      <c r="BB111" s="15">
        <f t="shared" si="37"/>
        <v>0</v>
      </c>
      <c r="BC111" s="15">
        <f t="shared" si="30"/>
        <v>0</v>
      </c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4"/>
    </row>
    <row r="112" spans="1:70" x14ac:dyDescent="0.25">
      <c r="A112" s="101" t="s">
        <v>159</v>
      </c>
      <c r="B112" s="102">
        <v>0</v>
      </c>
      <c r="C112" s="103">
        <v>0</v>
      </c>
      <c r="D112" s="102">
        <v>0</v>
      </c>
      <c r="E112" s="103">
        <v>0</v>
      </c>
      <c r="F112" s="102">
        <v>0</v>
      </c>
      <c r="G112" s="103">
        <v>0</v>
      </c>
      <c r="H112" s="102">
        <v>1</v>
      </c>
      <c r="I112" s="103">
        <v>0</v>
      </c>
      <c r="J112" s="102">
        <v>2</v>
      </c>
      <c r="K112" s="103">
        <v>2</v>
      </c>
      <c r="L112" s="102">
        <v>2</v>
      </c>
      <c r="M112" s="103">
        <v>2</v>
      </c>
      <c r="N112" s="102">
        <v>2</v>
      </c>
      <c r="O112" s="103">
        <v>2</v>
      </c>
      <c r="P112" s="102">
        <v>2</v>
      </c>
      <c r="Q112" s="103">
        <v>2</v>
      </c>
      <c r="R112" s="102">
        <v>2</v>
      </c>
      <c r="S112" s="64">
        <v>2</v>
      </c>
      <c r="T112" s="102">
        <v>2</v>
      </c>
      <c r="U112" s="103">
        <v>2</v>
      </c>
      <c r="V112" s="102">
        <v>2</v>
      </c>
      <c r="W112" s="103">
        <v>2</v>
      </c>
      <c r="X112" s="102">
        <v>1</v>
      </c>
      <c r="Y112" s="103"/>
      <c r="Z112" s="102">
        <v>1</v>
      </c>
      <c r="AA112" s="103"/>
      <c r="AB112" s="102">
        <v>1</v>
      </c>
      <c r="AC112" s="103"/>
      <c r="AD112" s="102">
        <v>2</v>
      </c>
      <c r="AE112" s="103"/>
      <c r="AF112" s="102">
        <v>2</v>
      </c>
      <c r="AG112" s="103"/>
      <c r="AH112" s="102">
        <v>2</v>
      </c>
      <c r="AI112" s="103"/>
      <c r="AJ112" s="102">
        <v>2</v>
      </c>
      <c r="AK112" s="103"/>
      <c r="AL112" s="102">
        <v>2</v>
      </c>
      <c r="AM112" s="103"/>
      <c r="AN112" s="102">
        <v>2</v>
      </c>
      <c r="AO112" s="103"/>
      <c r="AP112" s="102">
        <v>2</v>
      </c>
      <c r="AQ112" s="103"/>
      <c r="AR112" s="102">
        <v>1</v>
      </c>
      <c r="AS112" s="103"/>
      <c r="AT112" s="116">
        <v>0</v>
      </c>
      <c r="AU112" s="124"/>
      <c r="AV112" s="125">
        <f t="shared" si="31"/>
        <v>0</v>
      </c>
      <c r="AW112" s="116">
        <f t="shared" si="32"/>
        <v>0</v>
      </c>
      <c r="AX112" s="116">
        <f t="shared" si="33"/>
        <v>0</v>
      </c>
      <c r="AY112" s="116">
        <f t="shared" si="34"/>
        <v>-1</v>
      </c>
      <c r="AZ112" s="116">
        <f t="shared" si="35"/>
        <v>0</v>
      </c>
      <c r="BA112" s="116">
        <f t="shared" si="36"/>
        <v>0</v>
      </c>
      <c r="BB112" s="116">
        <f t="shared" si="37"/>
        <v>0</v>
      </c>
      <c r="BC112" s="116">
        <f t="shared" si="30"/>
        <v>0</v>
      </c>
      <c r="BD112" s="116"/>
      <c r="BE112" s="116"/>
      <c r="BF112" s="116"/>
      <c r="BG112" s="116"/>
      <c r="BH112" s="116"/>
      <c r="BI112" s="116"/>
      <c r="BJ112" s="116"/>
      <c r="BK112" s="116"/>
      <c r="BL112" s="116"/>
      <c r="BM112" s="116"/>
      <c r="BN112" s="116"/>
      <c r="BO112" s="116"/>
      <c r="BP112" s="116"/>
      <c r="BQ112" s="116"/>
      <c r="BR112" s="104"/>
    </row>
    <row r="113" spans="1:70" x14ac:dyDescent="0.25">
      <c r="A113" s="8" t="s">
        <v>160</v>
      </c>
      <c r="B113" s="12">
        <v>0</v>
      </c>
      <c r="C113" s="13">
        <v>0</v>
      </c>
      <c r="D113" s="12">
        <v>0</v>
      </c>
      <c r="E113" s="13">
        <v>0</v>
      </c>
      <c r="F113" s="12">
        <v>0</v>
      </c>
      <c r="G113" s="13">
        <v>1</v>
      </c>
      <c r="H113" s="12">
        <v>0</v>
      </c>
      <c r="I113" s="13">
        <v>1</v>
      </c>
      <c r="J113" s="12">
        <v>0</v>
      </c>
      <c r="K113" s="13">
        <v>1</v>
      </c>
      <c r="L113" s="12">
        <v>0</v>
      </c>
      <c r="M113" s="13">
        <v>1</v>
      </c>
      <c r="N113" s="12">
        <v>0</v>
      </c>
      <c r="O113" s="13">
        <v>1</v>
      </c>
      <c r="P113" s="12">
        <v>0</v>
      </c>
      <c r="Q113" s="13">
        <v>1</v>
      </c>
      <c r="R113" s="12">
        <v>0</v>
      </c>
      <c r="S113" s="64">
        <v>1</v>
      </c>
      <c r="T113" s="12">
        <v>0</v>
      </c>
      <c r="U113" s="13">
        <v>1</v>
      </c>
      <c r="V113" s="12">
        <v>0</v>
      </c>
      <c r="W113" s="13">
        <v>1</v>
      </c>
      <c r="X113" s="12">
        <v>0</v>
      </c>
      <c r="Y113" s="13"/>
      <c r="Z113" s="12">
        <v>0</v>
      </c>
      <c r="AA113" s="13"/>
      <c r="AB113" s="12">
        <v>0</v>
      </c>
      <c r="AC113" s="13"/>
      <c r="AD113" s="12">
        <v>0</v>
      </c>
      <c r="AE113" s="13"/>
      <c r="AF113" s="12">
        <v>0</v>
      </c>
      <c r="AG113" s="13"/>
      <c r="AH113" s="12">
        <v>0</v>
      </c>
      <c r="AI113" s="13"/>
      <c r="AJ113" s="12">
        <v>0</v>
      </c>
      <c r="AK113" s="13"/>
      <c r="AL113" s="12">
        <v>0</v>
      </c>
      <c r="AM113" s="13"/>
      <c r="AN113" s="12">
        <v>0</v>
      </c>
      <c r="AO113" s="13"/>
      <c r="AP113" s="12">
        <v>0</v>
      </c>
      <c r="AQ113" s="13"/>
      <c r="AR113" s="12">
        <v>0</v>
      </c>
      <c r="AS113" s="13"/>
      <c r="AT113" s="15">
        <v>0</v>
      </c>
      <c r="AU113" s="21"/>
      <c r="AV113" s="26">
        <f t="shared" si="31"/>
        <v>0</v>
      </c>
      <c r="AW113" s="15">
        <f t="shared" si="32"/>
        <v>0</v>
      </c>
      <c r="AX113" s="15">
        <f t="shared" si="33"/>
        <v>1</v>
      </c>
      <c r="AY113" s="15">
        <f t="shared" si="34"/>
        <v>1</v>
      </c>
      <c r="AZ113" s="15">
        <f t="shared" si="35"/>
        <v>1</v>
      </c>
      <c r="BA113" s="15">
        <f t="shared" si="36"/>
        <v>1</v>
      </c>
      <c r="BB113" s="15">
        <f t="shared" si="37"/>
        <v>1</v>
      </c>
      <c r="BC113" s="15">
        <f t="shared" si="30"/>
        <v>1</v>
      </c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4"/>
    </row>
    <row r="114" spans="1:70" x14ac:dyDescent="0.25">
      <c r="A114" s="126" t="s">
        <v>161</v>
      </c>
      <c r="B114" s="127">
        <v>0</v>
      </c>
      <c r="C114" s="66">
        <v>0</v>
      </c>
      <c r="D114" s="127">
        <v>0</v>
      </c>
      <c r="E114" s="66">
        <v>44</v>
      </c>
      <c r="F114" s="127">
        <v>0</v>
      </c>
      <c r="G114" s="66">
        <v>44</v>
      </c>
      <c r="H114" s="127">
        <v>0</v>
      </c>
      <c r="I114" s="66">
        <v>44</v>
      </c>
      <c r="J114" s="127">
        <v>0</v>
      </c>
      <c r="K114" s="66">
        <v>57</v>
      </c>
      <c r="L114" s="127">
        <v>0</v>
      </c>
      <c r="M114" s="66">
        <v>57</v>
      </c>
      <c r="N114" s="127">
        <v>0</v>
      </c>
      <c r="O114" s="66">
        <v>57</v>
      </c>
      <c r="P114" s="127">
        <v>0</v>
      </c>
      <c r="Q114" s="66">
        <v>57</v>
      </c>
      <c r="R114" s="127">
        <v>0</v>
      </c>
      <c r="S114" s="64">
        <v>112</v>
      </c>
      <c r="T114" s="127">
        <v>0</v>
      </c>
      <c r="U114" s="66">
        <v>112</v>
      </c>
      <c r="V114" s="127">
        <v>0</v>
      </c>
      <c r="W114" s="66">
        <v>112</v>
      </c>
      <c r="X114" s="127">
        <v>0</v>
      </c>
      <c r="Y114" s="66"/>
      <c r="Z114" s="127">
        <v>0</v>
      </c>
      <c r="AA114" s="66"/>
      <c r="AB114" s="127">
        <v>0</v>
      </c>
      <c r="AC114" s="66"/>
      <c r="AD114" s="127">
        <v>0</v>
      </c>
      <c r="AE114" s="66"/>
      <c r="AF114" s="127">
        <v>0</v>
      </c>
      <c r="AG114" s="66"/>
      <c r="AH114" s="127">
        <v>0</v>
      </c>
      <c r="AI114" s="66"/>
      <c r="AJ114" s="127">
        <v>0</v>
      </c>
      <c r="AK114" s="66"/>
      <c r="AL114" s="127">
        <v>0</v>
      </c>
      <c r="AM114" s="66"/>
      <c r="AN114" s="127">
        <v>0</v>
      </c>
      <c r="AO114" s="66"/>
      <c r="AP114" s="127">
        <v>0</v>
      </c>
      <c r="AQ114" s="66"/>
      <c r="AR114" s="127">
        <v>0</v>
      </c>
      <c r="AS114" s="66"/>
      <c r="AT114" s="128">
        <v>0</v>
      </c>
      <c r="AU114" s="129"/>
      <c r="AV114" s="130">
        <f t="shared" si="31"/>
        <v>0</v>
      </c>
      <c r="AW114" s="128">
        <f t="shared" si="32"/>
        <v>44</v>
      </c>
      <c r="AX114" s="128">
        <f t="shared" si="33"/>
        <v>44</v>
      </c>
      <c r="AY114" s="128">
        <f t="shared" si="34"/>
        <v>44</v>
      </c>
      <c r="AZ114" s="128">
        <f t="shared" si="35"/>
        <v>57</v>
      </c>
      <c r="BA114" s="128">
        <f t="shared" si="36"/>
        <v>57</v>
      </c>
      <c r="BB114" s="128">
        <f t="shared" si="37"/>
        <v>57</v>
      </c>
      <c r="BC114" s="128">
        <f t="shared" si="30"/>
        <v>57</v>
      </c>
      <c r="BD114" s="128"/>
      <c r="BE114" s="128"/>
      <c r="BF114" s="128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31"/>
    </row>
    <row r="115" spans="1:70" x14ac:dyDescent="0.25">
      <c r="A115" s="16" t="s">
        <v>162</v>
      </c>
      <c r="B115" s="17">
        <v>0</v>
      </c>
      <c r="C115" s="18">
        <v>0</v>
      </c>
      <c r="D115" s="17">
        <v>0</v>
      </c>
      <c r="E115" s="18">
        <v>0</v>
      </c>
      <c r="F115" s="17">
        <v>0</v>
      </c>
      <c r="G115" s="18">
        <v>0</v>
      </c>
      <c r="H115" s="17">
        <v>1</v>
      </c>
      <c r="I115" s="18">
        <v>1</v>
      </c>
      <c r="J115" s="17">
        <v>1</v>
      </c>
      <c r="K115" s="18">
        <v>1</v>
      </c>
      <c r="L115" s="17">
        <v>1</v>
      </c>
      <c r="M115" s="18">
        <v>1</v>
      </c>
      <c r="N115" s="17">
        <v>1</v>
      </c>
      <c r="O115" s="18">
        <v>1</v>
      </c>
      <c r="P115" s="17">
        <v>1</v>
      </c>
      <c r="Q115" s="18">
        <v>1</v>
      </c>
      <c r="R115" s="17">
        <v>1</v>
      </c>
      <c r="S115" s="65">
        <v>2</v>
      </c>
      <c r="T115" s="17">
        <v>1</v>
      </c>
      <c r="U115" s="18">
        <v>2</v>
      </c>
      <c r="V115" s="17">
        <v>1</v>
      </c>
      <c r="W115" s="18">
        <v>2</v>
      </c>
      <c r="X115" s="17">
        <v>1</v>
      </c>
      <c r="Y115" s="18"/>
      <c r="Z115" s="17">
        <v>1</v>
      </c>
      <c r="AA115" s="18"/>
      <c r="AB115" s="17">
        <v>1</v>
      </c>
      <c r="AC115" s="18"/>
      <c r="AD115" s="17">
        <v>1</v>
      </c>
      <c r="AE115" s="18"/>
      <c r="AF115" s="17">
        <v>1</v>
      </c>
      <c r="AG115" s="18"/>
      <c r="AH115" s="17">
        <v>1</v>
      </c>
      <c r="AI115" s="18"/>
      <c r="AJ115" s="17">
        <v>1</v>
      </c>
      <c r="AK115" s="18"/>
      <c r="AL115" s="17">
        <v>1</v>
      </c>
      <c r="AM115" s="18"/>
      <c r="AN115" s="17">
        <v>1</v>
      </c>
      <c r="AO115" s="18"/>
      <c r="AP115" s="17">
        <v>1</v>
      </c>
      <c r="AQ115" s="18"/>
      <c r="AR115" s="17">
        <v>1</v>
      </c>
      <c r="AS115" s="18"/>
      <c r="AT115" s="19">
        <v>0</v>
      </c>
      <c r="AU115" s="22"/>
      <c r="AV115" s="27">
        <f t="shared" si="31"/>
        <v>0</v>
      </c>
      <c r="AW115" s="19">
        <f t="shared" si="32"/>
        <v>0</v>
      </c>
      <c r="AX115" s="19">
        <f t="shared" si="33"/>
        <v>0</v>
      </c>
      <c r="AY115" s="19">
        <f t="shared" si="34"/>
        <v>0</v>
      </c>
      <c r="AZ115" s="19">
        <f t="shared" si="35"/>
        <v>0</v>
      </c>
      <c r="BA115" s="19">
        <f t="shared" si="36"/>
        <v>0</v>
      </c>
      <c r="BB115" s="19">
        <f t="shared" si="37"/>
        <v>0</v>
      </c>
      <c r="BC115" s="19">
        <f t="shared" si="30"/>
        <v>0</v>
      </c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20"/>
    </row>
    <row r="116" spans="1:70" x14ac:dyDescent="0.25">
      <c r="A116" s="111" t="s">
        <v>96</v>
      </c>
      <c r="B116" s="112">
        <f>SUM(B94:B99,B101:B102,B104:B113,B115)</f>
        <v>1</v>
      </c>
      <c r="C116" s="112">
        <f t="shared" ref="C116:BN116" si="38">SUM(C94:C99,C101:C102,C104:C113,C115)</f>
        <v>1</v>
      </c>
      <c r="D116" s="112">
        <f t="shared" si="38"/>
        <v>1</v>
      </c>
      <c r="E116" s="112">
        <f t="shared" si="38"/>
        <v>11</v>
      </c>
      <c r="F116" s="112">
        <f t="shared" si="38"/>
        <v>21</v>
      </c>
      <c r="G116" s="112">
        <f t="shared" si="38"/>
        <v>17</v>
      </c>
      <c r="H116" s="112">
        <f t="shared" si="38"/>
        <v>36</v>
      </c>
      <c r="I116" s="112">
        <f t="shared" si="38"/>
        <v>21</v>
      </c>
      <c r="J116" s="112">
        <f t="shared" si="38"/>
        <v>39</v>
      </c>
      <c r="K116" s="112">
        <f t="shared" si="38"/>
        <v>26</v>
      </c>
      <c r="L116" s="112">
        <f t="shared" si="38"/>
        <v>39</v>
      </c>
      <c r="M116" s="112">
        <f t="shared" si="38"/>
        <v>32</v>
      </c>
      <c r="N116" s="112">
        <f t="shared" si="38"/>
        <v>39</v>
      </c>
      <c r="O116" s="112">
        <f t="shared" si="38"/>
        <v>38</v>
      </c>
      <c r="P116" s="112">
        <f t="shared" si="38"/>
        <v>39</v>
      </c>
      <c r="Q116" s="112">
        <f t="shared" si="38"/>
        <v>44</v>
      </c>
      <c r="R116" s="112">
        <f t="shared" si="38"/>
        <v>39</v>
      </c>
      <c r="S116" s="112">
        <f t="shared" si="38"/>
        <v>46</v>
      </c>
      <c r="T116" s="112">
        <f t="shared" si="38"/>
        <v>39</v>
      </c>
      <c r="U116" s="112">
        <f t="shared" si="38"/>
        <v>46</v>
      </c>
      <c r="V116" s="112">
        <f t="shared" si="38"/>
        <v>39</v>
      </c>
      <c r="W116" s="112">
        <f t="shared" si="38"/>
        <v>46</v>
      </c>
      <c r="X116" s="112">
        <f t="shared" si="38"/>
        <v>37</v>
      </c>
      <c r="Y116" s="112">
        <f t="shared" si="38"/>
        <v>0</v>
      </c>
      <c r="Z116" s="112">
        <f t="shared" si="38"/>
        <v>37</v>
      </c>
      <c r="AA116" s="112">
        <f t="shared" si="38"/>
        <v>0</v>
      </c>
      <c r="AB116" s="112">
        <f t="shared" si="38"/>
        <v>37</v>
      </c>
      <c r="AC116" s="112">
        <f t="shared" si="38"/>
        <v>0</v>
      </c>
      <c r="AD116" s="112">
        <f t="shared" si="38"/>
        <v>39</v>
      </c>
      <c r="AE116" s="112">
        <f t="shared" si="38"/>
        <v>0</v>
      </c>
      <c r="AF116" s="112">
        <f t="shared" si="38"/>
        <v>39</v>
      </c>
      <c r="AG116" s="112">
        <f t="shared" si="38"/>
        <v>0</v>
      </c>
      <c r="AH116" s="112">
        <f t="shared" si="38"/>
        <v>39</v>
      </c>
      <c r="AI116" s="112">
        <f t="shared" si="38"/>
        <v>0</v>
      </c>
      <c r="AJ116" s="112">
        <f t="shared" si="38"/>
        <v>39</v>
      </c>
      <c r="AK116" s="112">
        <f t="shared" si="38"/>
        <v>0</v>
      </c>
      <c r="AL116" s="112">
        <f t="shared" si="38"/>
        <v>39</v>
      </c>
      <c r="AM116" s="112">
        <f t="shared" si="38"/>
        <v>0</v>
      </c>
      <c r="AN116" s="112">
        <f t="shared" si="38"/>
        <v>39</v>
      </c>
      <c r="AO116" s="112">
        <f t="shared" si="38"/>
        <v>0</v>
      </c>
      <c r="AP116" s="112">
        <f t="shared" si="38"/>
        <v>39</v>
      </c>
      <c r="AQ116" s="112">
        <f t="shared" si="38"/>
        <v>0</v>
      </c>
      <c r="AR116" s="112">
        <f t="shared" si="38"/>
        <v>31</v>
      </c>
      <c r="AS116" s="112">
        <f t="shared" si="38"/>
        <v>0</v>
      </c>
      <c r="AT116" s="112">
        <f t="shared" si="38"/>
        <v>4.5</v>
      </c>
      <c r="AU116" s="112">
        <f t="shared" si="38"/>
        <v>0</v>
      </c>
      <c r="AV116" s="112">
        <f t="shared" si="38"/>
        <v>0</v>
      </c>
      <c r="AW116" s="112">
        <f t="shared" si="38"/>
        <v>10</v>
      </c>
      <c r="AX116" s="112">
        <f t="shared" si="38"/>
        <v>-4</v>
      </c>
      <c r="AY116" s="112">
        <f t="shared" si="38"/>
        <v>-15</v>
      </c>
      <c r="AZ116" s="112">
        <f t="shared" si="38"/>
        <v>-13</v>
      </c>
      <c r="BA116" s="112">
        <f t="shared" si="38"/>
        <v>-7</v>
      </c>
      <c r="BB116" s="112">
        <f t="shared" si="38"/>
        <v>-1</v>
      </c>
      <c r="BC116" s="112">
        <f t="shared" si="38"/>
        <v>5</v>
      </c>
      <c r="BD116" s="112">
        <f t="shared" si="38"/>
        <v>0</v>
      </c>
      <c r="BE116" s="112">
        <f t="shared" si="38"/>
        <v>0</v>
      </c>
      <c r="BF116" s="112">
        <f t="shared" si="38"/>
        <v>0</v>
      </c>
      <c r="BG116" s="112">
        <f t="shared" si="38"/>
        <v>0</v>
      </c>
      <c r="BH116" s="112">
        <f t="shared" si="38"/>
        <v>0</v>
      </c>
      <c r="BI116" s="112">
        <f t="shared" si="38"/>
        <v>0</v>
      </c>
      <c r="BJ116" s="112">
        <f t="shared" si="38"/>
        <v>0</v>
      </c>
      <c r="BK116" s="112">
        <f t="shared" si="38"/>
        <v>0</v>
      </c>
      <c r="BL116" s="112">
        <f t="shared" si="38"/>
        <v>0</v>
      </c>
      <c r="BM116" s="112">
        <f t="shared" si="38"/>
        <v>0</v>
      </c>
      <c r="BN116" s="112">
        <f t="shared" si="38"/>
        <v>0</v>
      </c>
      <c r="BO116" s="112">
        <f t="shared" ref="BO116:BR116" si="39">SUM(BO94:BO99,BO101:BO102,BO104:BO113,BO115)</f>
        <v>0</v>
      </c>
      <c r="BP116" s="112">
        <f t="shared" si="39"/>
        <v>0</v>
      </c>
      <c r="BQ116" s="112">
        <f t="shared" si="39"/>
        <v>0</v>
      </c>
      <c r="BR116" s="112">
        <f t="shared" si="39"/>
        <v>0</v>
      </c>
    </row>
    <row r="117" spans="1:70" x14ac:dyDescent="0.25"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</row>
    <row r="118" spans="1:70" x14ac:dyDescent="0.25"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</row>
    <row r="119" spans="1:70" x14ac:dyDescent="0.25"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</row>
    <row r="120" spans="1:70" x14ac:dyDescent="0.25"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</row>
    <row r="121" spans="1:70" x14ac:dyDescent="0.25"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</row>
    <row r="122" spans="1:70" x14ac:dyDescent="0.25"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</row>
    <row r="123" spans="1:70" x14ac:dyDescent="0.25"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</row>
    <row r="124" spans="1:70" x14ac:dyDescent="0.25"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</row>
    <row r="125" spans="1:70" x14ac:dyDescent="0.25"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</row>
    <row r="126" spans="1:70" x14ac:dyDescent="0.25"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</row>
    <row r="127" spans="1:70" x14ac:dyDescent="0.25"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</row>
    <row r="128" spans="1:70" x14ac:dyDescent="0.25"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</row>
    <row r="129" spans="48:70" x14ac:dyDescent="0.25"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</row>
    <row r="130" spans="48:70" x14ac:dyDescent="0.25"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</row>
    <row r="131" spans="48:70" x14ac:dyDescent="0.25"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</row>
    <row r="132" spans="48:70" x14ac:dyDescent="0.25"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</row>
    <row r="133" spans="48:70" x14ac:dyDescent="0.25"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</row>
    <row r="134" spans="48:70" x14ac:dyDescent="0.25"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</row>
    <row r="135" spans="48:70" x14ac:dyDescent="0.25"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</row>
  </sheetData>
  <mergeCells count="3">
    <mergeCell ref="A35:A36"/>
    <mergeCell ref="A81:A82"/>
    <mergeCell ref="A92:A9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70"/>
  <sheetViews>
    <sheetView topLeftCell="A50" zoomScaleNormal="100" workbookViewId="0">
      <selection activeCell="J68" sqref="J68"/>
    </sheetView>
  </sheetViews>
  <sheetFormatPr defaultRowHeight="15" x14ac:dyDescent="0.25"/>
  <cols>
    <col min="1" max="1" width="19.42578125" bestFit="1" customWidth="1"/>
    <col min="2" max="3" width="10.140625" bestFit="1" customWidth="1"/>
    <col min="9" max="9" width="10.140625" bestFit="1" customWidth="1"/>
    <col min="24" max="24" width="12.28515625" bestFit="1" customWidth="1"/>
    <col min="29" max="29" width="10.28515625" bestFit="1" customWidth="1"/>
    <col min="30" max="44" width="10.140625" bestFit="1" customWidth="1"/>
  </cols>
  <sheetData>
    <row r="1" spans="1:45" x14ac:dyDescent="0.25">
      <c r="A1" s="132" t="s">
        <v>163</v>
      </c>
      <c r="B1" s="71" t="s">
        <v>164</v>
      </c>
      <c r="C1" s="71" t="s">
        <v>165</v>
      </c>
      <c r="D1" s="71" t="s">
        <v>166</v>
      </c>
      <c r="E1" s="71" t="s">
        <v>167</v>
      </c>
      <c r="F1" s="71" t="s">
        <v>168</v>
      </c>
      <c r="G1" s="71" t="s">
        <v>169</v>
      </c>
      <c r="H1" s="71" t="s">
        <v>170</v>
      </c>
      <c r="I1" s="71" t="s">
        <v>171</v>
      </c>
      <c r="J1" s="71" t="s">
        <v>172</v>
      </c>
      <c r="K1" s="71" t="s">
        <v>173</v>
      </c>
      <c r="L1" s="71" t="s">
        <v>174</v>
      </c>
      <c r="M1" s="71" t="s">
        <v>175</v>
      </c>
      <c r="N1" s="71" t="s">
        <v>176</v>
      </c>
      <c r="O1" s="71" t="s">
        <v>177</v>
      </c>
      <c r="P1" s="71" t="s">
        <v>178</v>
      </c>
      <c r="Q1" s="71" t="s">
        <v>179</v>
      </c>
      <c r="R1" s="71" t="s">
        <v>180</v>
      </c>
      <c r="S1" s="71" t="s">
        <v>181</v>
      </c>
      <c r="T1" s="71" t="s">
        <v>182</v>
      </c>
      <c r="U1" s="71" t="s">
        <v>183</v>
      </c>
      <c r="V1" s="71" t="s">
        <v>184</v>
      </c>
      <c r="W1" s="70"/>
      <c r="X1" s="70"/>
      <c r="Y1" s="133"/>
      <c r="Z1" s="133"/>
      <c r="AA1" s="133"/>
      <c r="AB1" s="133"/>
      <c r="AC1" s="134">
        <v>46204</v>
      </c>
      <c r="AD1" s="134">
        <v>46235</v>
      </c>
      <c r="AE1" s="134">
        <v>46266</v>
      </c>
      <c r="AF1" s="134">
        <v>46296</v>
      </c>
      <c r="AG1" s="134">
        <v>46327</v>
      </c>
      <c r="AH1" s="134">
        <v>46357</v>
      </c>
      <c r="AI1" s="134">
        <v>46391</v>
      </c>
      <c r="AJ1" s="134">
        <v>46419</v>
      </c>
      <c r="AK1" s="134">
        <v>46447</v>
      </c>
      <c r="AL1" s="134">
        <v>46478</v>
      </c>
      <c r="AM1" s="134">
        <v>46508</v>
      </c>
      <c r="AN1" s="134">
        <v>46539</v>
      </c>
      <c r="AO1" s="134">
        <v>46569</v>
      </c>
      <c r="AP1" s="134">
        <v>46600</v>
      </c>
      <c r="AQ1" s="134">
        <v>46631</v>
      </c>
      <c r="AR1" s="134">
        <v>46661</v>
      </c>
      <c r="AS1" s="133"/>
    </row>
    <row r="2" spans="1:45" s="70" customFormat="1" x14ac:dyDescent="0.25">
      <c r="A2" s="135" t="s">
        <v>185</v>
      </c>
      <c r="B2" s="67">
        <v>0</v>
      </c>
      <c r="C2" s="67">
        <v>863.8</v>
      </c>
      <c r="D2" s="67">
        <v>1179.8</v>
      </c>
      <c r="E2" s="67">
        <v>1072.5</v>
      </c>
      <c r="F2" s="67">
        <v>1179.8</v>
      </c>
      <c r="G2" s="67">
        <v>1233.4000000000001</v>
      </c>
      <c r="H2" s="67">
        <v>1126.2</v>
      </c>
      <c r="I2" s="67">
        <v>1126.2</v>
      </c>
      <c r="J2" s="67">
        <v>1126.2</v>
      </c>
      <c r="K2" s="67">
        <v>1018.9</v>
      </c>
      <c r="L2" s="67">
        <v>750.8</v>
      </c>
      <c r="M2" s="67">
        <v>1018.9</v>
      </c>
      <c r="N2" s="67">
        <v>1072.5</v>
      </c>
      <c r="O2" s="67">
        <v>1233.4000000000001</v>
      </c>
      <c r="P2" s="67">
        <v>1179.8</v>
      </c>
      <c r="Q2" s="67">
        <v>1126.2</v>
      </c>
      <c r="R2" s="67">
        <v>1179.8</v>
      </c>
      <c r="S2" s="67">
        <v>880.9</v>
      </c>
      <c r="T2" s="67">
        <v>0</v>
      </c>
      <c r="U2" s="67">
        <v>0</v>
      </c>
      <c r="V2" s="67">
        <v>0</v>
      </c>
      <c r="W2" s="136"/>
      <c r="X2" s="136"/>
      <c r="Y2" s="137"/>
      <c r="Z2" s="138"/>
      <c r="AA2" s="138"/>
      <c r="AB2" s="138"/>
      <c r="AC2" s="139">
        <v>46234</v>
      </c>
      <c r="AD2" s="139">
        <v>46265</v>
      </c>
      <c r="AE2" s="139">
        <v>46295</v>
      </c>
      <c r="AF2" s="139">
        <v>46326</v>
      </c>
      <c r="AG2" s="139">
        <v>46356</v>
      </c>
      <c r="AH2" s="139">
        <v>46375</v>
      </c>
      <c r="AI2" s="139">
        <v>46418</v>
      </c>
      <c r="AJ2" s="139">
        <v>46446</v>
      </c>
      <c r="AK2" s="139">
        <v>46477</v>
      </c>
      <c r="AL2" s="139">
        <v>46507</v>
      </c>
      <c r="AM2" s="139">
        <v>46538</v>
      </c>
      <c r="AN2" s="139">
        <v>46568</v>
      </c>
      <c r="AO2" s="139">
        <v>46599</v>
      </c>
      <c r="AP2" s="139">
        <v>46630</v>
      </c>
      <c r="AQ2" s="139">
        <v>46660</v>
      </c>
      <c r="AR2" s="139">
        <v>46691</v>
      </c>
      <c r="AS2" s="137"/>
    </row>
    <row r="3" spans="1:45" s="70" customFormat="1" x14ac:dyDescent="0.25">
      <c r="A3" s="140" t="s">
        <v>186</v>
      </c>
      <c r="B3" s="28">
        <v>0</v>
      </c>
      <c r="C3" s="28">
        <v>20</v>
      </c>
      <c r="D3" s="28">
        <v>26</v>
      </c>
      <c r="E3" s="28">
        <v>26</v>
      </c>
      <c r="F3" s="28">
        <v>26</v>
      </c>
      <c r="G3" s="28">
        <v>27</v>
      </c>
      <c r="H3" s="28">
        <v>26</v>
      </c>
      <c r="I3" s="28">
        <v>26</v>
      </c>
      <c r="J3" s="28">
        <v>27</v>
      </c>
      <c r="K3" s="28">
        <v>25</v>
      </c>
      <c r="L3" s="28">
        <v>17</v>
      </c>
      <c r="M3" s="28">
        <v>24</v>
      </c>
      <c r="N3" s="28">
        <v>24</v>
      </c>
      <c r="O3" s="28">
        <v>27</v>
      </c>
      <c r="P3" s="28">
        <v>26</v>
      </c>
      <c r="Q3" s="28">
        <v>26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</row>
    <row r="4" spans="1:45" s="70" customFormat="1" x14ac:dyDescent="0.25">
      <c r="A4" s="140" t="s">
        <v>187</v>
      </c>
      <c r="B4" s="28">
        <f>IFERROR(B2/B3,0)</f>
        <v>0</v>
      </c>
      <c r="C4" s="28">
        <f t="shared" ref="C4:V4" si="0">IFERROR(C2/C3,0)</f>
        <v>43.19</v>
      </c>
      <c r="D4" s="28">
        <f t="shared" si="0"/>
        <v>45.376923076923077</v>
      </c>
      <c r="E4" s="28">
        <f t="shared" si="0"/>
        <v>41.25</v>
      </c>
      <c r="F4" s="28">
        <f t="shared" si="0"/>
        <v>45.376923076923077</v>
      </c>
      <c r="G4" s="28">
        <f t="shared" si="0"/>
        <v>45.681481481481484</v>
      </c>
      <c r="H4" s="28">
        <f t="shared" si="0"/>
        <v>43.315384615384616</v>
      </c>
      <c r="I4" s="28">
        <f t="shared" si="0"/>
        <v>43.315384615384616</v>
      </c>
      <c r="J4" s="28">
        <f t="shared" si="0"/>
        <v>41.711111111111116</v>
      </c>
      <c r="K4" s="28">
        <f t="shared" si="0"/>
        <v>40.756</v>
      </c>
      <c r="L4" s="28">
        <f t="shared" si="0"/>
        <v>44.164705882352941</v>
      </c>
      <c r="M4" s="28">
        <f t="shared" si="0"/>
        <v>42.454166666666666</v>
      </c>
      <c r="N4" s="28">
        <f t="shared" si="0"/>
        <v>44.6875</v>
      </c>
      <c r="O4" s="28">
        <f t="shared" si="0"/>
        <v>45.681481481481484</v>
      </c>
      <c r="P4" s="28">
        <f t="shared" si="0"/>
        <v>45.376923076923077</v>
      </c>
      <c r="Q4" s="28">
        <f t="shared" si="0"/>
        <v>43.315384615384616</v>
      </c>
      <c r="R4" s="28">
        <f t="shared" si="0"/>
        <v>0</v>
      </c>
      <c r="S4" s="28">
        <f t="shared" si="0"/>
        <v>0</v>
      </c>
      <c r="T4" s="28">
        <f t="shared" si="0"/>
        <v>0</v>
      </c>
      <c r="U4" s="28">
        <f t="shared" si="0"/>
        <v>0</v>
      </c>
      <c r="V4" s="28">
        <f t="shared" si="0"/>
        <v>0</v>
      </c>
      <c r="Y4" s="141"/>
      <c r="Z4" s="141"/>
      <c r="AA4" s="141"/>
      <c r="AB4" s="141"/>
      <c r="AC4" s="141">
        <f>NETWORKDAYS.INTL(AC1,AC2,11)</f>
        <v>27</v>
      </c>
      <c r="AD4" s="141">
        <f t="shared" ref="AD4:AR4" si="1">NETWORKDAYS.INTL(AD1,AD2,11)</f>
        <v>26</v>
      </c>
      <c r="AE4" s="141">
        <f t="shared" si="1"/>
        <v>26</v>
      </c>
      <c r="AF4" s="141">
        <f t="shared" si="1"/>
        <v>27</v>
      </c>
      <c r="AG4" s="141">
        <f t="shared" si="1"/>
        <v>25</v>
      </c>
      <c r="AH4" s="141">
        <f t="shared" si="1"/>
        <v>17</v>
      </c>
      <c r="AI4" s="141">
        <f t="shared" si="1"/>
        <v>24</v>
      </c>
      <c r="AJ4" s="141">
        <f t="shared" si="1"/>
        <v>24</v>
      </c>
      <c r="AK4" s="141">
        <f t="shared" si="1"/>
        <v>27</v>
      </c>
      <c r="AL4" s="141">
        <f t="shared" si="1"/>
        <v>26</v>
      </c>
      <c r="AM4" s="141">
        <f t="shared" si="1"/>
        <v>26</v>
      </c>
      <c r="AN4" s="141">
        <f t="shared" si="1"/>
        <v>26</v>
      </c>
      <c r="AO4" s="141">
        <f t="shared" si="1"/>
        <v>27</v>
      </c>
      <c r="AP4" s="141">
        <f t="shared" si="1"/>
        <v>26</v>
      </c>
      <c r="AQ4" s="141">
        <f t="shared" si="1"/>
        <v>26</v>
      </c>
      <c r="AR4" s="141">
        <f t="shared" si="1"/>
        <v>26</v>
      </c>
    </row>
    <row r="5" spans="1:45" s="70" customFormat="1" x14ac:dyDescent="0.25">
      <c r="A5" s="142" t="s">
        <v>188</v>
      </c>
      <c r="B5" s="68">
        <v>0</v>
      </c>
      <c r="C5" s="68">
        <v>6</v>
      </c>
      <c r="D5" s="68">
        <v>335</v>
      </c>
      <c r="E5" s="68">
        <v>626</v>
      </c>
      <c r="F5" s="68">
        <v>828</v>
      </c>
      <c r="G5" s="68">
        <v>1187</v>
      </c>
      <c r="H5" s="68">
        <v>1105</v>
      </c>
      <c r="I5" s="68">
        <v>1265</v>
      </c>
      <c r="J5" s="68">
        <v>429</v>
      </c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X5" s="136"/>
      <c r="Y5" s="141"/>
      <c r="Z5" s="141"/>
      <c r="AA5" s="141"/>
      <c r="AB5" s="141"/>
      <c r="AC5" s="141"/>
      <c r="AD5" s="141"/>
      <c r="AE5" s="141"/>
      <c r="AF5" s="141"/>
      <c r="AG5" s="141"/>
      <c r="AH5" s="141"/>
      <c r="AI5" s="141"/>
      <c r="AJ5" s="141"/>
      <c r="AK5" s="141"/>
      <c r="AL5" s="141"/>
    </row>
    <row r="6" spans="1:45" s="144" customFormat="1" x14ac:dyDescent="0.25">
      <c r="A6" s="143" t="s">
        <v>186</v>
      </c>
      <c r="B6" s="69">
        <v>0</v>
      </c>
      <c r="C6" s="69">
        <v>1</v>
      </c>
      <c r="D6" s="69">
        <v>15</v>
      </c>
      <c r="E6" s="69">
        <v>20</v>
      </c>
      <c r="F6" s="69">
        <v>19</v>
      </c>
      <c r="G6" s="69">
        <v>18</v>
      </c>
      <c r="H6" s="69">
        <v>21</v>
      </c>
      <c r="I6" s="69">
        <v>23</v>
      </c>
      <c r="J6" s="69">
        <v>11</v>
      </c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</row>
    <row r="7" spans="1:45" s="144" customFormat="1" x14ac:dyDescent="0.25">
      <c r="A7" s="143" t="s">
        <v>187</v>
      </c>
      <c r="B7" s="69">
        <f>IFERROR(B5/B6,0)</f>
        <v>0</v>
      </c>
      <c r="C7" s="69">
        <f t="shared" ref="C7:J7" si="2">IFERROR(C5/C6,0)</f>
        <v>6</v>
      </c>
      <c r="D7" s="69">
        <f t="shared" si="2"/>
        <v>22.333333333333332</v>
      </c>
      <c r="E7" s="69">
        <f t="shared" si="2"/>
        <v>31.3</v>
      </c>
      <c r="F7" s="69">
        <f t="shared" si="2"/>
        <v>43.578947368421055</v>
      </c>
      <c r="G7" s="69">
        <f t="shared" si="2"/>
        <v>65.944444444444443</v>
      </c>
      <c r="H7" s="69">
        <f t="shared" si="2"/>
        <v>52.61904761904762</v>
      </c>
      <c r="I7" s="69">
        <f t="shared" si="2"/>
        <v>55</v>
      </c>
      <c r="J7" s="69">
        <f t="shared" si="2"/>
        <v>39</v>
      </c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</row>
    <row r="8" spans="1:45" s="144" customFormat="1" x14ac:dyDescent="0.25">
      <c r="A8" s="146" t="s">
        <v>189</v>
      </c>
      <c r="B8" s="147">
        <f t="shared" ref="B8:F10" si="3">B5</f>
        <v>0</v>
      </c>
      <c r="C8" s="147">
        <f t="shared" si="3"/>
        <v>6</v>
      </c>
      <c r="D8" s="147">
        <f t="shared" si="3"/>
        <v>335</v>
      </c>
      <c r="E8" s="147">
        <f t="shared" si="3"/>
        <v>626</v>
      </c>
      <c r="F8" s="147">
        <f t="shared" si="3"/>
        <v>828</v>
      </c>
      <c r="G8" s="147">
        <f>G5</f>
        <v>1187</v>
      </c>
      <c r="H8" s="147">
        <v>1051</v>
      </c>
      <c r="I8" s="147">
        <v>1352.8999999999996</v>
      </c>
      <c r="J8" s="147">
        <v>1106.8000000000002</v>
      </c>
      <c r="K8" s="147">
        <v>1287.6999999999998</v>
      </c>
      <c r="L8" s="147">
        <v>948.89999999999964</v>
      </c>
      <c r="M8" s="147">
        <v>1287.7000000000007</v>
      </c>
      <c r="N8" s="147">
        <v>1355.5</v>
      </c>
      <c r="O8" s="147">
        <v>1558.7999999999993</v>
      </c>
      <c r="P8" s="147">
        <v>1491.1000000000004</v>
      </c>
      <c r="Q8" s="147">
        <v>1423.2999999999993</v>
      </c>
      <c r="R8" s="147">
        <v>1491.0999999999985</v>
      </c>
      <c r="S8" s="147">
        <v>1066.2999999999993</v>
      </c>
      <c r="T8" s="147">
        <v>0</v>
      </c>
      <c r="U8" s="147">
        <v>0</v>
      </c>
      <c r="V8" s="147">
        <v>0</v>
      </c>
      <c r="X8" s="148"/>
      <c r="Y8" s="145"/>
      <c r="Z8" s="145"/>
      <c r="AA8" s="145"/>
      <c r="AB8" s="145"/>
      <c r="AC8" s="145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</row>
    <row r="9" spans="1:45" s="144" customFormat="1" x14ac:dyDescent="0.25">
      <c r="A9" s="143" t="s">
        <v>186</v>
      </c>
      <c r="B9" s="69">
        <f>B6</f>
        <v>0</v>
      </c>
      <c r="C9" s="69">
        <f t="shared" ref="C9:H9" si="4">C6</f>
        <v>1</v>
      </c>
      <c r="D9" s="69">
        <f t="shared" si="4"/>
        <v>15</v>
      </c>
      <c r="E9" s="69">
        <f t="shared" si="4"/>
        <v>20</v>
      </c>
      <c r="F9" s="69">
        <f t="shared" si="4"/>
        <v>19</v>
      </c>
      <c r="G9" s="69">
        <f t="shared" si="4"/>
        <v>18</v>
      </c>
      <c r="H9" s="69">
        <f t="shared" si="4"/>
        <v>21</v>
      </c>
      <c r="I9" s="69">
        <v>25</v>
      </c>
      <c r="J9" s="69">
        <v>27</v>
      </c>
      <c r="K9" s="69">
        <v>25</v>
      </c>
      <c r="L9" s="69">
        <v>16</v>
      </c>
      <c r="M9" s="69">
        <v>24</v>
      </c>
      <c r="N9" s="69">
        <v>24</v>
      </c>
      <c r="O9" s="69">
        <v>27</v>
      </c>
      <c r="P9" s="69">
        <v>26</v>
      </c>
      <c r="Q9" s="69">
        <v>26</v>
      </c>
      <c r="R9" s="69">
        <v>26</v>
      </c>
      <c r="S9" s="69">
        <v>27</v>
      </c>
      <c r="T9" s="69">
        <v>0</v>
      </c>
      <c r="U9" s="69">
        <v>0</v>
      </c>
      <c r="V9" s="69">
        <v>0</v>
      </c>
    </row>
    <row r="10" spans="1:45" s="144" customFormat="1" x14ac:dyDescent="0.25">
      <c r="A10" s="143" t="s">
        <v>187</v>
      </c>
      <c r="B10" s="69">
        <f t="shared" si="3"/>
        <v>0</v>
      </c>
      <c r="C10" s="69">
        <f t="shared" si="3"/>
        <v>6</v>
      </c>
      <c r="D10" s="69">
        <f t="shared" si="3"/>
        <v>22.333333333333332</v>
      </c>
      <c r="E10" s="69">
        <f t="shared" si="3"/>
        <v>31.3</v>
      </c>
      <c r="F10" s="69">
        <f t="shared" si="3"/>
        <v>43.578947368421055</v>
      </c>
      <c r="G10" s="69">
        <f>G7</f>
        <v>65.944444444444443</v>
      </c>
      <c r="H10" s="69">
        <f t="shared" ref="H10:U10" si="5">IFERROR(H8/H9,0)</f>
        <v>50.047619047619051</v>
      </c>
      <c r="I10" s="69">
        <f t="shared" si="5"/>
        <v>54.115999999999985</v>
      </c>
      <c r="J10" s="69">
        <f t="shared" si="5"/>
        <v>40.992592592592601</v>
      </c>
      <c r="K10" s="69">
        <f t="shared" si="5"/>
        <v>51.507999999999996</v>
      </c>
      <c r="L10" s="69">
        <f t="shared" si="5"/>
        <v>59.306249999999977</v>
      </c>
      <c r="M10" s="69">
        <f t="shared" si="5"/>
        <v>53.654166666666697</v>
      </c>
      <c r="N10" s="69">
        <f t="shared" si="5"/>
        <v>56.479166666666664</v>
      </c>
      <c r="O10" s="69">
        <f t="shared" si="5"/>
        <v>57.733333333333306</v>
      </c>
      <c r="P10" s="69">
        <f t="shared" si="5"/>
        <v>57.350000000000016</v>
      </c>
      <c r="Q10" s="69">
        <f t="shared" si="5"/>
        <v>54.742307692307662</v>
      </c>
      <c r="R10" s="69">
        <f t="shared" si="5"/>
        <v>57.349999999999945</v>
      </c>
      <c r="S10" s="69">
        <f t="shared" si="5"/>
        <v>39.492592592592565</v>
      </c>
      <c r="T10" s="69">
        <f t="shared" si="5"/>
        <v>0</v>
      </c>
      <c r="U10" s="69">
        <f t="shared" si="5"/>
        <v>0</v>
      </c>
      <c r="V10" s="69">
        <v>0</v>
      </c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</row>
    <row r="11" spans="1:45" s="70" customFormat="1" x14ac:dyDescent="0.25"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</row>
    <row r="12" spans="1:45" s="70" customFormat="1" x14ac:dyDescent="0.25">
      <c r="A12" s="132" t="s">
        <v>9</v>
      </c>
      <c r="B12" s="71" t="s">
        <v>164</v>
      </c>
      <c r="C12" s="71" t="s">
        <v>165</v>
      </c>
      <c r="D12" s="71" t="s">
        <v>166</v>
      </c>
      <c r="E12" s="71" t="s">
        <v>167</v>
      </c>
      <c r="F12" s="71" t="s">
        <v>168</v>
      </c>
      <c r="G12" s="71" t="s">
        <v>169</v>
      </c>
      <c r="H12" s="71" t="s">
        <v>170</v>
      </c>
      <c r="I12" s="71" t="s">
        <v>171</v>
      </c>
      <c r="J12" s="71" t="s">
        <v>172</v>
      </c>
      <c r="K12" s="71" t="s">
        <v>173</v>
      </c>
      <c r="L12" s="71" t="s">
        <v>174</v>
      </c>
      <c r="M12" s="71" t="s">
        <v>175</v>
      </c>
      <c r="N12" s="71" t="s">
        <v>176</v>
      </c>
      <c r="O12" s="71" t="s">
        <v>177</v>
      </c>
      <c r="P12" s="71" t="s">
        <v>178</v>
      </c>
      <c r="Q12" s="71" t="s">
        <v>179</v>
      </c>
      <c r="R12" s="71" t="s">
        <v>180</v>
      </c>
      <c r="S12" s="71" t="s">
        <v>181</v>
      </c>
      <c r="T12" s="71" t="s">
        <v>182</v>
      </c>
      <c r="U12" s="71" t="s">
        <v>183</v>
      </c>
      <c r="V12" s="71" t="s">
        <v>184</v>
      </c>
    </row>
    <row r="13" spans="1:45" s="144" customFormat="1" x14ac:dyDescent="0.25">
      <c r="A13" s="150" t="s">
        <v>190</v>
      </c>
      <c r="B13" s="151">
        <v>525</v>
      </c>
      <c r="C13" s="151">
        <v>20834.099999999999</v>
      </c>
      <c r="D13" s="151">
        <v>22670.6</v>
      </c>
      <c r="E13" s="151">
        <v>17825.7</v>
      </c>
      <c r="F13" s="151">
        <v>18975.599999999999</v>
      </c>
      <c r="G13" s="151">
        <v>18324.7</v>
      </c>
      <c r="H13" s="151">
        <v>19666.2</v>
      </c>
      <c r="I13" s="151">
        <v>16423</v>
      </c>
      <c r="J13" s="151">
        <v>9932.7999999999993</v>
      </c>
      <c r="K13" s="151">
        <v>16219.3</v>
      </c>
      <c r="L13" s="151">
        <v>13428.8</v>
      </c>
      <c r="M13" s="151">
        <v>15756.9</v>
      </c>
      <c r="N13" s="151">
        <v>16586.2</v>
      </c>
      <c r="O13" s="151">
        <v>18720.2</v>
      </c>
      <c r="P13" s="151">
        <v>18506.400000000001</v>
      </c>
      <c r="Q13" s="151">
        <v>18061.8</v>
      </c>
      <c r="R13" s="151">
        <v>18436.3</v>
      </c>
      <c r="S13" s="151">
        <v>18436.3</v>
      </c>
      <c r="T13" s="151">
        <v>6927.6</v>
      </c>
      <c r="U13" s="151">
        <v>0</v>
      </c>
      <c r="V13" s="151">
        <v>0</v>
      </c>
      <c r="X13" s="148"/>
      <c r="Y13" s="148"/>
      <c r="AE13" s="148"/>
    </row>
    <row r="14" spans="1:45" s="144" customFormat="1" x14ac:dyDescent="0.25">
      <c r="A14" s="143" t="s">
        <v>186</v>
      </c>
      <c r="B14" s="69">
        <v>5</v>
      </c>
      <c r="C14" s="69">
        <v>26</v>
      </c>
      <c r="D14" s="69">
        <v>26</v>
      </c>
      <c r="E14" s="69">
        <v>26</v>
      </c>
      <c r="F14" s="69">
        <v>26</v>
      </c>
      <c r="G14" s="69">
        <v>27</v>
      </c>
      <c r="H14" s="69">
        <v>26</v>
      </c>
      <c r="I14" s="69">
        <v>12</v>
      </c>
      <c r="J14" s="69">
        <v>0</v>
      </c>
      <c r="K14" s="69">
        <v>0</v>
      </c>
      <c r="L14" s="69">
        <v>0</v>
      </c>
      <c r="M14" s="69">
        <v>0</v>
      </c>
      <c r="N14" s="69">
        <v>0</v>
      </c>
      <c r="O14" s="69">
        <v>0</v>
      </c>
      <c r="P14" s="69">
        <v>0</v>
      </c>
      <c r="Q14" s="69">
        <v>0</v>
      </c>
      <c r="R14" s="69">
        <v>0</v>
      </c>
      <c r="S14" s="69">
        <v>0</v>
      </c>
      <c r="T14" s="69">
        <v>0</v>
      </c>
      <c r="U14" s="69">
        <v>0</v>
      </c>
      <c r="V14" s="69">
        <v>0</v>
      </c>
      <c r="Y14" s="148"/>
    </row>
    <row r="15" spans="1:45" s="144" customFormat="1" x14ac:dyDescent="0.25">
      <c r="A15" s="143" t="s">
        <v>187</v>
      </c>
      <c r="B15" s="69">
        <f>IFERROR(B13/B14,0)</f>
        <v>105</v>
      </c>
      <c r="C15" s="69">
        <f t="shared" ref="C15:V15" si="6">IFERROR(C13/C14,0)</f>
        <v>801.31153846153836</v>
      </c>
      <c r="D15" s="69">
        <f t="shared" si="6"/>
        <v>871.94615384615383</v>
      </c>
      <c r="E15" s="69">
        <f t="shared" si="6"/>
        <v>685.60384615384623</v>
      </c>
      <c r="F15" s="69">
        <f t="shared" si="6"/>
        <v>729.83076923076919</v>
      </c>
      <c r="G15" s="69">
        <f t="shared" si="6"/>
        <v>678.69259259259263</v>
      </c>
      <c r="H15" s="69">
        <f t="shared" si="6"/>
        <v>756.39230769230767</v>
      </c>
      <c r="I15" s="69">
        <f t="shared" si="6"/>
        <v>1368.5833333333333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</row>
    <row r="16" spans="1:45" s="144" customFormat="1" x14ac:dyDescent="0.25">
      <c r="A16" s="152" t="s">
        <v>191</v>
      </c>
      <c r="B16" s="153">
        <v>451</v>
      </c>
      <c r="C16" s="153">
        <v>7717</v>
      </c>
      <c r="D16" s="153">
        <v>7760</v>
      </c>
      <c r="E16" s="153">
        <v>12900</v>
      </c>
      <c r="F16" s="153">
        <v>20505</v>
      </c>
      <c r="G16" s="153">
        <v>17148</v>
      </c>
      <c r="H16" s="153">
        <v>20537</v>
      </c>
      <c r="I16" s="153">
        <v>13615</v>
      </c>
      <c r="J16" s="153">
        <v>5500</v>
      </c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X16" s="148"/>
    </row>
    <row r="17" spans="1:24" s="144" customFormat="1" x14ac:dyDescent="0.25">
      <c r="A17" s="143" t="s">
        <v>186</v>
      </c>
      <c r="B17" s="69">
        <v>3</v>
      </c>
      <c r="C17" s="69">
        <v>14</v>
      </c>
      <c r="D17" s="69">
        <v>10</v>
      </c>
      <c r="E17" s="69">
        <v>16</v>
      </c>
      <c r="F17" s="69">
        <v>18</v>
      </c>
      <c r="G17" s="69">
        <v>15</v>
      </c>
      <c r="H17" s="69">
        <v>16</v>
      </c>
      <c r="I17" s="69">
        <v>17</v>
      </c>
      <c r="J17" s="69">
        <v>8</v>
      </c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</row>
    <row r="18" spans="1:24" s="144" customFormat="1" x14ac:dyDescent="0.25">
      <c r="A18" s="143" t="s">
        <v>187</v>
      </c>
      <c r="B18" s="69">
        <f>IFERROR(B16/B17,0)</f>
        <v>150.33333333333334</v>
      </c>
      <c r="C18" s="69">
        <f t="shared" ref="C18:J18" si="7">IFERROR(C16/C17,0)</f>
        <v>551.21428571428567</v>
      </c>
      <c r="D18" s="69">
        <f t="shared" si="7"/>
        <v>776</v>
      </c>
      <c r="E18" s="69">
        <f t="shared" si="7"/>
        <v>806.25</v>
      </c>
      <c r="F18" s="69">
        <f t="shared" si="7"/>
        <v>1139.1666666666667</v>
      </c>
      <c r="G18" s="69">
        <f t="shared" si="7"/>
        <v>1143.2</v>
      </c>
      <c r="H18" s="69">
        <f t="shared" si="7"/>
        <v>1283.5625</v>
      </c>
      <c r="I18" s="69">
        <f t="shared" si="7"/>
        <v>800.88235294117646</v>
      </c>
      <c r="J18" s="69">
        <f t="shared" si="7"/>
        <v>687.5</v>
      </c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</row>
    <row r="19" spans="1:24" s="144" customFormat="1" x14ac:dyDescent="0.25">
      <c r="A19" s="146" t="s">
        <v>192</v>
      </c>
      <c r="B19" s="147">
        <f t="shared" ref="B19:F21" si="8">B16</f>
        <v>451</v>
      </c>
      <c r="C19" s="147">
        <f t="shared" si="8"/>
        <v>7717</v>
      </c>
      <c r="D19" s="147">
        <f t="shared" si="8"/>
        <v>7760</v>
      </c>
      <c r="E19" s="147">
        <f t="shared" si="8"/>
        <v>12900</v>
      </c>
      <c r="F19" s="147">
        <f t="shared" si="8"/>
        <v>20505</v>
      </c>
      <c r="G19" s="147">
        <f>G16</f>
        <v>17148</v>
      </c>
      <c r="H19" s="147">
        <v>16832</v>
      </c>
      <c r="I19" s="147">
        <v>13615</v>
      </c>
      <c r="J19" s="147">
        <v>17883.300000000003</v>
      </c>
      <c r="K19" s="147">
        <v>18572.599999999991</v>
      </c>
      <c r="L19" s="147">
        <v>12565.700000000012</v>
      </c>
      <c r="M19" s="147">
        <v>17592.700000000012</v>
      </c>
      <c r="N19" s="147">
        <v>18645.5</v>
      </c>
      <c r="O19" s="147">
        <v>21409.799999999988</v>
      </c>
      <c r="P19" s="147">
        <v>20502.5</v>
      </c>
      <c r="Q19" s="147">
        <v>19778.399999999994</v>
      </c>
      <c r="R19" s="147">
        <v>20559.400000000023</v>
      </c>
      <c r="S19" s="147">
        <v>20484.799999999988</v>
      </c>
      <c r="T19" s="147">
        <v>17629.79999999993</v>
      </c>
      <c r="U19" s="147">
        <v>0</v>
      </c>
      <c r="V19" s="147">
        <v>0</v>
      </c>
      <c r="X19" s="148"/>
    </row>
    <row r="20" spans="1:24" s="144" customFormat="1" x14ac:dyDescent="0.25">
      <c r="A20" s="143" t="s">
        <v>186</v>
      </c>
      <c r="B20" s="69">
        <f>B17</f>
        <v>3</v>
      </c>
      <c r="C20" s="69">
        <f t="shared" ref="C20:H20" si="9">C17</f>
        <v>14</v>
      </c>
      <c r="D20" s="69">
        <f t="shared" si="9"/>
        <v>10</v>
      </c>
      <c r="E20" s="69">
        <f t="shared" si="9"/>
        <v>16</v>
      </c>
      <c r="F20" s="69">
        <f t="shared" si="9"/>
        <v>18</v>
      </c>
      <c r="G20" s="69">
        <f t="shared" si="9"/>
        <v>15</v>
      </c>
      <c r="H20" s="69">
        <f t="shared" si="9"/>
        <v>16</v>
      </c>
      <c r="I20" s="69">
        <v>25</v>
      </c>
      <c r="J20" s="69">
        <v>27</v>
      </c>
      <c r="K20" s="69">
        <v>25</v>
      </c>
      <c r="L20" s="69">
        <v>16</v>
      </c>
      <c r="M20" s="69">
        <v>24</v>
      </c>
      <c r="N20" s="69">
        <v>24</v>
      </c>
      <c r="O20" s="69">
        <v>27</v>
      </c>
      <c r="P20" s="69">
        <v>26</v>
      </c>
      <c r="Q20" s="69">
        <v>26</v>
      </c>
      <c r="R20" s="69">
        <v>26</v>
      </c>
      <c r="S20" s="69">
        <v>27</v>
      </c>
      <c r="T20" s="69">
        <v>26</v>
      </c>
      <c r="U20" s="69">
        <v>0</v>
      </c>
      <c r="V20" s="69">
        <v>0</v>
      </c>
    </row>
    <row r="21" spans="1:24" s="144" customFormat="1" x14ac:dyDescent="0.25">
      <c r="A21" s="143" t="s">
        <v>187</v>
      </c>
      <c r="B21" s="69">
        <f t="shared" si="8"/>
        <v>150.33333333333334</v>
      </c>
      <c r="C21" s="69">
        <f t="shared" si="8"/>
        <v>551.21428571428567</v>
      </c>
      <c r="D21" s="69">
        <f t="shared" si="8"/>
        <v>776</v>
      </c>
      <c r="E21" s="69">
        <f t="shared" si="8"/>
        <v>806.25</v>
      </c>
      <c r="F21" s="69">
        <f t="shared" si="8"/>
        <v>1139.1666666666667</v>
      </c>
      <c r="G21" s="69">
        <f>G18</f>
        <v>1143.2</v>
      </c>
      <c r="H21" s="69">
        <f t="shared" ref="H21:U21" si="10">IFERROR(H19/H20,0)</f>
        <v>1052</v>
      </c>
      <c r="I21" s="69">
        <f t="shared" si="10"/>
        <v>544.6</v>
      </c>
      <c r="J21" s="69">
        <f t="shared" si="10"/>
        <v>662.34444444444455</v>
      </c>
      <c r="K21" s="69">
        <f t="shared" si="10"/>
        <v>742.90399999999966</v>
      </c>
      <c r="L21" s="69">
        <f t="shared" si="10"/>
        <v>785.35625000000073</v>
      </c>
      <c r="M21" s="69">
        <f t="shared" si="10"/>
        <v>733.02916666666715</v>
      </c>
      <c r="N21" s="69">
        <f t="shared" si="10"/>
        <v>776.89583333333337</v>
      </c>
      <c r="O21" s="69">
        <f t="shared" si="10"/>
        <v>792.95555555555518</v>
      </c>
      <c r="P21" s="69">
        <f t="shared" si="10"/>
        <v>788.55769230769226</v>
      </c>
      <c r="Q21" s="69">
        <f t="shared" si="10"/>
        <v>760.70769230769213</v>
      </c>
      <c r="R21" s="69">
        <f t="shared" si="10"/>
        <v>790.7461538461547</v>
      </c>
      <c r="S21" s="69">
        <f t="shared" si="10"/>
        <v>758.69629629629583</v>
      </c>
      <c r="T21" s="69">
        <f t="shared" si="10"/>
        <v>678.06923076922806</v>
      </c>
      <c r="U21" s="69">
        <f t="shared" si="10"/>
        <v>0</v>
      </c>
      <c r="V21" s="69">
        <v>0</v>
      </c>
    </row>
    <row r="22" spans="1:24" s="70" customFormat="1" x14ac:dyDescent="0.25"/>
    <row r="23" spans="1:24" s="70" customFormat="1" x14ac:dyDescent="0.25">
      <c r="A23" s="132" t="s">
        <v>193</v>
      </c>
      <c r="B23" s="71" t="s">
        <v>164</v>
      </c>
      <c r="C23" s="71" t="s">
        <v>165</v>
      </c>
      <c r="D23" s="71" t="s">
        <v>166</v>
      </c>
      <c r="E23" s="71" t="s">
        <v>167</v>
      </c>
      <c r="F23" s="71" t="s">
        <v>168</v>
      </c>
      <c r="G23" s="71" t="s">
        <v>169</v>
      </c>
      <c r="H23" s="71" t="s">
        <v>170</v>
      </c>
      <c r="I23" s="71" t="s">
        <v>171</v>
      </c>
      <c r="J23" s="71" t="s">
        <v>172</v>
      </c>
      <c r="K23" s="71" t="s">
        <v>173</v>
      </c>
      <c r="L23" s="71" t="s">
        <v>174</v>
      </c>
      <c r="M23" s="71" t="s">
        <v>175</v>
      </c>
      <c r="N23" s="71" t="s">
        <v>176</v>
      </c>
      <c r="O23" s="71" t="s">
        <v>177</v>
      </c>
      <c r="P23" s="71" t="s">
        <v>178</v>
      </c>
      <c r="Q23" s="71" t="s">
        <v>179</v>
      </c>
      <c r="R23" s="71" t="s">
        <v>180</v>
      </c>
      <c r="S23" s="71" t="s">
        <v>181</v>
      </c>
      <c r="T23" s="71" t="s">
        <v>182</v>
      </c>
      <c r="U23" s="71" t="s">
        <v>183</v>
      </c>
      <c r="V23" s="71" t="s">
        <v>184</v>
      </c>
    </row>
    <row r="24" spans="1:24" s="70" customFormat="1" x14ac:dyDescent="0.25">
      <c r="A24" s="135" t="s">
        <v>194</v>
      </c>
      <c r="B24" s="67">
        <v>0</v>
      </c>
      <c r="C24" s="67">
        <v>23790.799999999999</v>
      </c>
      <c r="D24" s="67">
        <v>40459.599999999999</v>
      </c>
      <c r="E24" s="67">
        <v>43137.2</v>
      </c>
      <c r="F24" s="67">
        <v>53698.9</v>
      </c>
      <c r="G24" s="67">
        <v>51090</v>
      </c>
      <c r="H24" s="67">
        <v>50867.3</v>
      </c>
      <c r="I24" s="67">
        <v>51443.8</v>
      </c>
      <c r="J24" s="67">
        <v>23679.5</v>
      </c>
      <c r="K24" s="67">
        <v>29834.799999999999</v>
      </c>
      <c r="L24" s="67">
        <v>32625.4</v>
      </c>
      <c r="M24" s="67">
        <v>39296.400000000001</v>
      </c>
      <c r="N24" s="67">
        <v>36347.199999999997</v>
      </c>
      <c r="O24" s="67">
        <v>47353.1</v>
      </c>
      <c r="P24" s="67">
        <v>47765.8</v>
      </c>
      <c r="Q24" s="67">
        <v>28821.3</v>
      </c>
      <c r="R24" s="67">
        <v>50085.9</v>
      </c>
      <c r="S24" s="67">
        <v>46403</v>
      </c>
      <c r="T24" s="67">
        <v>32170.6</v>
      </c>
      <c r="U24" s="67">
        <v>0</v>
      </c>
      <c r="V24" s="67">
        <v>0</v>
      </c>
      <c r="X24" s="136"/>
    </row>
    <row r="25" spans="1:24" s="70" customFormat="1" x14ac:dyDescent="0.25">
      <c r="A25" s="140" t="s">
        <v>186</v>
      </c>
      <c r="B25" s="28">
        <v>0</v>
      </c>
      <c r="C25" s="28">
        <v>16</v>
      </c>
      <c r="D25" s="28">
        <v>26</v>
      </c>
      <c r="E25" s="28">
        <v>26</v>
      </c>
      <c r="F25" s="28">
        <v>26</v>
      </c>
      <c r="G25" s="28">
        <v>27</v>
      </c>
      <c r="H25" s="28">
        <v>26</v>
      </c>
      <c r="I25" s="28">
        <v>26</v>
      </c>
      <c r="J25" s="28">
        <v>14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</row>
    <row r="26" spans="1:24" s="70" customFormat="1" x14ac:dyDescent="0.25">
      <c r="A26" s="140" t="s">
        <v>187</v>
      </c>
      <c r="B26" s="28">
        <f>IFERROR(B24/B25,0)</f>
        <v>0</v>
      </c>
      <c r="C26" s="28">
        <f t="shared" ref="C26:V26" si="11">IFERROR(C24/C25,0)</f>
        <v>1486.925</v>
      </c>
      <c r="D26" s="28">
        <f t="shared" si="11"/>
        <v>1556.1384615384616</v>
      </c>
      <c r="E26" s="28">
        <f t="shared" si="11"/>
        <v>1659.1230769230767</v>
      </c>
      <c r="F26" s="28">
        <f t="shared" si="11"/>
        <v>2065.3423076923077</v>
      </c>
      <c r="G26" s="28">
        <f t="shared" si="11"/>
        <v>1892.2222222222222</v>
      </c>
      <c r="H26" s="28">
        <f t="shared" si="11"/>
        <v>1956.4346153846154</v>
      </c>
      <c r="I26" s="28">
        <f t="shared" si="11"/>
        <v>1978.6076923076923</v>
      </c>
      <c r="J26" s="28">
        <f t="shared" si="11"/>
        <v>1691.3928571428571</v>
      </c>
      <c r="K26" s="28">
        <f t="shared" si="11"/>
        <v>0</v>
      </c>
      <c r="L26" s="28">
        <f t="shared" si="11"/>
        <v>0</v>
      </c>
      <c r="M26" s="28">
        <f t="shared" si="11"/>
        <v>0</v>
      </c>
      <c r="N26" s="28">
        <f t="shared" si="11"/>
        <v>0</v>
      </c>
      <c r="O26" s="28">
        <f t="shared" si="11"/>
        <v>0</v>
      </c>
      <c r="P26" s="28">
        <f t="shared" si="11"/>
        <v>0</v>
      </c>
      <c r="Q26" s="28">
        <f t="shared" si="11"/>
        <v>0</v>
      </c>
      <c r="R26" s="28">
        <f t="shared" si="11"/>
        <v>0</v>
      </c>
      <c r="S26" s="28">
        <f t="shared" si="11"/>
        <v>0</v>
      </c>
      <c r="T26" s="28">
        <f t="shared" si="11"/>
        <v>0</v>
      </c>
      <c r="U26" s="28">
        <f t="shared" si="11"/>
        <v>0</v>
      </c>
      <c r="V26" s="28">
        <f t="shared" si="11"/>
        <v>0</v>
      </c>
    </row>
    <row r="27" spans="1:24" s="70" customFormat="1" x14ac:dyDescent="0.25">
      <c r="A27" s="142" t="s">
        <v>195</v>
      </c>
      <c r="B27" s="68">
        <v>0</v>
      </c>
      <c r="C27" s="68">
        <v>4183</v>
      </c>
      <c r="D27" s="68">
        <v>12512</v>
      </c>
      <c r="E27" s="68">
        <v>10962</v>
      </c>
      <c r="F27" s="68">
        <v>17136</v>
      </c>
      <c r="G27" s="68">
        <v>48321</v>
      </c>
      <c r="H27" s="68">
        <v>41202</v>
      </c>
      <c r="I27" s="68">
        <v>36285</v>
      </c>
      <c r="J27" s="68">
        <v>35107</v>
      </c>
      <c r="K27" s="68" t="s">
        <v>196</v>
      </c>
      <c r="L27" s="68" t="s">
        <v>196</v>
      </c>
      <c r="M27" s="68" t="s">
        <v>196</v>
      </c>
      <c r="N27" s="68" t="s">
        <v>196</v>
      </c>
      <c r="O27" s="68" t="s">
        <v>196</v>
      </c>
      <c r="P27" s="68" t="s">
        <v>196</v>
      </c>
      <c r="Q27" s="68" t="s">
        <v>196</v>
      </c>
      <c r="R27" s="68" t="s">
        <v>196</v>
      </c>
      <c r="S27" s="68" t="s">
        <v>196</v>
      </c>
      <c r="T27" s="68" t="s">
        <v>196</v>
      </c>
      <c r="U27" s="68" t="s">
        <v>196</v>
      </c>
      <c r="V27" s="68" t="s">
        <v>196</v>
      </c>
      <c r="X27" s="136"/>
    </row>
    <row r="28" spans="1:24" s="144" customFormat="1" x14ac:dyDescent="0.25">
      <c r="A28" s="143" t="s">
        <v>186</v>
      </c>
      <c r="B28" s="69">
        <v>0</v>
      </c>
      <c r="C28" s="69">
        <v>4</v>
      </c>
      <c r="D28" s="69">
        <v>5</v>
      </c>
      <c r="E28" s="69">
        <v>7</v>
      </c>
      <c r="F28" s="69">
        <v>12</v>
      </c>
      <c r="G28" s="69">
        <v>18</v>
      </c>
      <c r="H28" s="69">
        <v>13</v>
      </c>
      <c r="I28" s="69">
        <v>13</v>
      </c>
      <c r="J28" s="69">
        <v>12</v>
      </c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</row>
    <row r="29" spans="1:24" s="144" customFormat="1" x14ac:dyDescent="0.25">
      <c r="A29" s="143" t="s">
        <v>187</v>
      </c>
      <c r="B29" s="69">
        <f>IFERROR(B27/B28,0)</f>
        <v>0</v>
      </c>
      <c r="C29" s="69">
        <f t="shared" ref="C29:J29" si="12">IFERROR(C27/C28,0)</f>
        <v>1045.75</v>
      </c>
      <c r="D29" s="69">
        <f t="shared" si="12"/>
        <v>2502.4</v>
      </c>
      <c r="E29" s="69">
        <f t="shared" si="12"/>
        <v>1566</v>
      </c>
      <c r="F29" s="69">
        <f t="shared" si="12"/>
        <v>1428</v>
      </c>
      <c r="G29" s="69">
        <f t="shared" si="12"/>
        <v>2684.5</v>
      </c>
      <c r="H29" s="69">
        <f t="shared" si="12"/>
        <v>3169.3846153846152</v>
      </c>
      <c r="I29" s="69">
        <f t="shared" si="12"/>
        <v>2791.1538461538462</v>
      </c>
      <c r="J29" s="69">
        <f t="shared" si="12"/>
        <v>2925.5833333333335</v>
      </c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</row>
    <row r="30" spans="1:24" s="144" customFormat="1" x14ac:dyDescent="0.25">
      <c r="A30" s="146" t="s">
        <v>197</v>
      </c>
      <c r="B30" s="147">
        <f t="shared" ref="B30:F32" si="13">B27</f>
        <v>0</v>
      </c>
      <c r="C30" s="147">
        <f t="shared" si="13"/>
        <v>4183</v>
      </c>
      <c r="D30" s="147">
        <f t="shared" si="13"/>
        <v>12512</v>
      </c>
      <c r="E30" s="147">
        <f t="shared" si="13"/>
        <v>10962</v>
      </c>
      <c r="F30" s="147">
        <f t="shared" si="13"/>
        <v>17136</v>
      </c>
      <c r="G30" s="147">
        <f>G27</f>
        <v>48321</v>
      </c>
      <c r="H30" s="147">
        <v>41202</v>
      </c>
      <c r="I30" s="147">
        <v>36285</v>
      </c>
      <c r="J30" s="147">
        <v>86171.799999999988</v>
      </c>
      <c r="K30" s="147">
        <v>47896.799999999988</v>
      </c>
      <c r="L30" s="147">
        <v>28221.5</v>
      </c>
      <c r="M30" s="147">
        <v>28266.299999999988</v>
      </c>
      <c r="N30" s="147">
        <v>31935.299999999988</v>
      </c>
      <c r="O30" s="147">
        <v>51662.900000000023</v>
      </c>
      <c r="P30" s="147">
        <v>37808.400000000023</v>
      </c>
      <c r="Q30" s="147">
        <v>56204.199999999953</v>
      </c>
      <c r="R30" s="147">
        <v>50229.5</v>
      </c>
      <c r="S30" s="147">
        <v>33918.199999999953</v>
      </c>
      <c r="T30" s="147">
        <v>52176.900000000023</v>
      </c>
      <c r="U30" s="147">
        <v>53778.099999999977</v>
      </c>
      <c r="V30" s="147">
        <v>0</v>
      </c>
      <c r="X30" s="148"/>
    </row>
    <row r="31" spans="1:24" s="144" customFormat="1" x14ac:dyDescent="0.25">
      <c r="A31" s="143" t="s">
        <v>186</v>
      </c>
      <c r="B31" s="69">
        <f>B28</f>
        <v>0</v>
      </c>
      <c r="C31" s="69">
        <f t="shared" ref="C31:H31" si="14">C28</f>
        <v>4</v>
      </c>
      <c r="D31" s="69">
        <f t="shared" si="14"/>
        <v>5</v>
      </c>
      <c r="E31" s="69">
        <f t="shared" si="14"/>
        <v>7</v>
      </c>
      <c r="F31" s="69">
        <f t="shared" si="14"/>
        <v>12</v>
      </c>
      <c r="G31" s="69">
        <f t="shared" si="14"/>
        <v>18</v>
      </c>
      <c r="H31" s="69">
        <f t="shared" si="14"/>
        <v>13</v>
      </c>
      <c r="I31" s="69">
        <v>25</v>
      </c>
      <c r="J31" s="69">
        <v>27</v>
      </c>
      <c r="K31" s="69">
        <v>25</v>
      </c>
      <c r="L31" s="69">
        <v>16</v>
      </c>
      <c r="M31" s="69">
        <v>24</v>
      </c>
      <c r="N31" s="69">
        <v>24</v>
      </c>
      <c r="O31" s="69">
        <v>27</v>
      </c>
      <c r="P31" s="69">
        <v>26</v>
      </c>
      <c r="Q31" s="69">
        <v>26</v>
      </c>
      <c r="R31" s="69">
        <v>26</v>
      </c>
      <c r="S31" s="69">
        <v>27</v>
      </c>
      <c r="T31" s="69">
        <v>26</v>
      </c>
      <c r="U31" s="69">
        <v>26</v>
      </c>
      <c r="V31" s="69">
        <v>0</v>
      </c>
    </row>
    <row r="32" spans="1:24" s="144" customFormat="1" x14ac:dyDescent="0.25">
      <c r="A32" s="143" t="s">
        <v>198</v>
      </c>
      <c r="B32" s="69">
        <f t="shared" si="13"/>
        <v>0</v>
      </c>
      <c r="C32" s="69">
        <f t="shared" si="13"/>
        <v>1045.75</v>
      </c>
      <c r="D32" s="69">
        <f t="shared" si="13"/>
        <v>2502.4</v>
      </c>
      <c r="E32" s="69">
        <f t="shared" si="13"/>
        <v>1566</v>
      </c>
      <c r="F32" s="69">
        <f t="shared" si="13"/>
        <v>1428</v>
      </c>
      <c r="G32" s="69">
        <f>G29</f>
        <v>2684.5</v>
      </c>
      <c r="H32" s="69">
        <f t="shared" ref="H32:U32" si="15">IFERROR(H30/H31,0)</f>
        <v>3169.3846153846152</v>
      </c>
      <c r="I32" s="69">
        <f t="shared" si="15"/>
        <v>1451.4</v>
      </c>
      <c r="J32" s="69">
        <f t="shared" si="15"/>
        <v>3191.5481481481479</v>
      </c>
      <c r="K32" s="69">
        <f t="shared" si="15"/>
        <v>1915.8719999999996</v>
      </c>
      <c r="L32" s="69">
        <f t="shared" si="15"/>
        <v>1763.84375</v>
      </c>
      <c r="M32" s="69">
        <f t="shared" si="15"/>
        <v>1177.7624999999996</v>
      </c>
      <c r="N32" s="69">
        <f t="shared" si="15"/>
        <v>1330.6374999999996</v>
      </c>
      <c r="O32" s="69">
        <f t="shared" si="15"/>
        <v>1913.4407407407416</v>
      </c>
      <c r="P32" s="69">
        <f t="shared" si="15"/>
        <v>1454.1692307692317</v>
      </c>
      <c r="Q32" s="69">
        <f t="shared" si="15"/>
        <v>2161.699999999998</v>
      </c>
      <c r="R32" s="69">
        <f t="shared" si="15"/>
        <v>1931.9038461538462</v>
      </c>
      <c r="S32" s="69">
        <f t="shared" si="15"/>
        <v>1256.2296296296279</v>
      </c>
      <c r="T32" s="69">
        <f t="shared" si="15"/>
        <v>2006.803846153847</v>
      </c>
      <c r="U32" s="69">
        <f t="shared" si="15"/>
        <v>2068.3884615384604</v>
      </c>
      <c r="V32" s="69">
        <v>0</v>
      </c>
    </row>
    <row r="33" spans="1:24" s="70" customFormat="1" x14ac:dyDescent="0.25"/>
    <row r="34" spans="1:24" s="70" customFormat="1" x14ac:dyDescent="0.25">
      <c r="A34" s="132" t="s">
        <v>199</v>
      </c>
      <c r="B34" s="71" t="s">
        <v>164</v>
      </c>
      <c r="C34" s="71" t="s">
        <v>165</v>
      </c>
      <c r="D34" s="71" t="s">
        <v>166</v>
      </c>
      <c r="E34" s="71" t="s">
        <v>167</v>
      </c>
      <c r="F34" s="71" t="s">
        <v>168</v>
      </c>
      <c r="G34" s="71" t="s">
        <v>169</v>
      </c>
      <c r="H34" s="71" t="s">
        <v>170</v>
      </c>
      <c r="I34" s="71" t="s">
        <v>171</v>
      </c>
      <c r="J34" s="71" t="s">
        <v>172</v>
      </c>
      <c r="K34" s="71" t="s">
        <v>173</v>
      </c>
      <c r="L34" s="71" t="s">
        <v>174</v>
      </c>
      <c r="M34" s="71" t="s">
        <v>175</v>
      </c>
      <c r="N34" s="71" t="s">
        <v>176</v>
      </c>
      <c r="O34" s="71" t="s">
        <v>177</v>
      </c>
      <c r="P34" s="71" t="s">
        <v>178</v>
      </c>
      <c r="Q34" s="71" t="s">
        <v>179</v>
      </c>
      <c r="R34" s="71" t="s">
        <v>180</v>
      </c>
      <c r="S34" s="71" t="s">
        <v>181</v>
      </c>
      <c r="T34" s="71" t="s">
        <v>182</v>
      </c>
      <c r="U34" s="71" t="s">
        <v>183</v>
      </c>
      <c r="V34" s="71" t="s">
        <v>184</v>
      </c>
    </row>
    <row r="35" spans="1:24" s="70" customFormat="1" x14ac:dyDescent="0.25">
      <c r="A35" s="135" t="s">
        <v>185</v>
      </c>
      <c r="B35" s="67">
        <v>0</v>
      </c>
      <c r="C35" s="67">
        <v>37.6</v>
      </c>
      <c r="D35" s="67">
        <v>182.3</v>
      </c>
      <c r="E35" s="67">
        <v>245.6</v>
      </c>
      <c r="F35" s="67">
        <v>244.6</v>
      </c>
      <c r="G35" s="67">
        <v>234.2</v>
      </c>
      <c r="H35" s="67">
        <v>208.9</v>
      </c>
      <c r="I35" s="67">
        <v>242.1</v>
      </c>
      <c r="J35" s="67">
        <v>94.8</v>
      </c>
      <c r="K35" s="67">
        <v>159.4</v>
      </c>
      <c r="L35" s="67">
        <v>144.19999999999999</v>
      </c>
      <c r="M35" s="67">
        <v>164.2</v>
      </c>
      <c r="N35" s="67">
        <v>141.80000000000001</v>
      </c>
      <c r="O35" s="67">
        <v>208.7</v>
      </c>
      <c r="P35" s="67">
        <v>206.7</v>
      </c>
      <c r="Q35" s="67">
        <v>189.5</v>
      </c>
      <c r="R35" s="67">
        <v>207.3</v>
      </c>
      <c r="S35" s="67">
        <v>214.8</v>
      </c>
      <c r="T35" s="67">
        <v>143.6</v>
      </c>
      <c r="U35" s="67">
        <v>24.7</v>
      </c>
      <c r="V35" s="67">
        <v>0</v>
      </c>
      <c r="X35" s="136"/>
    </row>
    <row r="36" spans="1:24" s="70" customFormat="1" x14ac:dyDescent="0.25">
      <c r="A36" s="140" t="s">
        <v>186</v>
      </c>
      <c r="B36" s="28">
        <v>0</v>
      </c>
      <c r="C36" s="28">
        <v>0</v>
      </c>
      <c r="D36" s="28">
        <v>19</v>
      </c>
      <c r="E36" s="28">
        <v>26</v>
      </c>
      <c r="F36" s="28">
        <v>26</v>
      </c>
      <c r="G36" s="28">
        <v>27</v>
      </c>
      <c r="H36" s="28">
        <v>26</v>
      </c>
      <c r="I36" s="28">
        <v>26</v>
      </c>
      <c r="J36" s="28">
        <v>27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</row>
    <row r="37" spans="1:24" s="70" customFormat="1" x14ac:dyDescent="0.25">
      <c r="A37" s="140" t="s">
        <v>187</v>
      </c>
      <c r="B37" s="28">
        <f>IFERROR(B35/B36,0)</f>
        <v>0</v>
      </c>
      <c r="C37" s="28">
        <f t="shared" ref="C37:V37" si="16">IFERROR(C35/C36,0)</f>
        <v>0</v>
      </c>
      <c r="D37" s="28">
        <f t="shared" si="16"/>
        <v>9.594736842105263</v>
      </c>
      <c r="E37" s="28">
        <f t="shared" si="16"/>
        <v>9.4461538461538463</v>
      </c>
      <c r="F37" s="28">
        <f t="shared" si="16"/>
        <v>9.407692307692308</v>
      </c>
      <c r="G37" s="28">
        <f t="shared" si="16"/>
        <v>8.674074074074074</v>
      </c>
      <c r="H37" s="28">
        <f t="shared" si="16"/>
        <v>8.0346153846153854</v>
      </c>
      <c r="I37" s="28">
        <f t="shared" si="16"/>
        <v>9.3115384615384613</v>
      </c>
      <c r="J37" s="28">
        <f t="shared" si="16"/>
        <v>3.5111111111111111</v>
      </c>
      <c r="K37" s="28">
        <f t="shared" si="16"/>
        <v>0</v>
      </c>
      <c r="L37" s="28">
        <f t="shared" si="16"/>
        <v>0</v>
      </c>
      <c r="M37" s="28">
        <f t="shared" si="16"/>
        <v>0</v>
      </c>
      <c r="N37" s="28">
        <f t="shared" si="16"/>
        <v>0</v>
      </c>
      <c r="O37" s="28">
        <f t="shared" si="16"/>
        <v>0</v>
      </c>
      <c r="P37" s="28">
        <f t="shared" si="16"/>
        <v>0</v>
      </c>
      <c r="Q37" s="28">
        <f t="shared" si="16"/>
        <v>0</v>
      </c>
      <c r="R37" s="28">
        <f t="shared" si="16"/>
        <v>0</v>
      </c>
      <c r="S37" s="28">
        <f t="shared" si="16"/>
        <v>0</v>
      </c>
      <c r="T37" s="28">
        <f t="shared" si="16"/>
        <v>0</v>
      </c>
      <c r="U37" s="28">
        <f t="shared" si="16"/>
        <v>0</v>
      </c>
      <c r="V37" s="28">
        <f t="shared" si="16"/>
        <v>0</v>
      </c>
    </row>
    <row r="38" spans="1:24" s="70" customFormat="1" x14ac:dyDescent="0.25">
      <c r="A38" s="142" t="s">
        <v>188</v>
      </c>
      <c r="B38" s="68">
        <v>0</v>
      </c>
      <c r="C38" s="68">
        <v>0</v>
      </c>
      <c r="D38" s="68">
        <v>4</v>
      </c>
      <c r="E38" s="68">
        <v>69</v>
      </c>
      <c r="F38" s="68">
        <v>171</v>
      </c>
      <c r="G38" s="68">
        <v>118</v>
      </c>
      <c r="H38" s="68">
        <v>57</v>
      </c>
      <c r="I38" s="68">
        <v>119</v>
      </c>
      <c r="J38" s="68">
        <v>59</v>
      </c>
      <c r="K38" s="68" t="s">
        <v>196</v>
      </c>
      <c r="L38" s="68" t="s">
        <v>196</v>
      </c>
      <c r="M38" s="68" t="s">
        <v>196</v>
      </c>
      <c r="N38" s="68" t="s">
        <v>196</v>
      </c>
      <c r="O38" s="68" t="s">
        <v>196</v>
      </c>
      <c r="P38" s="68" t="s">
        <v>196</v>
      </c>
      <c r="Q38" s="68" t="s">
        <v>196</v>
      </c>
      <c r="R38" s="68" t="s">
        <v>196</v>
      </c>
      <c r="S38" s="68" t="s">
        <v>196</v>
      </c>
      <c r="T38" s="68" t="s">
        <v>196</v>
      </c>
      <c r="U38" s="68" t="s">
        <v>196</v>
      </c>
      <c r="V38" s="68" t="s">
        <v>196</v>
      </c>
      <c r="X38" s="136"/>
    </row>
    <row r="39" spans="1:24" s="144" customFormat="1" x14ac:dyDescent="0.25">
      <c r="A39" s="143" t="s">
        <v>186</v>
      </c>
      <c r="B39" s="69">
        <v>0</v>
      </c>
      <c r="C39" s="69">
        <v>0</v>
      </c>
      <c r="D39" s="69">
        <v>1</v>
      </c>
      <c r="E39" s="69">
        <v>12</v>
      </c>
      <c r="F39" s="69">
        <v>19</v>
      </c>
      <c r="G39" s="69">
        <v>15</v>
      </c>
      <c r="H39" s="69">
        <v>17</v>
      </c>
      <c r="I39" s="69">
        <v>22</v>
      </c>
      <c r="J39" s="69">
        <v>11</v>
      </c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</row>
    <row r="40" spans="1:24" s="144" customFormat="1" x14ac:dyDescent="0.25">
      <c r="A40" s="143" t="s">
        <v>187</v>
      </c>
      <c r="B40" s="69">
        <f>IFERROR(B38/B39,0)</f>
        <v>0</v>
      </c>
      <c r="C40" s="69">
        <f t="shared" ref="C40:H40" si="17">IFERROR(C38/C39,0)</f>
        <v>0</v>
      </c>
      <c r="D40" s="69">
        <f t="shared" si="17"/>
        <v>4</v>
      </c>
      <c r="E40" s="69">
        <f t="shared" si="17"/>
        <v>5.75</v>
      </c>
      <c r="F40" s="69">
        <f t="shared" si="17"/>
        <v>9</v>
      </c>
      <c r="G40" s="69">
        <f t="shared" si="17"/>
        <v>7.8666666666666663</v>
      </c>
      <c r="H40" s="69">
        <f t="shared" si="17"/>
        <v>3.3529411764705883</v>
      </c>
      <c r="I40" s="69">
        <v>22</v>
      </c>
      <c r="J40" s="69">
        <v>22</v>
      </c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</row>
    <row r="41" spans="1:24" s="144" customFormat="1" x14ac:dyDescent="0.25">
      <c r="A41" s="146" t="s">
        <v>189</v>
      </c>
      <c r="B41" s="147">
        <f t="shared" ref="B41:F43" si="18">B38</f>
        <v>0</v>
      </c>
      <c r="C41" s="147">
        <f t="shared" si="18"/>
        <v>0</v>
      </c>
      <c r="D41" s="147">
        <f t="shared" si="18"/>
        <v>4</v>
      </c>
      <c r="E41" s="147">
        <f t="shared" si="18"/>
        <v>69</v>
      </c>
      <c r="F41" s="147">
        <f t="shared" si="18"/>
        <v>171</v>
      </c>
      <c r="G41" s="147">
        <f>G38</f>
        <v>118</v>
      </c>
      <c r="H41" s="147">
        <v>57</v>
      </c>
      <c r="I41" s="147">
        <v>132.20000000000005</v>
      </c>
      <c r="J41" s="147">
        <v>244</v>
      </c>
      <c r="K41" s="147">
        <v>192.5</v>
      </c>
      <c r="L41" s="147">
        <v>178.09999999999991</v>
      </c>
      <c r="M41" s="147">
        <v>219.79999999999995</v>
      </c>
      <c r="N41" s="147">
        <v>164.29999999999995</v>
      </c>
      <c r="O41" s="147">
        <v>220.59999999999991</v>
      </c>
      <c r="P41" s="147">
        <v>263.90000000000009</v>
      </c>
      <c r="Q41" s="147">
        <v>268.59999999999991</v>
      </c>
      <c r="R41" s="147">
        <v>279.09999999999991</v>
      </c>
      <c r="S41" s="147">
        <v>325.30000000000018</v>
      </c>
      <c r="T41" s="147">
        <v>297</v>
      </c>
      <c r="U41" s="147">
        <v>98.300000000000182</v>
      </c>
      <c r="V41" s="147">
        <v>3.4000000000000909</v>
      </c>
      <c r="X41" s="148"/>
    </row>
    <row r="42" spans="1:24" s="144" customFormat="1" x14ac:dyDescent="0.25">
      <c r="A42" s="143" t="s">
        <v>186</v>
      </c>
      <c r="B42" s="69">
        <f>B39</f>
        <v>0</v>
      </c>
      <c r="C42" s="69">
        <f t="shared" ref="C42:H42" si="19">C39</f>
        <v>0</v>
      </c>
      <c r="D42" s="69">
        <f t="shared" si="19"/>
        <v>1</v>
      </c>
      <c r="E42" s="69">
        <f t="shared" si="19"/>
        <v>12</v>
      </c>
      <c r="F42" s="69">
        <f t="shared" si="19"/>
        <v>19</v>
      </c>
      <c r="G42" s="69">
        <f t="shared" si="19"/>
        <v>15</v>
      </c>
      <c r="H42" s="69">
        <f t="shared" si="19"/>
        <v>17</v>
      </c>
      <c r="I42" s="69">
        <v>25</v>
      </c>
      <c r="J42" s="69">
        <v>27</v>
      </c>
      <c r="K42" s="69">
        <v>25</v>
      </c>
      <c r="L42" s="69">
        <v>16</v>
      </c>
      <c r="M42" s="69">
        <v>24</v>
      </c>
      <c r="N42" s="69">
        <v>24</v>
      </c>
      <c r="O42" s="69">
        <v>27</v>
      </c>
      <c r="P42" s="69">
        <v>26</v>
      </c>
      <c r="Q42" s="69">
        <v>26</v>
      </c>
      <c r="R42" s="69">
        <v>26</v>
      </c>
      <c r="S42" s="69">
        <v>27</v>
      </c>
      <c r="T42" s="69">
        <v>26</v>
      </c>
      <c r="U42" s="69">
        <v>26</v>
      </c>
      <c r="V42" s="69">
        <v>0</v>
      </c>
    </row>
    <row r="43" spans="1:24" s="144" customFormat="1" x14ac:dyDescent="0.25">
      <c r="A43" s="143" t="s">
        <v>187</v>
      </c>
      <c r="B43" s="69">
        <f t="shared" si="18"/>
        <v>0</v>
      </c>
      <c r="C43" s="69">
        <f t="shared" si="18"/>
        <v>0</v>
      </c>
      <c r="D43" s="69">
        <f t="shared" si="18"/>
        <v>4</v>
      </c>
      <c r="E43" s="69">
        <f t="shared" si="18"/>
        <v>5.75</v>
      </c>
      <c r="F43" s="69">
        <f t="shared" si="18"/>
        <v>9</v>
      </c>
      <c r="G43" s="69">
        <f>G40</f>
        <v>7.8666666666666663</v>
      </c>
      <c r="H43" s="69">
        <f t="shared" ref="H43:U43" si="20">IFERROR(H41/H42,0)</f>
        <v>3.3529411764705883</v>
      </c>
      <c r="I43" s="69">
        <f t="shared" si="20"/>
        <v>5.288000000000002</v>
      </c>
      <c r="J43" s="69">
        <f t="shared" si="20"/>
        <v>9.0370370370370363</v>
      </c>
      <c r="K43" s="69">
        <f t="shared" si="20"/>
        <v>7.7</v>
      </c>
      <c r="L43" s="69">
        <f t="shared" si="20"/>
        <v>11.131249999999994</v>
      </c>
      <c r="M43" s="69">
        <f t="shared" si="20"/>
        <v>9.1583333333333314</v>
      </c>
      <c r="N43" s="69">
        <f t="shared" si="20"/>
        <v>6.8458333333333314</v>
      </c>
      <c r="O43" s="69">
        <f t="shared" si="20"/>
        <v>8.1703703703703674</v>
      </c>
      <c r="P43" s="69">
        <f t="shared" si="20"/>
        <v>10.150000000000004</v>
      </c>
      <c r="Q43" s="69">
        <f t="shared" si="20"/>
        <v>10.330769230769228</v>
      </c>
      <c r="R43" s="69">
        <f t="shared" si="20"/>
        <v>10.734615384615381</v>
      </c>
      <c r="S43" s="69">
        <f t="shared" si="20"/>
        <v>12.048148148148154</v>
      </c>
      <c r="T43" s="69">
        <f t="shared" si="20"/>
        <v>11.423076923076923</v>
      </c>
      <c r="U43" s="69">
        <f t="shared" si="20"/>
        <v>3.7807692307692378</v>
      </c>
      <c r="V43" s="69">
        <v>0</v>
      </c>
    </row>
    <row r="44" spans="1:24" s="70" customFormat="1" x14ac:dyDescent="0.25"/>
    <row r="45" spans="1:24" s="70" customFormat="1" x14ac:dyDescent="0.25">
      <c r="A45" s="132" t="s">
        <v>200</v>
      </c>
      <c r="B45" s="71" t="s">
        <v>164</v>
      </c>
      <c r="C45" s="71" t="s">
        <v>165</v>
      </c>
      <c r="D45" s="71" t="s">
        <v>166</v>
      </c>
      <c r="E45" s="71" t="s">
        <v>167</v>
      </c>
      <c r="F45" s="71" t="s">
        <v>168</v>
      </c>
      <c r="G45" s="71" t="s">
        <v>169</v>
      </c>
      <c r="H45" s="71" t="s">
        <v>170</v>
      </c>
      <c r="I45" s="71" t="s">
        <v>171</v>
      </c>
      <c r="J45" s="71" t="s">
        <v>172</v>
      </c>
      <c r="K45" s="71" t="s">
        <v>173</v>
      </c>
      <c r="L45" s="71" t="s">
        <v>174</v>
      </c>
      <c r="M45" s="71" t="s">
        <v>175</v>
      </c>
      <c r="N45" s="71" t="s">
        <v>176</v>
      </c>
      <c r="O45" s="71" t="s">
        <v>177</v>
      </c>
      <c r="P45" s="71" t="s">
        <v>178</v>
      </c>
      <c r="Q45" s="71" t="s">
        <v>179</v>
      </c>
      <c r="R45" s="71" t="s">
        <v>180</v>
      </c>
      <c r="S45" s="71" t="s">
        <v>181</v>
      </c>
      <c r="T45" s="71" t="s">
        <v>182</v>
      </c>
      <c r="U45" s="71" t="s">
        <v>183</v>
      </c>
      <c r="V45" s="71" t="s">
        <v>184</v>
      </c>
    </row>
    <row r="46" spans="1:24" s="70" customFormat="1" x14ac:dyDescent="0.25">
      <c r="A46" s="135" t="s">
        <v>190</v>
      </c>
      <c r="B46" s="67">
        <v>0</v>
      </c>
      <c r="C46" s="67">
        <v>3214.2</v>
      </c>
      <c r="D46" s="67">
        <v>13023</v>
      </c>
      <c r="E46" s="67">
        <v>16802.400000000001</v>
      </c>
      <c r="F46" s="67">
        <v>21570.9</v>
      </c>
      <c r="G46" s="67">
        <v>25302.6</v>
      </c>
      <c r="H46" s="67">
        <v>23404.3</v>
      </c>
      <c r="I46" s="67">
        <v>25758.799999999999</v>
      </c>
      <c r="J46" s="67">
        <v>5050.5</v>
      </c>
      <c r="K46" s="67">
        <v>14292</v>
      </c>
      <c r="L46" s="67">
        <v>13072.2</v>
      </c>
      <c r="M46" s="67">
        <v>17125.599999999999</v>
      </c>
      <c r="N46" s="67">
        <v>16719.900000000001</v>
      </c>
      <c r="O46" s="67">
        <v>19231.099999999999</v>
      </c>
      <c r="P46" s="67">
        <v>18713.3</v>
      </c>
      <c r="Q46" s="67">
        <v>16253.7</v>
      </c>
      <c r="R46" s="67">
        <v>20606.2</v>
      </c>
      <c r="S46" s="67">
        <v>19408.2</v>
      </c>
      <c r="T46" s="67">
        <v>16708.7</v>
      </c>
      <c r="U46" s="67">
        <v>0</v>
      </c>
      <c r="V46" s="67">
        <v>0</v>
      </c>
      <c r="X46" s="136"/>
    </row>
    <row r="47" spans="1:24" s="70" customFormat="1" x14ac:dyDescent="0.25">
      <c r="A47" s="140" t="s">
        <v>186</v>
      </c>
      <c r="B47" s="28">
        <v>0</v>
      </c>
      <c r="C47" s="28">
        <v>0</v>
      </c>
      <c r="D47" s="28">
        <v>19</v>
      </c>
      <c r="E47" s="28">
        <v>26</v>
      </c>
      <c r="F47" s="28">
        <v>26</v>
      </c>
      <c r="G47" s="28">
        <v>27</v>
      </c>
      <c r="H47" s="28">
        <v>26</v>
      </c>
      <c r="I47" s="28">
        <v>26</v>
      </c>
      <c r="J47" s="28">
        <v>18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</row>
    <row r="48" spans="1:24" s="70" customFormat="1" x14ac:dyDescent="0.25">
      <c r="A48" s="140" t="s">
        <v>187</v>
      </c>
      <c r="B48" s="28">
        <f>IFERROR(B46/B47,0)</f>
        <v>0</v>
      </c>
      <c r="C48" s="28">
        <f t="shared" ref="C48:V48" si="21">IFERROR(C46/C47,0)</f>
        <v>0</v>
      </c>
      <c r="D48" s="28">
        <f t="shared" si="21"/>
        <v>685.42105263157896</v>
      </c>
      <c r="E48" s="28">
        <f t="shared" si="21"/>
        <v>646.2461538461539</v>
      </c>
      <c r="F48" s="28">
        <f t="shared" si="21"/>
        <v>829.65000000000009</v>
      </c>
      <c r="G48" s="28">
        <f t="shared" si="21"/>
        <v>937.13333333333333</v>
      </c>
      <c r="H48" s="28">
        <f t="shared" si="21"/>
        <v>900.1653846153846</v>
      </c>
      <c r="I48" s="28">
        <f t="shared" si="21"/>
        <v>990.72307692307686</v>
      </c>
      <c r="J48" s="28">
        <f t="shared" si="21"/>
        <v>280.58333333333331</v>
      </c>
      <c r="K48" s="28">
        <f t="shared" si="21"/>
        <v>0</v>
      </c>
      <c r="L48" s="28">
        <f t="shared" si="21"/>
        <v>0</v>
      </c>
      <c r="M48" s="28">
        <f t="shared" si="21"/>
        <v>0</v>
      </c>
      <c r="N48" s="28">
        <f t="shared" si="21"/>
        <v>0</v>
      </c>
      <c r="O48" s="28">
        <f t="shared" si="21"/>
        <v>0</v>
      </c>
      <c r="P48" s="28">
        <f t="shared" si="21"/>
        <v>0</v>
      </c>
      <c r="Q48" s="28">
        <f t="shared" si="21"/>
        <v>0</v>
      </c>
      <c r="R48" s="28">
        <f t="shared" si="21"/>
        <v>0</v>
      </c>
      <c r="S48" s="28">
        <f t="shared" si="21"/>
        <v>0</v>
      </c>
      <c r="T48" s="28">
        <f t="shared" si="21"/>
        <v>0</v>
      </c>
      <c r="U48" s="28">
        <f t="shared" si="21"/>
        <v>0</v>
      </c>
      <c r="V48" s="28">
        <f t="shared" si="21"/>
        <v>0</v>
      </c>
    </row>
    <row r="49" spans="1:24" s="70" customFormat="1" x14ac:dyDescent="0.25">
      <c r="A49" s="142" t="s">
        <v>191</v>
      </c>
      <c r="B49" s="68">
        <v>0</v>
      </c>
      <c r="C49" s="68">
        <v>0</v>
      </c>
      <c r="D49" s="68">
        <v>2640</v>
      </c>
      <c r="E49" s="68">
        <v>5934</v>
      </c>
      <c r="F49" s="68">
        <v>7364</v>
      </c>
      <c r="G49" s="68">
        <v>15912</v>
      </c>
      <c r="H49" s="68">
        <v>14588</v>
      </c>
      <c r="I49" s="68">
        <v>18166</v>
      </c>
      <c r="J49" s="68">
        <v>10174</v>
      </c>
      <c r="K49" s="68" t="s">
        <v>196</v>
      </c>
      <c r="L49" s="68" t="s">
        <v>196</v>
      </c>
      <c r="M49" s="68" t="s">
        <v>196</v>
      </c>
      <c r="N49" s="68" t="s">
        <v>196</v>
      </c>
      <c r="O49" s="68" t="s">
        <v>196</v>
      </c>
      <c r="P49" s="68" t="s">
        <v>196</v>
      </c>
      <c r="Q49" s="68" t="s">
        <v>196</v>
      </c>
      <c r="R49" s="68" t="s">
        <v>196</v>
      </c>
      <c r="S49" s="68" t="s">
        <v>196</v>
      </c>
      <c r="T49" s="68" t="s">
        <v>196</v>
      </c>
      <c r="U49" s="68" t="s">
        <v>196</v>
      </c>
      <c r="V49" s="68" t="s">
        <v>196</v>
      </c>
      <c r="X49" s="136"/>
    </row>
    <row r="50" spans="1:24" s="144" customFormat="1" x14ac:dyDescent="0.25">
      <c r="A50" s="143" t="s">
        <v>186</v>
      </c>
      <c r="B50" s="69">
        <v>0</v>
      </c>
      <c r="C50" s="69">
        <v>0</v>
      </c>
      <c r="D50" s="69">
        <v>9</v>
      </c>
      <c r="E50" s="69">
        <v>17</v>
      </c>
      <c r="F50" s="69">
        <v>12</v>
      </c>
      <c r="G50" s="69">
        <v>18</v>
      </c>
      <c r="H50" s="69">
        <v>21</v>
      </c>
      <c r="I50" s="69">
        <v>17</v>
      </c>
      <c r="J50" s="69">
        <v>15</v>
      </c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</row>
    <row r="51" spans="1:24" s="144" customFormat="1" x14ac:dyDescent="0.25">
      <c r="A51" s="143" t="s">
        <v>187</v>
      </c>
      <c r="B51" s="69">
        <f>IFERROR(B49/B50,0)</f>
        <v>0</v>
      </c>
      <c r="C51" s="69">
        <f t="shared" ref="C51:J51" si="22">IFERROR(C49/C50,0)</f>
        <v>0</v>
      </c>
      <c r="D51" s="69">
        <f t="shared" si="22"/>
        <v>293.33333333333331</v>
      </c>
      <c r="E51" s="69">
        <f t="shared" si="22"/>
        <v>349.05882352941177</v>
      </c>
      <c r="F51" s="69">
        <f t="shared" si="22"/>
        <v>613.66666666666663</v>
      </c>
      <c r="G51" s="69">
        <f t="shared" si="22"/>
        <v>884</v>
      </c>
      <c r="H51" s="69">
        <f t="shared" si="22"/>
        <v>694.66666666666663</v>
      </c>
      <c r="I51" s="69">
        <f t="shared" si="22"/>
        <v>1068.5882352941176</v>
      </c>
      <c r="J51" s="69">
        <f t="shared" si="22"/>
        <v>678.26666666666665</v>
      </c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</row>
    <row r="52" spans="1:24" s="144" customFormat="1" x14ac:dyDescent="0.25">
      <c r="A52" s="146" t="s">
        <v>192</v>
      </c>
      <c r="B52" s="147">
        <f t="shared" ref="B52:F54" si="23">B49</f>
        <v>0</v>
      </c>
      <c r="C52" s="147">
        <f t="shared" si="23"/>
        <v>0</v>
      </c>
      <c r="D52" s="147">
        <f t="shared" si="23"/>
        <v>2640</v>
      </c>
      <c r="E52" s="147">
        <f t="shared" si="23"/>
        <v>5934</v>
      </c>
      <c r="F52" s="147">
        <f t="shared" si="23"/>
        <v>7364</v>
      </c>
      <c r="G52" s="147">
        <f>G49</f>
        <v>15912</v>
      </c>
      <c r="H52" s="147">
        <v>13688</v>
      </c>
      <c r="I52" s="147">
        <v>19854.100000000006</v>
      </c>
      <c r="J52" s="147">
        <v>19345.100000000006</v>
      </c>
      <c r="K52" s="147">
        <v>22372.300000000003</v>
      </c>
      <c r="L52" s="147">
        <v>16204.100000000006</v>
      </c>
      <c r="M52" s="147">
        <v>11686.300000000003</v>
      </c>
      <c r="N52" s="147">
        <v>18486.200000000012</v>
      </c>
      <c r="O52" s="147">
        <v>17583</v>
      </c>
      <c r="P52" s="147">
        <v>21629.399999999994</v>
      </c>
      <c r="Q52" s="147">
        <v>24342.700000000012</v>
      </c>
      <c r="R52" s="147">
        <v>23209.700000000012</v>
      </c>
      <c r="S52" s="147">
        <v>22639.700000000012</v>
      </c>
      <c r="T52" s="147">
        <v>21052.5</v>
      </c>
      <c r="U52" s="147">
        <v>23102.199999999895</v>
      </c>
      <c r="V52" s="147"/>
      <c r="X52" s="148"/>
    </row>
    <row r="53" spans="1:24" s="144" customFormat="1" x14ac:dyDescent="0.25">
      <c r="A53" s="143" t="s">
        <v>186</v>
      </c>
      <c r="B53" s="69">
        <f>B50</f>
        <v>0</v>
      </c>
      <c r="C53" s="69">
        <f t="shared" ref="C53:H53" si="24">C50</f>
        <v>0</v>
      </c>
      <c r="D53" s="69">
        <f t="shared" si="24"/>
        <v>9</v>
      </c>
      <c r="E53" s="69">
        <f t="shared" si="24"/>
        <v>17</v>
      </c>
      <c r="F53" s="69">
        <f t="shared" si="24"/>
        <v>12</v>
      </c>
      <c r="G53" s="69">
        <f t="shared" si="24"/>
        <v>18</v>
      </c>
      <c r="H53" s="69">
        <f t="shared" si="24"/>
        <v>21</v>
      </c>
      <c r="I53" s="69">
        <v>25</v>
      </c>
      <c r="J53" s="69">
        <v>27</v>
      </c>
      <c r="K53" s="69">
        <v>25</v>
      </c>
      <c r="L53" s="69">
        <v>16</v>
      </c>
      <c r="M53" s="69">
        <v>24</v>
      </c>
      <c r="N53" s="69">
        <v>24</v>
      </c>
      <c r="O53" s="69">
        <v>27</v>
      </c>
      <c r="P53" s="69">
        <v>26</v>
      </c>
      <c r="Q53" s="69">
        <v>26</v>
      </c>
      <c r="R53" s="69">
        <v>26</v>
      </c>
      <c r="S53" s="69">
        <v>27</v>
      </c>
      <c r="T53" s="69">
        <v>26</v>
      </c>
      <c r="U53" s="69">
        <v>26</v>
      </c>
      <c r="V53" s="69">
        <v>0</v>
      </c>
    </row>
    <row r="54" spans="1:24" s="144" customFormat="1" x14ac:dyDescent="0.25">
      <c r="A54" s="143" t="s">
        <v>187</v>
      </c>
      <c r="B54" s="69">
        <f t="shared" si="23"/>
        <v>0</v>
      </c>
      <c r="C54" s="69">
        <f t="shared" si="23"/>
        <v>0</v>
      </c>
      <c r="D54" s="69">
        <f t="shared" si="23"/>
        <v>293.33333333333331</v>
      </c>
      <c r="E54" s="69">
        <f t="shared" si="23"/>
        <v>349.05882352941177</v>
      </c>
      <c r="F54" s="69">
        <f t="shared" si="23"/>
        <v>613.66666666666663</v>
      </c>
      <c r="G54" s="69">
        <f>G51</f>
        <v>884</v>
      </c>
      <c r="H54" s="69">
        <f t="shared" ref="H54:V54" si="25">IFERROR(H52/H53,0)</f>
        <v>651.80952380952385</v>
      </c>
      <c r="I54" s="69">
        <f t="shared" si="25"/>
        <v>794.16400000000021</v>
      </c>
      <c r="J54" s="69">
        <f t="shared" si="25"/>
        <v>716.4851851851854</v>
      </c>
      <c r="K54" s="69">
        <f t="shared" si="25"/>
        <v>894.89200000000017</v>
      </c>
      <c r="L54" s="69">
        <f t="shared" si="25"/>
        <v>1012.7562500000004</v>
      </c>
      <c r="M54" s="69">
        <f t="shared" si="25"/>
        <v>486.92916666666679</v>
      </c>
      <c r="N54" s="69">
        <f t="shared" si="25"/>
        <v>770.25833333333378</v>
      </c>
      <c r="O54" s="69">
        <f t="shared" si="25"/>
        <v>651.22222222222217</v>
      </c>
      <c r="P54" s="69">
        <f t="shared" si="25"/>
        <v>831.89999999999975</v>
      </c>
      <c r="Q54" s="69">
        <f t="shared" si="25"/>
        <v>936.25769230769276</v>
      </c>
      <c r="R54" s="69">
        <f t="shared" si="25"/>
        <v>892.68076923076967</v>
      </c>
      <c r="S54" s="69">
        <f t="shared" si="25"/>
        <v>838.50740740740787</v>
      </c>
      <c r="T54" s="69">
        <f t="shared" si="25"/>
        <v>809.71153846153845</v>
      </c>
      <c r="U54" s="69">
        <f t="shared" si="25"/>
        <v>888.54615384614976</v>
      </c>
      <c r="V54" s="69">
        <f t="shared" si="25"/>
        <v>0</v>
      </c>
    </row>
    <row r="55" spans="1:24" s="70" customFormat="1" x14ac:dyDescent="0.25"/>
    <row r="56" spans="1:24" s="70" customFormat="1" x14ac:dyDescent="0.25">
      <c r="A56" s="132" t="s">
        <v>21</v>
      </c>
      <c r="B56" s="71" t="s">
        <v>164</v>
      </c>
      <c r="C56" s="71" t="s">
        <v>165</v>
      </c>
      <c r="D56" s="71" t="s">
        <v>166</v>
      </c>
      <c r="E56" s="71" t="s">
        <v>167</v>
      </c>
      <c r="F56" s="71" t="s">
        <v>168</v>
      </c>
      <c r="G56" s="71" t="s">
        <v>169</v>
      </c>
      <c r="H56" s="71" t="s">
        <v>170</v>
      </c>
      <c r="I56" s="71" t="s">
        <v>171</v>
      </c>
      <c r="J56" s="71" t="s">
        <v>172</v>
      </c>
      <c r="K56" s="71" t="s">
        <v>173</v>
      </c>
      <c r="L56" s="71" t="s">
        <v>174</v>
      </c>
      <c r="M56" s="71" t="s">
        <v>175</v>
      </c>
      <c r="N56" s="71" t="s">
        <v>176</v>
      </c>
      <c r="O56" s="71" t="s">
        <v>177</v>
      </c>
      <c r="P56" s="71" t="s">
        <v>178</v>
      </c>
      <c r="Q56" s="71" t="s">
        <v>179</v>
      </c>
      <c r="R56" s="71" t="s">
        <v>180</v>
      </c>
      <c r="S56" s="71" t="s">
        <v>181</v>
      </c>
      <c r="T56" s="71" t="s">
        <v>182</v>
      </c>
      <c r="U56" s="71" t="s">
        <v>183</v>
      </c>
      <c r="V56" s="71" t="s">
        <v>184</v>
      </c>
    </row>
    <row r="57" spans="1:24" s="70" customFormat="1" x14ac:dyDescent="0.25">
      <c r="A57" s="135" t="s">
        <v>190</v>
      </c>
      <c r="B57" s="67">
        <v>0</v>
      </c>
      <c r="C57" s="67">
        <v>0</v>
      </c>
      <c r="D57" s="67">
        <v>1569.7</v>
      </c>
      <c r="E57" s="67">
        <v>41547.599999999999</v>
      </c>
      <c r="F57" s="67">
        <v>40555.9</v>
      </c>
      <c r="G57" s="67">
        <v>53509.1</v>
      </c>
      <c r="H57" s="67">
        <v>48395.4</v>
      </c>
      <c r="I57" s="67">
        <v>63752.2</v>
      </c>
      <c r="J57" s="67">
        <v>30682.5</v>
      </c>
      <c r="K57" s="67">
        <v>21647.599999999999</v>
      </c>
      <c r="L57" s="67">
        <v>21868.400000000001</v>
      </c>
      <c r="M57" s="67">
        <v>21901.200000000001</v>
      </c>
      <c r="N57" s="67">
        <v>17880.3</v>
      </c>
      <c r="O57" s="67">
        <v>33443.599999999999</v>
      </c>
      <c r="P57" s="67">
        <v>38221.300000000003</v>
      </c>
      <c r="Q57" s="67">
        <v>41178.199999999997</v>
      </c>
      <c r="R57" s="67">
        <v>42703.199999999997</v>
      </c>
      <c r="S57" s="67">
        <v>46178.5</v>
      </c>
      <c r="T57" s="67">
        <v>46178.5</v>
      </c>
      <c r="U57" s="67">
        <v>20318.5</v>
      </c>
      <c r="V57" s="67">
        <v>0</v>
      </c>
      <c r="X57" s="136"/>
    </row>
    <row r="58" spans="1:24" s="70" customFormat="1" x14ac:dyDescent="0.25">
      <c r="A58" s="140" t="s">
        <v>186</v>
      </c>
      <c r="B58" s="28">
        <v>0</v>
      </c>
      <c r="C58" s="28">
        <v>0</v>
      </c>
      <c r="D58" s="28">
        <v>19</v>
      </c>
      <c r="E58" s="28">
        <v>26</v>
      </c>
      <c r="F58" s="28">
        <v>26</v>
      </c>
      <c r="G58" s="28">
        <v>27</v>
      </c>
      <c r="H58" s="28">
        <v>26</v>
      </c>
      <c r="I58" s="28">
        <v>26</v>
      </c>
      <c r="J58" s="28">
        <v>27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</row>
    <row r="59" spans="1:24" s="70" customFormat="1" x14ac:dyDescent="0.25">
      <c r="A59" s="140" t="s">
        <v>187</v>
      </c>
      <c r="B59" s="28">
        <f>IFERROR(B57/B58,0)</f>
        <v>0</v>
      </c>
      <c r="C59" s="28">
        <f t="shared" ref="C59:V59" si="26">IFERROR(C57/C58,0)</f>
        <v>0</v>
      </c>
      <c r="D59" s="28">
        <f t="shared" si="26"/>
        <v>82.615789473684217</v>
      </c>
      <c r="E59" s="28">
        <f t="shared" si="26"/>
        <v>1597.9846153846154</v>
      </c>
      <c r="F59" s="28">
        <f t="shared" si="26"/>
        <v>1559.8423076923077</v>
      </c>
      <c r="G59" s="28">
        <f t="shared" si="26"/>
        <v>1981.8185185185184</v>
      </c>
      <c r="H59" s="28">
        <f t="shared" si="26"/>
        <v>1861.3615384615384</v>
      </c>
      <c r="I59" s="28">
        <f t="shared" si="26"/>
        <v>2452.0076923076922</v>
      </c>
      <c r="J59" s="28">
        <f t="shared" si="26"/>
        <v>1136.3888888888889</v>
      </c>
      <c r="K59" s="28">
        <f t="shared" si="26"/>
        <v>0</v>
      </c>
      <c r="L59" s="28">
        <f t="shared" si="26"/>
        <v>0</v>
      </c>
      <c r="M59" s="28">
        <f t="shared" si="26"/>
        <v>0</v>
      </c>
      <c r="N59" s="28">
        <f t="shared" si="26"/>
        <v>0</v>
      </c>
      <c r="O59" s="28">
        <f t="shared" si="26"/>
        <v>0</v>
      </c>
      <c r="P59" s="28">
        <f t="shared" si="26"/>
        <v>0</v>
      </c>
      <c r="Q59" s="28">
        <f t="shared" si="26"/>
        <v>0</v>
      </c>
      <c r="R59" s="28">
        <f t="shared" si="26"/>
        <v>0</v>
      </c>
      <c r="S59" s="28">
        <f t="shared" si="26"/>
        <v>0</v>
      </c>
      <c r="T59" s="28">
        <f t="shared" si="26"/>
        <v>0</v>
      </c>
      <c r="U59" s="28">
        <f t="shared" si="26"/>
        <v>0</v>
      </c>
      <c r="V59" s="28">
        <f t="shared" si="26"/>
        <v>0</v>
      </c>
    </row>
    <row r="60" spans="1:24" s="70" customFormat="1" x14ac:dyDescent="0.25">
      <c r="A60" s="142" t="s">
        <v>191</v>
      </c>
      <c r="B60" s="68">
        <v>0</v>
      </c>
      <c r="C60" s="68">
        <v>0</v>
      </c>
      <c r="D60" s="68">
        <v>0</v>
      </c>
      <c r="E60" s="68">
        <v>0</v>
      </c>
      <c r="F60" s="68">
        <v>0</v>
      </c>
      <c r="G60" s="68">
        <v>0</v>
      </c>
      <c r="H60" s="68">
        <v>22612</v>
      </c>
      <c r="I60" s="68">
        <v>32756</v>
      </c>
      <c r="J60" s="68">
        <v>17635</v>
      </c>
      <c r="K60" s="68" t="s">
        <v>196</v>
      </c>
      <c r="L60" s="68" t="s">
        <v>196</v>
      </c>
      <c r="M60" s="68" t="s">
        <v>196</v>
      </c>
      <c r="N60" s="68" t="s">
        <v>196</v>
      </c>
      <c r="O60" s="68" t="s">
        <v>196</v>
      </c>
      <c r="P60" s="68" t="s">
        <v>196</v>
      </c>
      <c r="Q60" s="68" t="s">
        <v>196</v>
      </c>
      <c r="R60" s="68" t="s">
        <v>196</v>
      </c>
      <c r="S60" s="68" t="s">
        <v>196</v>
      </c>
      <c r="T60" s="68" t="s">
        <v>196</v>
      </c>
      <c r="U60" s="68" t="s">
        <v>196</v>
      </c>
      <c r="V60" s="68" t="s">
        <v>196</v>
      </c>
      <c r="X60" s="136"/>
    </row>
    <row r="61" spans="1:24" s="144" customFormat="1" x14ac:dyDescent="0.25">
      <c r="A61" s="143" t="s">
        <v>186</v>
      </c>
      <c r="B61" s="69">
        <v>0</v>
      </c>
      <c r="C61" s="69">
        <v>0</v>
      </c>
      <c r="D61" s="69">
        <v>0</v>
      </c>
      <c r="E61" s="69">
        <v>0</v>
      </c>
      <c r="F61" s="69">
        <v>0</v>
      </c>
      <c r="G61" s="69">
        <v>0</v>
      </c>
      <c r="H61" s="69">
        <v>11</v>
      </c>
      <c r="I61" s="69">
        <v>15</v>
      </c>
      <c r="J61" s="69">
        <v>9</v>
      </c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</row>
    <row r="62" spans="1:24" s="144" customFormat="1" x14ac:dyDescent="0.25">
      <c r="A62" s="143" t="s">
        <v>187</v>
      </c>
      <c r="B62" s="69">
        <f>IFERROR(B60/B61,0)</f>
        <v>0</v>
      </c>
      <c r="C62" s="69">
        <f t="shared" ref="C62:F62" si="27">IFERROR(C60/C61,0)</f>
        <v>0</v>
      </c>
      <c r="D62" s="69">
        <f t="shared" si="27"/>
        <v>0</v>
      </c>
      <c r="E62" s="69">
        <f t="shared" si="27"/>
        <v>0</v>
      </c>
      <c r="F62" s="69">
        <f t="shared" si="27"/>
        <v>0</v>
      </c>
      <c r="G62" s="69">
        <v>0</v>
      </c>
      <c r="H62" s="69">
        <f>H60/H61</f>
        <v>2055.6363636363635</v>
      </c>
      <c r="I62" s="69">
        <f>I60/I61</f>
        <v>2183.7333333333331</v>
      </c>
      <c r="J62" s="69">
        <f>J60/J61</f>
        <v>1959.4444444444443</v>
      </c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</row>
    <row r="63" spans="1:24" s="144" customFormat="1" x14ac:dyDescent="0.25">
      <c r="A63" s="146" t="s">
        <v>189</v>
      </c>
      <c r="B63" s="147">
        <f t="shared" ref="B63:F65" si="28">B60</f>
        <v>0</v>
      </c>
      <c r="C63" s="147">
        <f t="shared" si="28"/>
        <v>0</v>
      </c>
      <c r="D63" s="147">
        <f t="shared" si="28"/>
        <v>0</v>
      </c>
      <c r="E63" s="147">
        <f t="shared" si="28"/>
        <v>0</v>
      </c>
      <c r="F63" s="147">
        <f t="shared" si="28"/>
        <v>0</v>
      </c>
      <c r="G63" s="147">
        <v>0</v>
      </c>
      <c r="H63" s="147">
        <v>20245</v>
      </c>
      <c r="I63" s="147">
        <v>35224.199999999997</v>
      </c>
      <c r="J63" s="147">
        <v>52250.7</v>
      </c>
      <c r="K63" s="147">
        <v>51537.8</v>
      </c>
      <c r="L63" s="147">
        <v>40915</v>
      </c>
      <c r="M63" s="147">
        <v>40980.600000000006</v>
      </c>
      <c r="N63" s="147">
        <v>41880.300000000017</v>
      </c>
      <c r="O63" s="147">
        <v>43797.200000000012</v>
      </c>
      <c r="P63" s="147">
        <v>46988.200000000012</v>
      </c>
      <c r="Q63" s="147">
        <v>49998.700000000012</v>
      </c>
      <c r="R63" s="147">
        <v>50903.400000000023</v>
      </c>
      <c r="S63" s="147">
        <v>52299.700000000012</v>
      </c>
      <c r="T63" s="147">
        <v>47349.400000000023</v>
      </c>
      <c r="U63" s="147">
        <v>57263.099999999977</v>
      </c>
      <c r="V63" s="147">
        <v>0</v>
      </c>
      <c r="X63" s="148"/>
    </row>
    <row r="64" spans="1:24" s="144" customFormat="1" x14ac:dyDescent="0.25">
      <c r="A64" s="143" t="s">
        <v>186</v>
      </c>
      <c r="B64" s="69">
        <f t="shared" si="28"/>
        <v>0</v>
      </c>
      <c r="C64" s="69">
        <f t="shared" si="28"/>
        <v>0</v>
      </c>
      <c r="D64" s="69">
        <f t="shared" si="28"/>
        <v>0</v>
      </c>
      <c r="E64" s="69">
        <f t="shared" si="28"/>
        <v>0</v>
      </c>
      <c r="F64" s="69">
        <f t="shared" si="28"/>
        <v>0</v>
      </c>
      <c r="G64" s="69">
        <f>G61</f>
        <v>0</v>
      </c>
      <c r="H64" s="69">
        <f>H61+6</f>
        <v>17</v>
      </c>
      <c r="I64" s="69">
        <v>25</v>
      </c>
      <c r="J64" s="69">
        <v>27</v>
      </c>
      <c r="K64" s="69">
        <v>25</v>
      </c>
      <c r="L64" s="69">
        <v>16</v>
      </c>
      <c r="M64" s="69">
        <v>24</v>
      </c>
      <c r="N64" s="69">
        <v>24</v>
      </c>
      <c r="O64" s="69">
        <v>27</v>
      </c>
      <c r="P64" s="69">
        <v>26</v>
      </c>
      <c r="Q64" s="69">
        <v>26</v>
      </c>
      <c r="R64" s="69">
        <v>26</v>
      </c>
      <c r="S64" s="69">
        <v>27</v>
      </c>
      <c r="T64" s="69">
        <v>26</v>
      </c>
      <c r="U64" s="69">
        <v>26</v>
      </c>
      <c r="V64" s="69">
        <v>0</v>
      </c>
    </row>
    <row r="65" spans="1:22" s="144" customFormat="1" x14ac:dyDescent="0.25">
      <c r="A65" s="143" t="s">
        <v>187</v>
      </c>
      <c r="B65" s="69">
        <f t="shared" si="28"/>
        <v>0</v>
      </c>
      <c r="C65" s="69">
        <f t="shared" si="28"/>
        <v>0</v>
      </c>
      <c r="D65" s="69">
        <f t="shared" si="28"/>
        <v>0</v>
      </c>
      <c r="E65" s="69">
        <f t="shared" si="28"/>
        <v>0</v>
      </c>
      <c r="F65" s="69">
        <f t="shared" si="28"/>
        <v>0</v>
      </c>
      <c r="G65" s="69">
        <f>G62</f>
        <v>0</v>
      </c>
      <c r="H65" s="69">
        <f t="shared" ref="H65:U65" si="29">IFERROR(H63/H64,0)</f>
        <v>1190.8823529411766</v>
      </c>
      <c r="I65" s="69">
        <f t="shared" si="29"/>
        <v>1408.9679999999998</v>
      </c>
      <c r="J65" s="69">
        <f t="shared" si="29"/>
        <v>1935.211111111111</v>
      </c>
      <c r="K65" s="69">
        <f t="shared" si="29"/>
        <v>2061.5120000000002</v>
      </c>
      <c r="L65" s="69">
        <f t="shared" si="29"/>
        <v>2557.1875</v>
      </c>
      <c r="M65" s="69">
        <f t="shared" si="29"/>
        <v>1707.5250000000003</v>
      </c>
      <c r="N65" s="69">
        <f t="shared" si="29"/>
        <v>1745.0125000000007</v>
      </c>
      <c r="O65" s="69">
        <f t="shared" si="29"/>
        <v>1622.1185185185188</v>
      </c>
      <c r="P65" s="69">
        <f t="shared" si="29"/>
        <v>1807.2384615384619</v>
      </c>
      <c r="Q65" s="69">
        <f t="shared" si="29"/>
        <v>1923.0269230769236</v>
      </c>
      <c r="R65" s="69">
        <f t="shared" si="29"/>
        <v>1957.8230769230779</v>
      </c>
      <c r="S65" s="69">
        <f t="shared" si="29"/>
        <v>1937.0259259259265</v>
      </c>
      <c r="T65" s="69">
        <f t="shared" si="29"/>
        <v>1821.1307692307701</v>
      </c>
      <c r="U65" s="69">
        <f t="shared" si="29"/>
        <v>2202.4269230769223</v>
      </c>
      <c r="V65" s="69">
        <v>0</v>
      </c>
    </row>
    <row r="68" spans="1:22" x14ac:dyDescent="0.25">
      <c r="G68" s="51"/>
    </row>
    <row r="69" spans="1:22" x14ac:dyDescent="0.25">
      <c r="G69" s="51"/>
      <c r="I69" s="52"/>
    </row>
    <row r="70" spans="1:22" x14ac:dyDescent="0.25">
      <c r="I70" s="5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788"/>
  <sheetViews>
    <sheetView workbookViewId="0">
      <pane xSplit="2" ySplit="3" topLeftCell="E283" activePane="bottomRight" state="frozen"/>
      <selection pane="topRight" activeCell="C1" sqref="C1"/>
      <selection pane="bottomLeft" activeCell="A4" sqref="A4"/>
      <selection pane="bottomRight" activeCell="I292" sqref="I292"/>
    </sheetView>
  </sheetViews>
  <sheetFormatPr defaultRowHeight="15" x14ac:dyDescent="0.25"/>
  <cols>
    <col min="1" max="1" width="10.140625" bestFit="1" customWidth="1"/>
    <col min="3" max="3" width="15.85546875" style="31" bestFit="1" customWidth="1"/>
    <col min="4" max="4" width="15.85546875" style="30" bestFit="1" customWidth="1"/>
    <col min="5" max="5" width="15.85546875" style="30" customWidth="1"/>
    <col min="6" max="7" width="15.85546875" style="30" bestFit="1" customWidth="1"/>
    <col min="8" max="8" width="15.85546875" style="30" customWidth="1"/>
    <col min="9" max="13" width="15.85546875" style="30" bestFit="1" customWidth="1"/>
    <col min="14" max="14" width="0.5703125" customWidth="1"/>
    <col min="15" max="15" width="11.28515625" customWidth="1"/>
    <col min="16" max="16" width="19.7109375" bestFit="1" customWidth="1"/>
  </cols>
  <sheetData>
    <row r="1" spans="1:28" ht="30" x14ac:dyDescent="0.25">
      <c r="A1" s="43"/>
      <c r="B1" s="44"/>
      <c r="C1" s="154" t="s">
        <v>201</v>
      </c>
      <c r="D1" s="155"/>
      <c r="E1" s="156"/>
      <c r="F1" s="154" t="s">
        <v>202</v>
      </c>
      <c r="G1" s="155"/>
      <c r="H1" s="156"/>
      <c r="I1" s="154" t="s">
        <v>203</v>
      </c>
      <c r="J1" s="155"/>
      <c r="K1" s="156"/>
      <c r="L1" s="154" t="s">
        <v>204</v>
      </c>
      <c r="M1" s="156"/>
      <c r="N1" s="33"/>
      <c r="P1" s="29"/>
    </row>
    <row r="2" spans="1:28" x14ac:dyDescent="0.25">
      <c r="A2" s="45"/>
      <c r="B2" s="46"/>
      <c r="C2" s="34">
        <f>SUM(C4:C733)</f>
        <v>151671.87999999998</v>
      </c>
      <c r="D2" s="35">
        <f t="shared" ref="D2:M2" si="0">SUM(D4:D733)</f>
        <v>145434.64000000007</v>
      </c>
      <c r="E2" s="36">
        <f t="shared" si="0"/>
        <v>2679.4107692307689</v>
      </c>
      <c r="F2" s="34">
        <f t="shared" si="0"/>
        <v>217078.07699999996</v>
      </c>
      <c r="G2" s="35">
        <f t="shared" si="0"/>
        <v>215263.65999999997</v>
      </c>
      <c r="H2" s="36">
        <f t="shared" si="0"/>
        <v>0</v>
      </c>
      <c r="I2" s="34">
        <f t="shared" si="0"/>
        <v>22935.920000000002</v>
      </c>
      <c r="J2" s="35">
        <f t="shared" si="0"/>
        <v>26827.705980999999</v>
      </c>
      <c r="K2" s="36">
        <f t="shared" si="0"/>
        <v>565555.55555555667</v>
      </c>
      <c r="L2" s="34">
        <f t="shared" si="0"/>
        <v>384135.77222199977</v>
      </c>
      <c r="M2" s="36">
        <f t="shared" si="0"/>
        <v>631753.81077777827</v>
      </c>
      <c r="N2" s="29"/>
    </row>
    <row r="3" spans="1:28" s="6" customFormat="1" ht="30" x14ac:dyDescent="0.25">
      <c r="A3" s="47" t="s">
        <v>205</v>
      </c>
      <c r="B3" s="48" t="s">
        <v>206</v>
      </c>
      <c r="C3" s="37" t="s">
        <v>207</v>
      </c>
      <c r="D3" s="32" t="s">
        <v>208</v>
      </c>
      <c r="E3" s="38" t="s">
        <v>209</v>
      </c>
      <c r="F3" s="37" t="s">
        <v>207</v>
      </c>
      <c r="G3" s="32" t="s">
        <v>208</v>
      </c>
      <c r="H3" s="38" t="s">
        <v>209</v>
      </c>
      <c r="I3" s="37" t="s">
        <v>207</v>
      </c>
      <c r="J3" s="32" t="s">
        <v>208</v>
      </c>
      <c r="K3" s="38" t="s">
        <v>209</v>
      </c>
      <c r="L3" s="37" t="s">
        <v>210</v>
      </c>
      <c r="M3" s="38" t="s">
        <v>209</v>
      </c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</row>
    <row r="4" spans="1:28" x14ac:dyDescent="0.25">
      <c r="A4" s="49">
        <v>46023</v>
      </c>
      <c r="B4" s="42" t="str">
        <f>TEXT(A4,"MMM/AA")</f>
        <v>jan/26</v>
      </c>
      <c r="C4" s="39">
        <v>0</v>
      </c>
      <c r="D4" s="40">
        <v>0</v>
      </c>
      <c r="E4" s="41"/>
      <c r="F4" s="39">
        <v>0</v>
      </c>
      <c r="G4" s="40">
        <v>0</v>
      </c>
      <c r="H4" s="41"/>
      <c r="I4" s="39">
        <v>0</v>
      </c>
      <c r="J4" s="40">
        <v>0</v>
      </c>
      <c r="K4" s="41"/>
      <c r="L4" s="157">
        <v>0</v>
      </c>
      <c r="M4" s="41"/>
      <c r="O4" s="29"/>
      <c r="Q4" s="158">
        <v>46023</v>
      </c>
      <c r="R4" s="158">
        <v>46054</v>
      </c>
      <c r="S4" s="158">
        <v>46082</v>
      </c>
      <c r="T4" s="158">
        <v>46113</v>
      </c>
      <c r="U4" s="158">
        <v>46143</v>
      </c>
      <c r="V4" s="158">
        <v>46174</v>
      </c>
      <c r="W4" s="158">
        <v>46204</v>
      </c>
      <c r="X4" s="158">
        <v>46235</v>
      </c>
      <c r="Y4" s="158">
        <v>46266</v>
      </c>
      <c r="Z4" s="158">
        <v>46296</v>
      </c>
      <c r="AA4" s="158">
        <v>46327</v>
      </c>
      <c r="AB4" s="158">
        <v>46357</v>
      </c>
    </row>
    <row r="5" spans="1:28" x14ac:dyDescent="0.25">
      <c r="A5" s="49">
        <f>A4+1</f>
        <v>46024</v>
      </c>
      <c r="B5" s="42" t="str">
        <f t="shared" ref="B5:B68" si="1">TEXT(A5,"MMM/AA")</f>
        <v>jan/26</v>
      </c>
      <c r="C5" s="39">
        <v>0</v>
      </c>
      <c r="D5" s="40">
        <v>0</v>
      </c>
      <c r="E5" s="41"/>
      <c r="F5" s="39">
        <v>0</v>
      </c>
      <c r="G5" s="40">
        <v>0</v>
      </c>
      <c r="H5" s="41"/>
      <c r="I5" s="39">
        <v>0</v>
      </c>
      <c r="J5" s="40">
        <v>0</v>
      </c>
      <c r="K5" s="41"/>
      <c r="L5" s="157">
        <v>0</v>
      </c>
      <c r="M5" s="41"/>
      <c r="O5" s="29"/>
      <c r="P5" s="159" t="s">
        <v>211</v>
      </c>
      <c r="Q5" s="5">
        <f>SUMIFS($D:$D,$B:$B,Q$4)+SUMIFS($G:$G,$B:$B,Q$4)+SUMIFS($J:$J,$B:$B,Q$4)</f>
        <v>704.52</v>
      </c>
      <c r="R5" s="5">
        <f t="shared" ref="R5:AB5" si="2">SUMIFS($D:$D,$B:$B,R$4)+SUMIFS($G:$G,$B:$B,R$4)+SUMIFS($J:$J,$B:$B,R$4)</f>
        <v>11956.679999999998</v>
      </c>
      <c r="S5" s="5">
        <f t="shared" si="2"/>
        <v>21726.339999999997</v>
      </c>
      <c r="T5" s="5">
        <f t="shared" si="2"/>
        <v>31690.34</v>
      </c>
      <c r="U5" s="5">
        <f t="shared" si="2"/>
        <v>31941.32</v>
      </c>
      <c r="V5" s="5">
        <f t="shared" si="2"/>
        <v>47188.94</v>
      </c>
      <c r="W5" s="5">
        <f t="shared" si="2"/>
        <v>63635.900000000009</v>
      </c>
      <c r="X5" s="5">
        <f t="shared" si="2"/>
        <v>71246.880000000005</v>
      </c>
      <c r="Y5" s="5">
        <f t="shared" si="2"/>
        <v>73254.095980999991</v>
      </c>
      <c r="Z5" s="5">
        <f t="shared" si="2"/>
        <v>34180.990000000005</v>
      </c>
      <c r="AA5" s="5">
        <f t="shared" si="2"/>
        <v>0</v>
      </c>
      <c r="AB5" s="5">
        <f t="shared" si="2"/>
        <v>0</v>
      </c>
    </row>
    <row r="6" spans="1:28" x14ac:dyDescent="0.25">
      <c r="A6" s="49">
        <f t="shared" ref="A6:A69" si="3">A5+1</f>
        <v>46025</v>
      </c>
      <c r="B6" s="42" t="str">
        <f t="shared" si="1"/>
        <v>jan/26</v>
      </c>
      <c r="C6" s="39">
        <v>0</v>
      </c>
      <c r="D6" s="40">
        <v>0</v>
      </c>
      <c r="E6" s="41"/>
      <c r="F6" s="39">
        <v>0</v>
      </c>
      <c r="G6" s="40">
        <v>0</v>
      </c>
      <c r="H6" s="41"/>
      <c r="I6" s="39">
        <v>0</v>
      </c>
      <c r="J6" s="40">
        <v>0</v>
      </c>
      <c r="K6" s="41"/>
      <c r="L6" s="157">
        <v>0</v>
      </c>
      <c r="M6" s="41"/>
      <c r="O6" s="29"/>
      <c r="P6" s="159" t="s">
        <v>212</v>
      </c>
      <c r="Q6" s="5">
        <f>SUMIFS($E:$E,$B:$B,Q$4)+SUMIFS($H:$H,$B:$B,Q$4)+SUMIFS($K:$K,$B:$B,Q$4)</f>
        <v>0</v>
      </c>
      <c r="R6" s="5">
        <f t="shared" ref="R6:AB6" si="4">SUMIFS($E:$E,$B:$B,R$4)+SUMIFS($H:$H,$B:$B,R$4)+SUMIFS($K:$K,$B:$B,R$4)</f>
        <v>0</v>
      </c>
      <c r="S6" s="5">
        <f t="shared" si="4"/>
        <v>0</v>
      </c>
      <c r="T6" s="5">
        <f t="shared" si="4"/>
        <v>0</v>
      </c>
      <c r="U6" s="5">
        <f t="shared" si="4"/>
        <v>0</v>
      </c>
      <c r="V6" s="5">
        <f t="shared" si="4"/>
        <v>0</v>
      </c>
      <c r="W6" s="5">
        <f t="shared" si="4"/>
        <v>0</v>
      </c>
      <c r="X6" s="5">
        <f t="shared" si="4"/>
        <v>0</v>
      </c>
      <c r="Y6" s="5">
        <f t="shared" si="4"/>
        <v>0</v>
      </c>
      <c r="Z6" s="5">
        <f t="shared" si="4"/>
        <v>18234.966324786321</v>
      </c>
      <c r="AA6" s="5">
        <f t="shared" si="4"/>
        <v>50000</v>
      </c>
      <c r="AB6" s="5">
        <f t="shared" si="4"/>
        <v>50000.000000000007</v>
      </c>
    </row>
    <row r="7" spans="1:28" x14ac:dyDescent="0.25">
      <c r="A7" s="49">
        <f t="shared" si="3"/>
        <v>46026</v>
      </c>
      <c r="B7" s="42" t="str">
        <f t="shared" si="1"/>
        <v>jan/26</v>
      </c>
      <c r="C7" s="39">
        <v>0</v>
      </c>
      <c r="D7" s="40">
        <v>0</v>
      </c>
      <c r="E7" s="41"/>
      <c r="F7" s="39">
        <v>0</v>
      </c>
      <c r="G7" s="40">
        <v>0</v>
      </c>
      <c r="H7" s="41"/>
      <c r="I7" s="39">
        <v>0</v>
      </c>
      <c r="J7" s="40">
        <v>0</v>
      </c>
      <c r="K7" s="41"/>
      <c r="L7" s="157">
        <v>0</v>
      </c>
      <c r="M7" s="41"/>
      <c r="O7" s="29"/>
      <c r="P7" s="159"/>
      <c r="R7" s="5"/>
      <c r="S7" s="5"/>
      <c r="U7" s="5"/>
    </row>
    <row r="8" spans="1:28" x14ac:dyDescent="0.25">
      <c r="A8" s="49">
        <f t="shared" si="3"/>
        <v>46027</v>
      </c>
      <c r="B8" s="42" t="str">
        <f t="shared" si="1"/>
        <v>jan/26</v>
      </c>
      <c r="C8" s="39">
        <v>0</v>
      </c>
      <c r="D8" s="40">
        <v>0</v>
      </c>
      <c r="E8" s="41"/>
      <c r="F8" s="39">
        <v>0</v>
      </c>
      <c r="G8" s="40">
        <v>0</v>
      </c>
      <c r="H8" s="41"/>
      <c r="I8" s="39">
        <v>0</v>
      </c>
      <c r="J8" s="40">
        <v>0</v>
      </c>
      <c r="K8" s="41"/>
      <c r="L8" s="157">
        <v>0</v>
      </c>
      <c r="M8" s="41"/>
      <c r="O8" s="29"/>
      <c r="P8" s="159" t="s">
        <v>213</v>
      </c>
      <c r="Q8" s="5">
        <f>SUMIFS($L:$L,$B:$B,Q$4)</f>
        <v>365.4</v>
      </c>
      <c r="R8" s="5">
        <f t="shared" ref="R8:AB8" si="5">SUMIFS($L:$L,$B:$B,R$4)</f>
        <v>6698.5649999999996</v>
      </c>
      <c r="S8" s="5">
        <f t="shared" si="5"/>
        <v>7912.65</v>
      </c>
      <c r="T8" s="5">
        <f t="shared" si="5"/>
        <v>20507.350000000002</v>
      </c>
      <c r="U8" s="5">
        <f t="shared" si="5"/>
        <v>23101.4</v>
      </c>
      <c r="V8" s="5">
        <f t="shared" si="5"/>
        <v>31200.089999999997</v>
      </c>
      <c r="W8" s="5">
        <f t="shared" si="5"/>
        <v>106748.87750000002</v>
      </c>
      <c r="X8" s="5">
        <f t="shared" si="5"/>
        <v>78815.149999999994</v>
      </c>
      <c r="Y8" s="5">
        <f t="shared" si="5"/>
        <v>59170.239721999998</v>
      </c>
      <c r="Z8" s="5">
        <f t="shared" si="5"/>
        <v>49616.049999999996</v>
      </c>
      <c r="AA8" s="5">
        <f t="shared" si="5"/>
        <v>0</v>
      </c>
      <c r="AB8" s="5">
        <f t="shared" si="5"/>
        <v>0</v>
      </c>
    </row>
    <row r="9" spans="1:28" x14ac:dyDescent="0.25">
      <c r="A9" s="49">
        <f t="shared" si="3"/>
        <v>46028</v>
      </c>
      <c r="B9" s="42" t="str">
        <f t="shared" si="1"/>
        <v>jan/26</v>
      </c>
      <c r="C9" s="39">
        <v>0</v>
      </c>
      <c r="D9" s="40">
        <v>0</v>
      </c>
      <c r="E9" s="41"/>
      <c r="F9" s="39">
        <v>0</v>
      </c>
      <c r="G9" s="40">
        <v>0</v>
      </c>
      <c r="H9" s="41"/>
      <c r="I9" s="39">
        <v>0</v>
      </c>
      <c r="J9" s="40">
        <v>0</v>
      </c>
      <c r="K9" s="41"/>
      <c r="L9" s="157">
        <v>0</v>
      </c>
      <c r="M9" s="41"/>
      <c r="O9" s="29"/>
      <c r="P9" s="159" t="s">
        <v>212</v>
      </c>
      <c r="Q9" s="5">
        <f>SUMIFS($M:$M,$B:$B,Q$4)</f>
        <v>0</v>
      </c>
      <c r="R9" s="5">
        <f t="shared" ref="R9:AB9" si="6">SUMIFS($M:$M,$B:$B,R$4)</f>
        <v>0</v>
      </c>
      <c r="S9" s="5">
        <f t="shared" si="6"/>
        <v>0</v>
      </c>
      <c r="T9" s="5">
        <f t="shared" si="6"/>
        <v>0</v>
      </c>
      <c r="U9" s="5">
        <f t="shared" si="6"/>
        <v>0</v>
      </c>
      <c r="V9" s="5">
        <f t="shared" si="6"/>
        <v>0</v>
      </c>
      <c r="W9" s="5">
        <f t="shared" si="6"/>
        <v>0</v>
      </c>
      <c r="X9" s="5">
        <f t="shared" si="6"/>
        <v>0</v>
      </c>
      <c r="Y9" s="5">
        <f t="shared" si="6"/>
        <v>0</v>
      </c>
      <c r="Z9" s="5">
        <f t="shared" si="6"/>
        <v>30865.845777777777</v>
      </c>
      <c r="AA9" s="5">
        <f t="shared" si="6"/>
        <v>67305.884999999966</v>
      </c>
      <c r="AB9" s="5">
        <f t="shared" si="6"/>
        <v>36246.33499999997</v>
      </c>
    </row>
    <row r="10" spans="1:28" x14ac:dyDescent="0.25">
      <c r="A10" s="49">
        <f t="shared" si="3"/>
        <v>46029</v>
      </c>
      <c r="B10" s="42" t="str">
        <f t="shared" si="1"/>
        <v>jan/26</v>
      </c>
      <c r="C10" s="39">
        <v>0</v>
      </c>
      <c r="D10" s="40">
        <v>0</v>
      </c>
      <c r="E10" s="41"/>
      <c r="F10" s="39">
        <v>0</v>
      </c>
      <c r="G10" s="40">
        <v>0</v>
      </c>
      <c r="H10" s="41"/>
      <c r="I10" s="39">
        <v>0</v>
      </c>
      <c r="J10" s="40">
        <v>0</v>
      </c>
      <c r="K10" s="41"/>
      <c r="L10" s="157">
        <v>0</v>
      </c>
      <c r="M10" s="41"/>
      <c r="O10" s="29"/>
      <c r="P10" s="159"/>
      <c r="R10" s="5"/>
      <c r="S10" s="5"/>
      <c r="U10" s="5"/>
    </row>
    <row r="11" spans="1:28" x14ac:dyDescent="0.25">
      <c r="A11" s="49">
        <f t="shared" si="3"/>
        <v>46030</v>
      </c>
      <c r="B11" s="42" t="str">
        <f t="shared" si="1"/>
        <v>jan/26</v>
      </c>
      <c r="C11" s="39">
        <v>0</v>
      </c>
      <c r="D11" s="40">
        <v>0</v>
      </c>
      <c r="E11" s="41"/>
      <c r="F11" s="39">
        <v>0</v>
      </c>
      <c r="G11" s="40">
        <v>0</v>
      </c>
      <c r="H11" s="41"/>
      <c r="I11" s="39">
        <v>0</v>
      </c>
      <c r="J11" s="40">
        <v>0</v>
      </c>
      <c r="K11" s="41"/>
      <c r="L11" s="157">
        <v>0</v>
      </c>
      <c r="M11" s="41"/>
      <c r="O11" s="29"/>
      <c r="P11" s="52" t="s">
        <v>214</v>
      </c>
      <c r="Q11" s="5">
        <f>SUM(Q5:Q6)</f>
        <v>704.52</v>
      </c>
      <c r="R11" s="5">
        <f>SUM(R5:R6)+Q11</f>
        <v>12661.199999999999</v>
      </c>
      <c r="S11" s="5">
        <f t="shared" ref="S11:AB11" si="7">SUM(S5:S6)+R11</f>
        <v>34387.539999999994</v>
      </c>
      <c r="T11" s="5">
        <f t="shared" si="7"/>
        <v>66077.87999999999</v>
      </c>
      <c r="U11" s="5">
        <f t="shared" si="7"/>
        <v>98019.199999999983</v>
      </c>
      <c r="V11" s="5">
        <f t="shared" si="7"/>
        <v>145208.13999999998</v>
      </c>
      <c r="W11" s="5">
        <f t="shared" si="7"/>
        <v>208844.03999999998</v>
      </c>
      <c r="X11" s="5">
        <f t="shared" si="7"/>
        <v>280090.92</v>
      </c>
      <c r="Y11" s="5">
        <f t="shared" si="7"/>
        <v>353345.01598099997</v>
      </c>
      <c r="Z11" s="5">
        <f t="shared" si="7"/>
        <v>405760.97230578633</v>
      </c>
      <c r="AA11" s="5">
        <f t="shared" si="7"/>
        <v>455760.97230578633</v>
      </c>
      <c r="AB11" s="5">
        <f t="shared" si="7"/>
        <v>505760.97230578633</v>
      </c>
    </row>
    <row r="12" spans="1:28" x14ac:dyDescent="0.25">
      <c r="A12" s="49">
        <f t="shared" si="3"/>
        <v>46031</v>
      </c>
      <c r="B12" s="42" t="str">
        <f t="shared" si="1"/>
        <v>jan/26</v>
      </c>
      <c r="C12" s="39">
        <v>0</v>
      </c>
      <c r="D12" s="40">
        <v>0</v>
      </c>
      <c r="E12" s="41"/>
      <c r="F12" s="39">
        <v>0</v>
      </c>
      <c r="G12" s="40">
        <v>0</v>
      </c>
      <c r="H12" s="41"/>
      <c r="I12" s="39">
        <v>0</v>
      </c>
      <c r="J12" s="40">
        <v>0</v>
      </c>
      <c r="K12" s="41"/>
      <c r="L12" s="157">
        <v>0</v>
      </c>
      <c r="M12" s="41"/>
      <c r="O12" s="29"/>
      <c r="P12" s="52" t="s">
        <v>215</v>
      </c>
      <c r="Q12" s="5">
        <f>SUM(Q8:Q9)</f>
        <v>365.4</v>
      </c>
      <c r="R12" s="5">
        <f>SUM(R8:R9)+Q12</f>
        <v>7063.9649999999992</v>
      </c>
      <c r="S12" s="5">
        <f t="shared" ref="S12:AB12" si="8">SUM(S8:S9)+R12</f>
        <v>14976.614999999998</v>
      </c>
      <c r="T12" s="5">
        <f t="shared" si="8"/>
        <v>35483.964999999997</v>
      </c>
      <c r="U12" s="5">
        <f t="shared" si="8"/>
        <v>58585.364999999998</v>
      </c>
      <c r="V12" s="5">
        <f t="shared" si="8"/>
        <v>89785.454999999987</v>
      </c>
      <c r="W12" s="5">
        <f t="shared" si="8"/>
        <v>196534.33250000002</v>
      </c>
      <c r="X12" s="5">
        <f t="shared" si="8"/>
        <v>275349.48250000004</v>
      </c>
      <c r="Y12" s="5">
        <f t="shared" si="8"/>
        <v>334519.72222200001</v>
      </c>
      <c r="Z12" s="5">
        <f t="shared" si="8"/>
        <v>415001.61799977778</v>
      </c>
      <c r="AA12" s="5">
        <f t="shared" si="8"/>
        <v>482307.50299977773</v>
      </c>
      <c r="AB12" s="5">
        <f t="shared" si="8"/>
        <v>518553.83799977769</v>
      </c>
    </row>
    <row r="13" spans="1:28" x14ac:dyDescent="0.25">
      <c r="A13" s="49">
        <f t="shared" si="3"/>
        <v>46032</v>
      </c>
      <c r="B13" s="42" t="str">
        <f t="shared" si="1"/>
        <v>jan/26</v>
      </c>
      <c r="C13" s="39">
        <v>0</v>
      </c>
      <c r="D13" s="40">
        <v>0</v>
      </c>
      <c r="E13" s="41"/>
      <c r="F13" s="39">
        <v>0</v>
      </c>
      <c r="G13" s="40">
        <v>0</v>
      </c>
      <c r="H13" s="41"/>
      <c r="I13" s="39">
        <v>0</v>
      </c>
      <c r="J13" s="40">
        <v>0</v>
      </c>
      <c r="K13" s="41"/>
      <c r="L13" s="157">
        <v>0</v>
      </c>
      <c r="M13" s="41"/>
      <c r="O13" s="29"/>
      <c r="P13" s="160" t="s">
        <v>216</v>
      </c>
      <c r="Q13" s="5">
        <f>Q11-Q12</f>
        <v>339.12</v>
      </c>
      <c r="R13" s="5">
        <f t="shared" ref="R13:AB13" si="9">R11-R12</f>
        <v>5597.2349999999997</v>
      </c>
      <c r="S13" s="5">
        <f t="shared" si="9"/>
        <v>19410.924999999996</v>
      </c>
      <c r="T13" s="5">
        <f t="shared" si="9"/>
        <v>30593.914999999994</v>
      </c>
      <c r="U13" s="5">
        <f t="shared" si="9"/>
        <v>39433.834999999985</v>
      </c>
      <c r="V13" s="5">
        <f t="shared" si="9"/>
        <v>55422.684999999998</v>
      </c>
      <c r="W13" s="5">
        <f t="shared" si="9"/>
        <v>12309.70749999996</v>
      </c>
      <c r="X13" s="5">
        <f t="shared" si="9"/>
        <v>4741.4374999999418</v>
      </c>
      <c r="Y13" s="5">
        <f t="shared" si="9"/>
        <v>18825.293758999964</v>
      </c>
      <c r="Z13" s="5">
        <f t="shared" si="9"/>
        <v>-9240.6456939914497</v>
      </c>
      <c r="AA13" s="5">
        <f t="shared" si="9"/>
        <v>-26546.530693991401</v>
      </c>
      <c r="AB13" s="5">
        <f t="shared" si="9"/>
        <v>-12792.865693991364</v>
      </c>
    </row>
    <row r="14" spans="1:28" x14ac:dyDescent="0.25">
      <c r="A14" s="49">
        <f t="shared" si="3"/>
        <v>46033</v>
      </c>
      <c r="B14" s="42" t="str">
        <f t="shared" si="1"/>
        <v>jan/26</v>
      </c>
      <c r="C14" s="39">
        <v>0</v>
      </c>
      <c r="D14" s="40">
        <v>0</v>
      </c>
      <c r="E14" s="41"/>
      <c r="F14" s="39">
        <v>0</v>
      </c>
      <c r="G14" s="40">
        <v>0</v>
      </c>
      <c r="H14" s="41"/>
      <c r="I14" s="39">
        <v>0</v>
      </c>
      <c r="J14" s="40">
        <v>0</v>
      </c>
      <c r="K14" s="41"/>
      <c r="L14" s="157">
        <v>0</v>
      </c>
      <c r="M14" s="41"/>
      <c r="O14" s="29"/>
      <c r="P14" s="160"/>
      <c r="R14" s="5"/>
      <c r="S14" s="5"/>
      <c r="U14" s="5"/>
    </row>
    <row r="15" spans="1:28" x14ac:dyDescent="0.25">
      <c r="A15" s="49">
        <f t="shared" si="3"/>
        <v>46034</v>
      </c>
      <c r="B15" s="42" t="str">
        <f t="shared" si="1"/>
        <v>jan/26</v>
      </c>
      <c r="C15" s="39">
        <v>0</v>
      </c>
      <c r="D15" s="40">
        <v>0</v>
      </c>
      <c r="E15" s="41"/>
      <c r="F15" s="39">
        <v>0</v>
      </c>
      <c r="G15" s="40">
        <v>0</v>
      </c>
      <c r="H15" s="41"/>
      <c r="I15" s="39">
        <v>0</v>
      </c>
      <c r="J15" s="40">
        <v>0</v>
      </c>
      <c r="K15" s="41"/>
      <c r="L15" s="157">
        <v>0</v>
      </c>
      <c r="M15" s="41"/>
      <c r="O15" s="29"/>
      <c r="P15" s="5"/>
      <c r="R15" s="5"/>
      <c r="S15" s="5"/>
      <c r="U15" s="5"/>
    </row>
    <row r="16" spans="1:28" x14ac:dyDescent="0.25">
      <c r="A16" s="49">
        <f t="shared" si="3"/>
        <v>46035</v>
      </c>
      <c r="B16" s="42" t="str">
        <f t="shared" si="1"/>
        <v>jan/26</v>
      </c>
      <c r="C16" s="39">
        <v>0</v>
      </c>
      <c r="D16" s="40">
        <v>0</v>
      </c>
      <c r="E16" s="41"/>
      <c r="F16" s="39">
        <v>0</v>
      </c>
      <c r="G16" s="40">
        <v>0</v>
      </c>
      <c r="H16" s="41"/>
      <c r="I16" s="39">
        <v>0</v>
      </c>
      <c r="J16" s="40">
        <v>0</v>
      </c>
      <c r="K16" s="41"/>
      <c r="L16" s="157">
        <v>0</v>
      </c>
      <c r="M16" s="41"/>
      <c r="O16" s="29"/>
      <c r="P16" s="5"/>
      <c r="R16" s="5"/>
      <c r="S16" s="5"/>
      <c r="U16" s="5"/>
    </row>
    <row r="17" spans="1:21" x14ac:dyDescent="0.25">
      <c r="A17" s="49">
        <f t="shared" si="3"/>
        <v>46036</v>
      </c>
      <c r="B17" s="42" t="str">
        <f t="shared" si="1"/>
        <v>jan/26</v>
      </c>
      <c r="C17" s="39">
        <v>0</v>
      </c>
      <c r="D17" s="40">
        <v>0</v>
      </c>
      <c r="E17" s="41"/>
      <c r="F17" s="39">
        <v>0</v>
      </c>
      <c r="G17" s="40">
        <v>0</v>
      </c>
      <c r="H17" s="41"/>
      <c r="I17" s="39">
        <v>0</v>
      </c>
      <c r="J17" s="40">
        <v>0</v>
      </c>
      <c r="K17" s="41"/>
      <c r="L17" s="157">
        <v>0</v>
      </c>
      <c r="M17" s="41"/>
      <c r="O17" s="29"/>
      <c r="P17" s="5"/>
      <c r="R17" s="5"/>
      <c r="S17" s="5"/>
      <c r="U17" s="5"/>
    </row>
    <row r="18" spans="1:21" x14ac:dyDescent="0.25">
      <c r="A18" s="49">
        <f t="shared" si="3"/>
        <v>46037</v>
      </c>
      <c r="B18" s="42" t="str">
        <f t="shared" si="1"/>
        <v>jan/26</v>
      </c>
      <c r="C18" s="39">
        <v>0</v>
      </c>
      <c r="D18" s="40">
        <v>0</v>
      </c>
      <c r="E18" s="41"/>
      <c r="F18" s="39">
        <v>0</v>
      </c>
      <c r="G18" s="40">
        <v>0</v>
      </c>
      <c r="H18" s="41"/>
      <c r="I18" s="39">
        <v>0</v>
      </c>
      <c r="J18" s="40">
        <v>0</v>
      </c>
      <c r="K18" s="41"/>
      <c r="L18" s="157">
        <v>0</v>
      </c>
      <c r="M18" s="41"/>
      <c r="O18" s="29"/>
      <c r="P18" s="5"/>
      <c r="R18" s="5"/>
      <c r="S18" s="5"/>
      <c r="U18" s="5"/>
    </row>
    <row r="19" spans="1:21" x14ac:dyDescent="0.25">
      <c r="A19" s="49">
        <f t="shared" si="3"/>
        <v>46038</v>
      </c>
      <c r="B19" s="42" t="str">
        <f t="shared" si="1"/>
        <v>jan/26</v>
      </c>
      <c r="C19" s="39">
        <v>0</v>
      </c>
      <c r="D19" s="40">
        <v>0</v>
      </c>
      <c r="E19" s="41"/>
      <c r="F19" s="39">
        <v>0</v>
      </c>
      <c r="G19" s="40">
        <v>0</v>
      </c>
      <c r="H19" s="41"/>
      <c r="I19" s="39">
        <v>0</v>
      </c>
      <c r="J19" s="40">
        <v>0</v>
      </c>
      <c r="K19" s="41"/>
      <c r="L19" s="157">
        <v>0</v>
      </c>
      <c r="M19" s="41"/>
      <c r="O19" s="29"/>
      <c r="P19" s="5"/>
      <c r="R19" s="5"/>
      <c r="S19" s="5"/>
      <c r="U19" s="5"/>
    </row>
    <row r="20" spans="1:21" x14ac:dyDescent="0.25">
      <c r="A20" s="49">
        <f t="shared" si="3"/>
        <v>46039</v>
      </c>
      <c r="B20" s="42" t="str">
        <f t="shared" si="1"/>
        <v>jan/26</v>
      </c>
      <c r="C20" s="39">
        <v>0</v>
      </c>
      <c r="D20" s="40">
        <v>0</v>
      </c>
      <c r="E20" s="41"/>
      <c r="F20" s="39">
        <v>0</v>
      </c>
      <c r="G20" s="40">
        <v>0</v>
      </c>
      <c r="H20" s="41"/>
      <c r="I20" s="39">
        <v>0</v>
      </c>
      <c r="J20" s="40">
        <v>0</v>
      </c>
      <c r="K20" s="41"/>
      <c r="L20" s="157">
        <v>0</v>
      </c>
      <c r="M20" s="41"/>
      <c r="O20" s="29"/>
      <c r="P20" s="5"/>
      <c r="R20" s="5"/>
      <c r="S20" s="5"/>
      <c r="U20" s="5"/>
    </row>
    <row r="21" spans="1:21" x14ac:dyDescent="0.25">
      <c r="A21" s="49">
        <f t="shared" si="3"/>
        <v>46040</v>
      </c>
      <c r="B21" s="42" t="str">
        <f t="shared" si="1"/>
        <v>jan/26</v>
      </c>
      <c r="C21" s="39">
        <v>0</v>
      </c>
      <c r="D21" s="40">
        <v>0</v>
      </c>
      <c r="E21" s="41"/>
      <c r="F21" s="39">
        <v>0</v>
      </c>
      <c r="G21" s="40">
        <v>0</v>
      </c>
      <c r="H21" s="41"/>
      <c r="I21" s="39">
        <v>0</v>
      </c>
      <c r="J21" s="40">
        <v>0</v>
      </c>
      <c r="K21" s="41"/>
      <c r="L21" s="157">
        <v>365.4</v>
      </c>
      <c r="M21" s="41"/>
      <c r="O21" s="29"/>
      <c r="P21" s="5"/>
      <c r="R21" s="5"/>
      <c r="S21" s="5"/>
      <c r="U21" s="5"/>
    </row>
    <row r="22" spans="1:21" x14ac:dyDescent="0.25">
      <c r="A22" s="49">
        <f t="shared" si="3"/>
        <v>46041</v>
      </c>
      <c r="B22" s="42" t="str">
        <f t="shared" si="1"/>
        <v>jan/26</v>
      </c>
      <c r="C22" s="39">
        <v>0</v>
      </c>
      <c r="D22" s="40">
        <v>0</v>
      </c>
      <c r="E22" s="41"/>
      <c r="F22" s="39">
        <v>0</v>
      </c>
      <c r="G22" s="40">
        <v>0</v>
      </c>
      <c r="H22" s="41"/>
      <c r="I22" s="39">
        <v>0</v>
      </c>
      <c r="J22" s="40">
        <v>0</v>
      </c>
      <c r="K22" s="41"/>
      <c r="L22" s="157">
        <v>0</v>
      </c>
      <c r="M22" s="41"/>
      <c r="O22" s="29"/>
      <c r="P22" s="5"/>
      <c r="R22" s="5"/>
      <c r="S22" s="5"/>
      <c r="U22" s="5"/>
    </row>
    <row r="23" spans="1:21" x14ac:dyDescent="0.25">
      <c r="A23" s="49">
        <f t="shared" si="3"/>
        <v>46042</v>
      </c>
      <c r="B23" s="42" t="str">
        <f t="shared" si="1"/>
        <v>jan/26</v>
      </c>
      <c r="C23" s="39">
        <v>0</v>
      </c>
      <c r="D23" s="40">
        <v>0</v>
      </c>
      <c r="E23" s="41"/>
      <c r="F23" s="39">
        <v>0</v>
      </c>
      <c r="G23" s="40">
        <v>0</v>
      </c>
      <c r="H23" s="41"/>
      <c r="I23" s="39">
        <v>0</v>
      </c>
      <c r="J23" s="40">
        <v>0</v>
      </c>
      <c r="K23" s="41"/>
      <c r="L23" s="157">
        <v>0</v>
      </c>
      <c r="M23" s="41"/>
      <c r="O23" s="29"/>
      <c r="P23" s="5"/>
      <c r="R23" s="5"/>
      <c r="S23" s="5"/>
      <c r="U23" s="5"/>
    </row>
    <row r="24" spans="1:21" x14ac:dyDescent="0.25">
      <c r="A24" s="49">
        <f t="shared" si="3"/>
        <v>46043</v>
      </c>
      <c r="B24" s="42" t="str">
        <f t="shared" si="1"/>
        <v>jan/26</v>
      </c>
      <c r="C24" s="39">
        <v>0</v>
      </c>
      <c r="D24" s="40">
        <v>0</v>
      </c>
      <c r="E24" s="41"/>
      <c r="F24" s="39">
        <v>0</v>
      </c>
      <c r="G24" s="40">
        <v>0</v>
      </c>
      <c r="H24" s="41"/>
      <c r="I24" s="39">
        <v>0</v>
      </c>
      <c r="J24" s="40">
        <v>0</v>
      </c>
      <c r="K24" s="41"/>
      <c r="L24" s="157">
        <v>0</v>
      </c>
      <c r="M24" s="41"/>
      <c r="O24" s="29"/>
      <c r="P24" s="5"/>
      <c r="R24" s="5"/>
      <c r="S24" s="5"/>
      <c r="U24" s="5"/>
    </row>
    <row r="25" spans="1:21" x14ac:dyDescent="0.25">
      <c r="A25" s="49">
        <f t="shared" si="3"/>
        <v>46044</v>
      </c>
      <c r="B25" s="42" t="str">
        <f t="shared" si="1"/>
        <v>jan/26</v>
      </c>
      <c r="C25" s="39">
        <v>630.4</v>
      </c>
      <c r="D25" s="40">
        <v>0</v>
      </c>
      <c r="E25" s="41"/>
      <c r="F25" s="39">
        <v>0</v>
      </c>
      <c r="G25" s="40">
        <v>0</v>
      </c>
      <c r="H25" s="41"/>
      <c r="I25" s="39">
        <v>0</v>
      </c>
      <c r="J25" s="40">
        <v>0</v>
      </c>
      <c r="K25" s="41"/>
      <c r="L25" s="157">
        <v>0</v>
      </c>
      <c r="M25" s="41"/>
      <c r="O25" s="29"/>
      <c r="P25" s="5"/>
      <c r="R25" s="5"/>
      <c r="S25" s="5"/>
      <c r="U25" s="5"/>
    </row>
    <row r="26" spans="1:21" x14ac:dyDescent="0.25">
      <c r="A26" s="49">
        <f t="shared" si="3"/>
        <v>46045</v>
      </c>
      <c r="B26" s="42" t="str">
        <f t="shared" si="1"/>
        <v>jan/26</v>
      </c>
      <c r="C26" s="39">
        <v>696.4</v>
      </c>
      <c r="D26" s="40">
        <v>0</v>
      </c>
      <c r="E26" s="41"/>
      <c r="F26" s="39">
        <v>0</v>
      </c>
      <c r="G26" s="40">
        <v>0</v>
      </c>
      <c r="H26" s="41"/>
      <c r="I26" s="39">
        <v>0</v>
      </c>
      <c r="J26" s="40">
        <v>0</v>
      </c>
      <c r="K26" s="41"/>
      <c r="L26" s="157">
        <v>0</v>
      </c>
      <c r="M26" s="41"/>
      <c r="O26" s="29"/>
      <c r="P26" s="5"/>
      <c r="R26" s="5"/>
      <c r="S26" s="5"/>
      <c r="U26" s="5"/>
    </row>
    <row r="27" spans="1:21" x14ac:dyDescent="0.25">
      <c r="A27" s="49">
        <f t="shared" si="3"/>
        <v>46046</v>
      </c>
      <c r="B27" s="42" t="str">
        <f t="shared" si="1"/>
        <v>jan/26</v>
      </c>
      <c r="C27" s="39">
        <v>665.45</v>
      </c>
      <c r="D27" s="40">
        <v>0</v>
      </c>
      <c r="E27" s="41"/>
      <c r="F27" s="39">
        <v>0</v>
      </c>
      <c r="G27" s="40">
        <v>0</v>
      </c>
      <c r="H27" s="41"/>
      <c r="I27" s="39">
        <v>0</v>
      </c>
      <c r="J27" s="40">
        <v>0</v>
      </c>
      <c r="K27" s="41"/>
      <c r="L27" s="157">
        <v>0</v>
      </c>
      <c r="M27" s="41"/>
      <c r="O27" s="29"/>
      <c r="P27" s="5"/>
      <c r="R27" s="5"/>
      <c r="S27" s="5"/>
      <c r="U27" s="5"/>
    </row>
    <row r="28" spans="1:21" x14ac:dyDescent="0.25">
      <c r="A28" s="49">
        <f t="shared" si="3"/>
        <v>46047</v>
      </c>
      <c r="B28" s="42" t="str">
        <f t="shared" si="1"/>
        <v>jan/26</v>
      </c>
      <c r="C28" s="39">
        <v>541.72</v>
      </c>
      <c r="D28" s="40">
        <v>0</v>
      </c>
      <c r="E28" s="41"/>
      <c r="F28" s="39">
        <v>0</v>
      </c>
      <c r="G28" s="40">
        <v>0</v>
      </c>
      <c r="H28" s="41"/>
      <c r="I28" s="39">
        <v>0</v>
      </c>
      <c r="J28" s="40">
        <v>0</v>
      </c>
      <c r="K28" s="41"/>
      <c r="L28" s="157">
        <v>0</v>
      </c>
      <c r="M28" s="41"/>
      <c r="O28" s="29"/>
      <c r="P28" s="5"/>
      <c r="R28" s="5"/>
      <c r="S28" s="5"/>
      <c r="U28" s="5"/>
    </row>
    <row r="29" spans="1:21" x14ac:dyDescent="0.25">
      <c r="A29" s="49">
        <f t="shared" si="3"/>
        <v>46048</v>
      </c>
      <c r="B29" s="42" t="str">
        <f t="shared" si="1"/>
        <v>jan/26</v>
      </c>
      <c r="C29" s="39">
        <v>555.94000000000005</v>
      </c>
      <c r="D29" s="40">
        <v>0</v>
      </c>
      <c r="E29" s="41"/>
      <c r="F29" s="39">
        <v>0</v>
      </c>
      <c r="G29" s="40">
        <v>0</v>
      </c>
      <c r="H29" s="41"/>
      <c r="I29" s="39">
        <v>0</v>
      </c>
      <c r="J29" s="40">
        <v>0</v>
      </c>
      <c r="K29" s="41"/>
      <c r="L29" s="157">
        <v>0</v>
      </c>
      <c r="M29" s="41"/>
      <c r="O29" s="29"/>
      <c r="P29" s="5"/>
      <c r="R29" s="5"/>
      <c r="S29" s="5"/>
      <c r="U29" s="5"/>
    </row>
    <row r="30" spans="1:21" x14ac:dyDescent="0.25">
      <c r="A30" s="49">
        <f t="shared" si="3"/>
        <v>46049</v>
      </c>
      <c r="B30" s="42" t="str">
        <f t="shared" si="1"/>
        <v>jan/26</v>
      </c>
      <c r="C30" s="39">
        <v>841.38</v>
      </c>
      <c r="D30" s="40">
        <v>0</v>
      </c>
      <c r="E30" s="41"/>
      <c r="F30" s="39">
        <v>0</v>
      </c>
      <c r="G30" s="40">
        <v>0</v>
      </c>
      <c r="H30" s="41"/>
      <c r="I30" s="39">
        <v>0</v>
      </c>
      <c r="J30" s="40">
        <v>0</v>
      </c>
      <c r="K30" s="41"/>
      <c r="L30" s="157">
        <v>0</v>
      </c>
      <c r="M30" s="41"/>
      <c r="O30" s="29"/>
      <c r="P30" s="5"/>
      <c r="R30" s="5"/>
      <c r="S30" s="5"/>
      <c r="U30" s="5"/>
    </row>
    <row r="31" spans="1:21" x14ac:dyDescent="0.25">
      <c r="A31" s="49">
        <f t="shared" si="3"/>
        <v>46050</v>
      </c>
      <c r="B31" s="42" t="str">
        <f t="shared" si="1"/>
        <v>jan/26</v>
      </c>
      <c r="C31" s="39">
        <v>867.44</v>
      </c>
      <c r="D31" s="40">
        <v>0</v>
      </c>
      <c r="E31" s="41"/>
      <c r="F31" s="39">
        <v>0</v>
      </c>
      <c r="G31" s="40">
        <v>0</v>
      </c>
      <c r="H31" s="41"/>
      <c r="I31" s="39">
        <v>0</v>
      </c>
      <c r="J31" s="40">
        <v>0</v>
      </c>
      <c r="K31" s="41"/>
      <c r="L31" s="157">
        <v>0</v>
      </c>
      <c r="M31" s="41"/>
      <c r="O31" s="29"/>
      <c r="P31" s="5"/>
      <c r="R31" s="5"/>
      <c r="S31" s="5"/>
      <c r="U31" s="5"/>
    </row>
    <row r="32" spans="1:21" x14ac:dyDescent="0.25">
      <c r="A32" s="49">
        <f t="shared" si="3"/>
        <v>46051</v>
      </c>
      <c r="B32" s="42" t="str">
        <f t="shared" si="1"/>
        <v>jan/26</v>
      </c>
      <c r="C32" s="39">
        <v>810.43</v>
      </c>
      <c r="D32" s="40">
        <v>404.14</v>
      </c>
      <c r="E32" s="41"/>
      <c r="F32" s="39">
        <v>0</v>
      </c>
      <c r="G32" s="40">
        <v>0</v>
      </c>
      <c r="H32" s="41"/>
      <c r="I32" s="39">
        <v>0</v>
      </c>
      <c r="J32" s="40">
        <v>0</v>
      </c>
      <c r="K32" s="41"/>
      <c r="L32" s="157">
        <v>0</v>
      </c>
      <c r="M32" s="41"/>
      <c r="O32" s="29"/>
      <c r="P32" s="5"/>
      <c r="R32" s="5"/>
      <c r="S32" s="5"/>
      <c r="U32" s="5"/>
    </row>
    <row r="33" spans="1:21" x14ac:dyDescent="0.25">
      <c r="A33" s="49">
        <f t="shared" si="3"/>
        <v>46052</v>
      </c>
      <c r="B33" s="42" t="str">
        <f t="shared" si="1"/>
        <v>jan/26</v>
      </c>
      <c r="C33" s="39">
        <v>938.3</v>
      </c>
      <c r="D33" s="40">
        <v>167.61999999999998</v>
      </c>
      <c r="E33" s="41"/>
      <c r="F33" s="39">
        <v>0</v>
      </c>
      <c r="G33" s="40">
        <v>0</v>
      </c>
      <c r="H33" s="41"/>
      <c r="I33" s="39">
        <v>0</v>
      </c>
      <c r="J33" s="40">
        <v>0</v>
      </c>
      <c r="K33" s="41"/>
      <c r="L33" s="157">
        <v>0</v>
      </c>
      <c r="M33" s="41"/>
      <c r="O33" s="29"/>
      <c r="P33" s="5"/>
      <c r="R33" s="5"/>
      <c r="S33" s="5"/>
      <c r="U33" s="5"/>
    </row>
    <row r="34" spans="1:21" x14ac:dyDescent="0.25">
      <c r="A34" s="49">
        <f t="shared" si="3"/>
        <v>46053</v>
      </c>
      <c r="B34" s="42" t="str">
        <f t="shared" si="1"/>
        <v>jan/26</v>
      </c>
      <c r="C34" s="39">
        <v>358.38</v>
      </c>
      <c r="D34" s="40">
        <v>132.76</v>
      </c>
      <c r="E34" s="41"/>
      <c r="F34" s="39">
        <v>0</v>
      </c>
      <c r="G34" s="40">
        <v>0</v>
      </c>
      <c r="H34" s="41"/>
      <c r="I34" s="39">
        <v>0</v>
      </c>
      <c r="J34" s="40">
        <v>0</v>
      </c>
      <c r="K34" s="41"/>
      <c r="L34" s="157">
        <v>0</v>
      </c>
      <c r="M34" s="41"/>
      <c r="O34" s="29"/>
      <c r="P34" s="5"/>
      <c r="R34" s="5"/>
      <c r="S34" s="5"/>
      <c r="U34" s="5"/>
    </row>
    <row r="35" spans="1:21" x14ac:dyDescent="0.25">
      <c r="A35" s="49">
        <f t="shared" si="3"/>
        <v>46054</v>
      </c>
      <c r="B35" s="42" t="str">
        <f t="shared" si="1"/>
        <v>fev/26</v>
      </c>
      <c r="C35" s="39">
        <v>248.42</v>
      </c>
      <c r="D35" s="40">
        <v>0</v>
      </c>
      <c r="E35" s="41"/>
      <c r="F35" s="39">
        <v>0</v>
      </c>
      <c r="G35" s="40">
        <v>0</v>
      </c>
      <c r="H35" s="41"/>
      <c r="I35" s="39">
        <v>0</v>
      </c>
      <c r="J35" s="40">
        <v>0</v>
      </c>
      <c r="K35" s="41"/>
      <c r="L35" s="157">
        <v>0</v>
      </c>
      <c r="M35" s="41"/>
      <c r="O35" s="29"/>
      <c r="P35" s="5"/>
      <c r="R35" s="5"/>
      <c r="S35" s="5"/>
      <c r="U35" s="5"/>
    </row>
    <row r="36" spans="1:21" x14ac:dyDescent="0.25">
      <c r="A36" s="49">
        <f t="shared" si="3"/>
        <v>46055</v>
      </c>
      <c r="B36" s="42" t="str">
        <f t="shared" si="1"/>
        <v>fev/26</v>
      </c>
      <c r="C36" s="39">
        <v>764.82</v>
      </c>
      <c r="D36" s="40">
        <v>240.88</v>
      </c>
      <c r="E36" s="41"/>
      <c r="F36" s="39">
        <v>0</v>
      </c>
      <c r="G36" s="40">
        <v>0</v>
      </c>
      <c r="H36" s="41"/>
      <c r="I36" s="39">
        <v>0</v>
      </c>
      <c r="J36" s="40">
        <v>0</v>
      </c>
      <c r="K36" s="41"/>
      <c r="L36" s="157">
        <v>0</v>
      </c>
      <c r="M36" s="41"/>
      <c r="O36" s="29"/>
      <c r="P36" s="5"/>
      <c r="R36" s="5"/>
      <c r="S36" s="5"/>
      <c r="U36" s="5"/>
    </row>
    <row r="37" spans="1:21" x14ac:dyDescent="0.25">
      <c r="A37" s="49">
        <f t="shared" si="3"/>
        <v>46056</v>
      </c>
      <c r="B37" s="42" t="str">
        <f t="shared" si="1"/>
        <v>fev/26</v>
      </c>
      <c r="C37" s="39">
        <v>1057.22</v>
      </c>
      <c r="D37" s="40">
        <v>607.78</v>
      </c>
      <c r="E37" s="41"/>
      <c r="F37" s="39">
        <v>0</v>
      </c>
      <c r="G37" s="40">
        <v>0</v>
      </c>
      <c r="H37" s="41"/>
      <c r="I37" s="39">
        <v>0</v>
      </c>
      <c r="J37" s="40">
        <v>0</v>
      </c>
      <c r="K37" s="41"/>
      <c r="L37" s="157">
        <v>522</v>
      </c>
      <c r="M37" s="41"/>
      <c r="O37" s="29"/>
      <c r="P37" s="5"/>
      <c r="R37" s="5"/>
      <c r="S37" s="5"/>
      <c r="U37" s="5"/>
    </row>
    <row r="38" spans="1:21" x14ac:dyDescent="0.25">
      <c r="A38" s="49">
        <f t="shared" si="3"/>
        <v>46057</v>
      </c>
      <c r="B38" s="42" t="str">
        <f t="shared" si="1"/>
        <v>fev/26</v>
      </c>
      <c r="C38" s="39">
        <v>746.9</v>
      </c>
      <c r="D38" s="40">
        <v>505.15999999999997</v>
      </c>
      <c r="E38" s="41"/>
      <c r="F38" s="39">
        <v>0</v>
      </c>
      <c r="G38" s="40">
        <v>0</v>
      </c>
      <c r="H38" s="41"/>
      <c r="I38" s="39">
        <v>0</v>
      </c>
      <c r="J38" s="40">
        <v>0</v>
      </c>
      <c r="K38" s="41"/>
      <c r="L38" s="157">
        <v>365.4</v>
      </c>
      <c r="M38" s="41"/>
      <c r="O38" s="29"/>
      <c r="P38" s="5"/>
      <c r="R38" s="5"/>
      <c r="S38" s="5"/>
      <c r="U38" s="5"/>
    </row>
    <row r="39" spans="1:21" x14ac:dyDescent="0.25">
      <c r="A39" s="49">
        <f t="shared" si="3"/>
        <v>46058</v>
      </c>
      <c r="B39" s="42" t="str">
        <f t="shared" si="1"/>
        <v>fev/26</v>
      </c>
      <c r="C39" s="39">
        <v>509.06</v>
      </c>
      <c r="D39" s="40">
        <v>606.68000000000018</v>
      </c>
      <c r="E39" s="41"/>
      <c r="F39" s="39">
        <v>0</v>
      </c>
      <c r="G39" s="40">
        <v>0</v>
      </c>
      <c r="H39" s="41"/>
      <c r="I39" s="39">
        <v>0</v>
      </c>
      <c r="J39" s="40">
        <v>0</v>
      </c>
      <c r="K39" s="41"/>
      <c r="L39" s="157">
        <v>639.44999999999993</v>
      </c>
      <c r="M39" s="41"/>
      <c r="O39" s="29"/>
      <c r="P39" s="5"/>
      <c r="R39" s="5"/>
      <c r="S39" s="5"/>
      <c r="U39" s="5"/>
    </row>
    <row r="40" spans="1:21" x14ac:dyDescent="0.25">
      <c r="A40" s="49">
        <f t="shared" si="3"/>
        <v>46059</v>
      </c>
      <c r="B40" s="42" t="str">
        <f t="shared" si="1"/>
        <v>fev/26</v>
      </c>
      <c r="C40" s="39">
        <v>424.35</v>
      </c>
      <c r="D40" s="40">
        <v>710.34000000000015</v>
      </c>
      <c r="E40" s="41"/>
      <c r="F40" s="39">
        <v>0</v>
      </c>
      <c r="G40" s="40">
        <v>0</v>
      </c>
      <c r="H40" s="41"/>
      <c r="I40" s="39">
        <v>0</v>
      </c>
      <c r="J40" s="40">
        <v>0</v>
      </c>
      <c r="K40" s="41"/>
      <c r="L40" s="157">
        <v>885.51499999999999</v>
      </c>
      <c r="M40" s="41"/>
      <c r="O40" s="29"/>
      <c r="P40" s="5"/>
      <c r="R40" s="5"/>
      <c r="S40" s="5"/>
      <c r="U40" s="5"/>
    </row>
    <row r="41" spans="1:21" x14ac:dyDescent="0.25">
      <c r="A41" s="49">
        <f t="shared" si="3"/>
        <v>46060</v>
      </c>
      <c r="B41" s="42" t="str">
        <f t="shared" si="1"/>
        <v>fev/26</v>
      </c>
      <c r="C41" s="39">
        <v>616.58000000000004</v>
      </c>
      <c r="D41" s="40">
        <v>245.3</v>
      </c>
      <c r="E41" s="41"/>
      <c r="F41" s="39">
        <v>0</v>
      </c>
      <c r="G41" s="40">
        <v>0</v>
      </c>
      <c r="H41" s="41"/>
      <c r="I41" s="39">
        <v>0</v>
      </c>
      <c r="J41" s="40">
        <v>0</v>
      </c>
      <c r="K41" s="41"/>
      <c r="L41" s="157">
        <v>0</v>
      </c>
      <c r="M41" s="41"/>
      <c r="O41" s="29"/>
      <c r="P41" s="5"/>
      <c r="R41" s="5"/>
      <c r="S41" s="5"/>
      <c r="U41" s="5"/>
    </row>
    <row r="42" spans="1:21" x14ac:dyDescent="0.25">
      <c r="A42" s="49">
        <f t="shared" si="3"/>
        <v>46061</v>
      </c>
      <c r="B42" s="42" t="str">
        <f t="shared" si="1"/>
        <v>fev/26</v>
      </c>
      <c r="C42" s="39">
        <v>67.599999999999994</v>
      </c>
      <c r="D42" s="40">
        <v>0</v>
      </c>
      <c r="E42" s="41"/>
      <c r="F42" s="39">
        <v>0</v>
      </c>
      <c r="G42" s="40">
        <v>0</v>
      </c>
      <c r="H42" s="41"/>
      <c r="I42" s="39">
        <v>0</v>
      </c>
      <c r="J42" s="40">
        <v>0</v>
      </c>
      <c r="K42" s="41"/>
      <c r="L42" s="157">
        <v>0</v>
      </c>
      <c r="M42" s="41"/>
      <c r="O42" s="29"/>
      <c r="P42" s="5"/>
      <c r="R42" s="5"/>
      <c r="S42" s="5"/>
      <c r="U42" s="5"/>
    </row>
    <row r="43" spans="1:21" x14ac:dyDescent="0.25">
      <c r="A43" s="49">
        <f t="shared" si="3"/>
        <v>46062</v>
      </c>
      <c r="B43" s="42" t="str">
        <f t="shared" si="1"/>
        <v>fev/26</v>
      </c>
      <c r="C43" s="39">
        <v>799.84</v>
      </c>
      <c r="D43" s="40">
        <v>917</v>
      </c>
      <c r="E43" s="41"/>
      <c r="F43" s="39">
        <v>0</v>
      </c>
      <c r="G43" s="40">
        <v>0</v>
      </c>
      <c r="H43" s="41"/>
      <c r="I43" s="39">
        <v>0</v>
      </c>
      <c r="J43" s="40">
        <v>0</v>
      </c>
      <c r="K43" s="41"/>
      <c r="L43" s="157">
        <v>200.1</v>
      </c>
      <c r="M43" s="41"/>
      <c r="O43" s="29"/>
      <c r="P43" s="5"/>
      <c r="R43" s="5"/>
      <c r="S43" s="5"/>
      <c r="U43" s="5"/>
    </row>
    <row r="44" spans="1:21" x14ac:dyDescent="0.25">
      <c r="A44" s="49">
        <f t="shared" si="3"/>
        <v>46063</v>
      </c>
      <c r="B44" s="42" t="str">
        <f t="shared" si="1"/>
        <v>fev/26</v>
      </c>
      <c r="C44" s="39">
        <v>351.86</v>
      </c>
      <c r="D44" s="40">
        <v>977.24</v>
      </c>
      <c r="E44" s="41"/>
      <c r="F44" s="39">
        <v>0</v>
      </c>
      <c r="G44" s="40">
        <v>0</v>
      </c>
      <c r="H44" s="41"/>
      <c r="I44" s="39">
        <v>0</v>
      </c>
      <c r="J44" s="40">
        <v>0</v>
      </c>
      <c r="K44" s="41"/>
      <c r="L44" s="157">
        <v>0</v>
      </c>
      <c r="M44" s="41"/>
      <c r="O44" s="29"/>
      <c r="P44" s="5"/>
      <c r="R44" s="5"/>
      <c r="S44" s="5"/>
      <c r="U44" s="5"/>
    </row>
    <row r="45" spans="1:21" x14ac:dyDescent="0.25">
      <c r="A45" s="49">
        <f t="shared" si="3"/>
        <v>46064</v>
      </c>
      <c r="B45" s="42" t="str">
        <f t="shared" si="1"/>
        <v>fev/26</v>
      </c>
      <c r="C45" s="39">
        <v>277.65000000000009</v>
      </c>
      <c r="D45" s="40">
        <v>0</v>
      </c>
      <c r="E45" s="41"/>
      <c r="F45" s="39">
        <v>-286.79999999999995</v>
      </c>
      <c r="G45" s="40">
        <v>0</v>
      </c>
      <c r="H45" s="41"/>
      <c r="I45" s="39">
        <v>0</v>
      </c>
      <c r="J45" s="40">
        <v>0</v>
      </c>
      <c r="K45" s="41"/>
      <c r="L45" s="157">
        <v>100.05</v>
      </c>
      <c r="M45" s="41"/>
      <c r="O45" s="29"/>
      <c r="P45" s="5"/>
      <c r="R45" s="5"/>
      <c r="S45" s="5"/>
      <c r="U45" s="5"/>
    </row>
    <row r="46" spans="1:21" x14ac:dyDescent="0.25">
      <c r="A46" s="49">
        <f t="shared" si="3"/>
        <v>46065</v>
      </c>
      <c r="B46" s="42" t="str">
        <f t="shared" si="1"/>
        <v>fev/26</v>
      </c>
      <c r="C46" s="39">
        <v>706.17</v>
      </c>
      <c r="D46" s="40">
        <v>0</v>
      </c>
      <c r="E46" s="41"/>
      <c r="F46" s="39">
        <v>0</v>
      </c>
      <c r="G46" s="40">
        <v>0</v>
      </c>
      <c r="H46" s="41"/>
      <c r="I46" s="39">
        <v>0</v>
      </c>
      <c r="J46" s="40">
        <v>0</v>
      </c>
      <c r="K46" s="41"/>
      <c r="L46" s="157">
        <v>1083.1500000000001</v>
      </c>
      <c r="M46" s="41"/>
      <c r="O46" s="29"/>
      <c r="P46" s="5"/>
      <c r="R46" s="5"/>
      <c r="S46" s="5"/>
      <c r="U46" s="5"/>
    </row>
    <row r="47" spans="1:21" x14ac:dyDescent="0.25">
      <c r="A47" s="49">
        <f t="shared" si="3"/>
        <v>46066</v>
      </c>
      <c r="B47" s="42" t="str">
        <f t="shared" si="1"/>
        <v>fev/26</v>
      </c>
      <c r="C47" s="39">
        <v>576.66999999999996</v>
      </c>
      <c r="D47" s="40">
        <v>1019.4200000000001</v>
      </c>
      <c r="E47" s="41"/>
      <c r="F47" s="39">
        <v>0</v>
      </c>
      <c r="G47" s="40">
        <v>0</v>
      </c>
      <c r="H47" s="41"/>
      <c r="I47" s="39">
        <v>0</v>
      </c>
      <c r="J47" s="40">
        <v>0</v>
      </c>
      <c r="K47" s="41"/>
      <c r="L47" s="157">
        <v>939.59999999999991</v>
      </c>
      <c r="M47" s="41"/>
      <c r="O47" s="29"/>
      <c r="P47" s="5"/>
      <c r="R47" s="5"/>
      <c r="S47" s="5"/>
      <c r="U47" s="5"/>
    </row>
    <row r="48" spans="1:21" x14ac:dyDescent="0.25">
      <c r="A48" s="49">
        <f t="shared" si="3"/>
        <v>46067</v>
      </c>
      <c r="B48" s="42" t="str">
        <f t="shared" si="1"/>
        <v>fev/26</v>
      </c>
      <c r="C48" s="39">
        <v>0</v>
      </c>
      <c r="D48" s="40">
        <v>659.96000000000015</v>
      </c>
      <c r="E48" s="41"/>
      <c r="F48" s="39">
        <v>0</v>
      </c>
      <c r="G48" s="40">
        <v>0</v>
      </c>
      <c r="H48" s="41"/>
      <c r="I48" s="39">
        <v>0</v>
      </c>
      <c r="J48" s="40">
        <v>0</v>
      </c>
      <c r="K48" s="41"/>
      <c r="L48" s="157">
        <v>587.25</v>
      </c>
      <c r="M48" s="41"/>
      <c r="O48" s="29"/>
      <c r="P48" s="5"/>
      <c r="R48" s="5"/>
      <c r="S48" s="5"/>
      <c r="U48" s="5"/>
    </row>
    <row r="49" spans="1:21" x14ac:dyDescent="0.25">
      <c r="A49" s="49">
        <f t="shared" si="3"/>
        <v>46068</v>
      </c>
      <c r="B49" s="42" t="str">
        <f t="shared" si="1"/>
        <v>fev/26</v>
      </c>
      <c r="C49" s="39">
        <v>0</v>
      </c>
      <c r="D49" s="40">
        <v>0</v>
      </c>
      <c r="E49" s="41"/>
      <c r="F49" s="39">
        <v>0</v>
      </c>
      <c r="G49" s="40">
        <v>0</v>
      </c>
      <c r="H49" s="41"/>
      <c r="I49" s="39">
        <v>0</v>
      </c>
      <c r="J49" s="40">
        <v>0</v>
      </c>
      <c r="K49" s="41"/>
      <c r="L49" s="157">
        <v>0</v>
      </c>
      <c r="M49" s="41"/>
      <c r="O49" s="29"/>
      <c r="P49" s="5"/>
      <c r="R49" s="5"/>
      <c r="S49" s="5"/>
      <c r="U49" s="5"/>
    </row>
    <row r="50" spans="1:21" x14ac:dyDescent="0.25">
      <c r="A50" s="49">
        <f t="shared" si="3"/>
        <v>46069</v>
      </c>
      <c r="B50" s="42" t="str">
        <f t="shared" si="1"/>
        <v>fev/26</v>
      </c>
      <c r="C50" s="39">
        <v>637.75</v>
      </c>
      <c r="D50" s="40">
        <v>677.84</v>
      </c>
      <c r="E50" s="41"/>
      <c r="F50" s="39">
        <v>0</v>
      </c>
      <c r="G50" s="40">
        <v>0</v>
      </c>
      <c r="H50" s="41"/>
      <c r="I50" s="39">
        <v>0</v>
      </c>
      <c r="J50" s="40">
        <v>0</v>
      </c>
      <c r="K50" s="41"/>
      <c r="L50" s="157">
        <v>92.219999999999985</v>
      </c>
      <c r="M50" s="41"/>
      <c r="O50" s="29"/>
      <c r="P50" s="5"/>
      <c r="R50" s="5"/>
      <c r="S50" s="5"/>
      <c r="U50" s="5"/>
    </row>
    <row r="51" spans="1:21" x14ac:dyDescent="0.25">
      <c r="A51" s="49">
        <f t="shared" si="3"/>
        <v>46070</v>
      </c>
      <c r="B51" s="42" t="str">
        <f t="shared" si="1"/>
        <v>fev/26</v>
      </c>
      <c r="C51" s="39">
        <v>644.27</v>
      </c>
      <c r="D51" s="40">
        <v>494.20000000000005</v>
      </c>
      <c r="E51" s="41"/>
      <c r="F51" s="39">
        <v>0</v>
      </c>
      <c r="G51" s="40">
        <v>0</v>
      </c>
      <c r="H51" s="41"/>
      <c r="I51" s="39">
        <v>0</v>
      </c>
      <c r="J51" s="40">
        <v>0</v>
      </c>
      <c r="K51" s="41"/>
      <c r="L51" s="157">
        <v>637.8549999999999</v>
      </c>
      <c r="M51" s="41"/>
      <c r="O51" s="29"/>
      <c r="P51" s="5"/>
      <c r="R51" s="5"/>
      <c r="S51" s="5"/>
      <c r="U51" s="5"/>
    </row>
    <row r="52" spans="1:21" x14ac:dyDescent="0.25">
      <c r="A52" s="49">
        <f t="shared" si="3"/>
        <v>46071</v>
      </c>
      <c r="B52" s="42" t="str">
        <f t="shared" si="1"/>
        <v>fev/26</v>
      </c>
      <c r="C52" s="39">
        <v>592.14</v>
      </c>
      <c r="D52" s="40">
        <v>724.64</v>
      </c>
      <c r="E52" s="41"/>
      <c r="F52" s="39">
        <v>0</v>
      </c>
      <c r="G52" s="40">
        <v>0</v>
      </c>
      <c r="H52" s="41"/>
      <c r="I52" s="39">
        <v>0</v>
      </c>
      <c r="J52" s="40">
        <v>0</v>
      </c>
      <c r="K52" s="41"/>
      <c r="L52" s="157">
        <v>174</v>
      </c>
      <c r="M52" s="41"/>
      <c r="O52" s="29"/>
      <c r="P52" s="5"/>
      <c r="R52" s="5"/>
      <c r="S52" s="5"/>
      <c r="U52" s="5"/>
    </row>
    <row r="53" spans="1:21" x14ac:dyDescent="0.25">
      <c r="A53" s="49">
        <f t="shared" si="3"/>
        <v>46072</v>
      </c>
      <c r="B53" s="42" t="str">
        <f t="shared" si="1"/>
        <v>fev/26</v>
      </c>
      <c r="C53" s="39">
        <v>670.33</v>
      </c>
      <c r="D53" s="40">
        <v>753.45999999999992</v>
      </c>
      <c r="E53" s="41"/>
      <c r="F53" s="39">
        <v>0</v>
      </c>
      <c r="G53" s="40">
        <v>0</v>
      </c>
      <c r="H53" s="41"/>
      <c r="I53" s="39">
        <v>0</v>
      </c>
      <c r="J53" s="40">
        <v>0</v>
      </c>
      <c r="K53" s="41"/>
      <c r="L53" s="157">
        <v>206.625</v>
      </c>
      <c r="M53" s="41"/>
      <c r="O53" s="29"/>
      <c r="P53" s="5"/>
      <c r="R53" s="5"/>
      <c r="S53" s="5"/>
      <c r="U53" s="5"/>
    </row>
    <row r="54" spans="1:21" x14ac:dyDescent="0.25">
      <c r="A54" s="49">
        <f t="shared" si="3"/>
        <v>46073</v>
      </c>
      <c r="B54" s="42" t="str">
        <f t="shared" si="1"/>
        <v>fev/26</v>
      </c>
      <c r="C54" s="39">
        <v>542.46</v>
      </c>
      <c r="D54" s="40">
        <v>658.38000000000011</v>
      </c>
      <c r="E54" s="41"/>
      <c r="F54" s="39">
        <v>202.5</v>
      </c>
      <c r="G54" s="40">
        <v>0</v>
      </c>
      <c r="H54" s="41"/>
      <c r="I54" s="39">
        <v>0</v>
      </c>
      <c r="J54" s="40">
        <v>0</v>
      </c>
      <c r="K54" s="41"/>
      <c r="L54" s="157">
        <v>195.75</v>
      </c>
      <c r="M54" s="41"/>
      <c r="O54" s="29"/>
      <c r="P54" s="5"/>
      <c r="R54" s="5"/>
      <c r="S54" s="5"/>
      <c r="U54" s="5"/>
    </row>
    <row r="55" spans="1:21" x14ac:dyDescent="0.25">
      <c r="A55" s="49">
        <f t="shared" si="3"/>
        <v>46074</v>
      </c>
      <c r="B55" s="42" t="str">
        <f t="shared" si="1"/>
        <v>fev/26</v>
      </c>
      <c r="C55" s="39">
        <v>0</v>
      </c>
      <c r="D55" s="40">
        <v>601.34</v>
      </c>
      <c r="E55" s="41"/>
      <c r="F55" s="39">
        <v>202.5</v>
      </c>
      <c r="G55" s="40">
        <v>0</v>
      </c>
      <c r="H55" s="41"/>
      <c r="I55" s="39">
        <v>0</v>
      </c>
      <c r="J55" s="40">
        <v>0</v>
      </c>
      <c r="K55" s="41"/>
      <c r="L55" s="157">
        <v>0</v>
      </c>
      <c r="M55" s="41"/>
      <c r="O55" s="29"/>
      <c r="P55" s="5"/>
      <c r="R55" s="5"/>
      <c r="S55" s="5"/>
      <c r="U55" s="5"/>
    </row>
    <row r="56" spans="1:21" x14ac:dyDescent="0.25">
      <c r="A56" s="49">
        <f t="shared" si="3"/>
        <v>46075</v>
      </c>
      <c r="B56" s="42" t="str">
        <f t="shared" si="1"/>
        <v>fev/26</v>
      </c>
      <c r="C56" s="39">
        <v>0</v>
      </c>
      <c r="D56" s="40">
        <v>0</v>
      </c>
      <c r="E56" s="41"/>
      <c r="F56" s="39">
        <v>202.5</v>
      </c>
      <c r="G56" s="40">
        <v>0</v>
      </c>
      <c r="H56" s="41"/>
      <c r="I56" s="39">
        <v>0</v>
      </c>
      <c r="J56" s="40">
        <v>0</v>
      </c>
      <c r="K56" s="41"/>
      <c r="L56" s="157">
        <v>0</v>
      </c>
      <c r="M56" s="41"/>
      <c r="O56" s="29"/>
      <c r="P56" s="5"/>
      <c r="R56" s="5"/>
      <c r="S56" s="5"/>
      <c r="U56" s="5"/>
    </row>
    <row r="57" spans="1:21" x14ac:dyDescent="0.25">
      <c r="A57" s="49">
        <f t="shared" si="3"/>
        <v>46076</v>
      </c>
      <c r="B57" s="42" t="str">
        <f t="shared" si="1"/>
        <v>fev/26</v>
      </c>
      <c r="C57" s="39">
        <v>0</v>
      </c>
      <c r="D57" s="40">
        <v>0</v>
      </c>
      <c r="E57" s="41"/>
      <c r="F57" s="39">
        <v>202.5</v>
      </c>
      <c r="G57" s="40">
        <v>0</v>
      </c>
      <c r="H57" s="41"/>
      <c r="I57" s="39">
        <v>0</v>
      </c>
      <c r="J57" s="40">
        <v>0</v>
      </c>
      <c r="K57" s="41"/>
      <c r="L57" s="157">
        <v>0</v>
      </c>
      <c r="M57" s="41"/>
      <c r="O57" s="29"/>
      <c r="P57" s="5"/>
      <c r="R57" s="5"/>
      <c r="S57" s="5"/>
      <c r="U57" s="5"/>
    </row>
    <row r="58" spans="1:21" x14ac:dyDescent="0.25">
      <c r="A58" s="49">
        <f t="shared" si="3"/>
        <v>46077</v>
      </c>
      <c r="B58" s="42" t="str">
        <f t="shared" si="1"/>
        <v>fev/26</v>
      </c>
      <c r="C58" s="39">
        <v>231.32</v>
      </c>
      <c r="D58" s="40">
        <v>297.62</v>
      </c>
      <c r="E58" s="41"/>
      <c r="F58" s="39">
        <v>202.5</v>
      </c>
      <c r="G58" s="40">
        <v>0</v>
      </c>
      <c r="H58" s="41"/>
      <c r="I58" s="39">
        <v>0</v>
      </c>
      <c r="J58" s="40">
        <v>0</v>
      </c>
      <c r="K58" s="41"/>
      <c r="L58" s="157">
        <v>0</v>
      </c>
      <c r="M58" s="41"/>
      <c r="O58" s="29"/>
      <c r="P58" s="5"/>
      <c r="R58" s="5"/>
      <c r="S58" s="5"/>
      <c r="U58" s="5"/>
    </row>
    <row r="59" spans="1:21" x14ac:dyDescent="0.25">
      <c r="A59" s="49">
        <f t="shared" si="3"/>
        <v>46078</v>
      </c>
      <c r="B59" s="42" t="str">
        <f t="shared" si="1"/>
        <v>fev/26</v>
      </c>
      <c r="C59" s="39">
        <v>0</v>
      </c>
      <c r="D59" s="40">
        <v>405.22000000000008</v>
      </c>
      <c r="E59" s="41"/>
      <c r="F59" s="39">
        <v>202.5</v>
      </c>
      <c r="G59" s="40">
        <v>0</v>
      </c>
      <c r="H59" s="41"/>
      <c r="I59" s="39">
        <v>0</v>
      </c>
      <c r="J59" s="40">
        <v>0</v>
      </c>
      <c r="K59" s="41"/>
      <c r="L59" s="157">
        <v>69.599999999999994</v>
      </c>
      <c r="M59" s="41"/>
      <c r="O59" s="29"/>
      <c r="P59" s="5"/>
      <c r="R59" s="5"/>
      <c r="S59" s="5"/>
      <c r="U59" s="5"/>
    </row>
    <row r="60" spans="1:21" x14ac:dyDescent="0.25">
      <c r="A60" s="49">
        <f t="shared" si="3"/>
        <v>46079</v>
      </c>
      <c r="B60" s="42" t="str">
        <f t="shared" si="1"/>
        <v>fev/26</v>
      </c>
      <c r="C60" s="39">
        <v>0</v>
      </c>
      <c r="D60" s="40">
        <v>203.07999999999996</v>
      </c>
      <c r="E60" s="41"/>
      <c r="F60" s="39">
        <v>202.5</v>
      </c>
      <c r="G60" s="40">
        <v>0</v>
      </c>
      <c r="H60" s="41"/>
      <c r="I60" s="39">
        <v>0</v>
      </c>
      <c r="J60" s="40">
        <v>0</v>
      </c>
      <c r="K60" s="41"/>
      <c r="L60" s="157">
        <v>0</v>
      </c>
      <c r="M60" s="41"/>
      <c r="O60" s="29"/>
      <c r="P60" s="5"/>
      <c r="R60" s="5"/>
      <c r="S60" s="5"/>
      <c r="U60" s="5"/>
    </row>
    <row r="61" spans="1:21" x14ac:dyDescent="0.25">
      <c r="A61" s="49">
        <f t="shared" si="3"/>
        <v>46080</v>
      </c>
      <c r="B61" s="42" t="str">
        <f t="shared" si="1"/>
        <v>fev/26</v>
      </c>
      <c r="C61" s="39">
        <v>0</v>
      </c>
      <c r="D61" s="40">
        <v>651.1400000000001</v>
      </c>
      <c r="E61" s="41"/>
      <c r="F61" s="39">
        <v>202.5</v>
      </c>
      <c r="G61" s="40">
        <v>0</v>
      </c>
      <c r="H61" s="41"/>
      <c r="I61" s="39">
        <v>0</v>
      </c>
      <c r="J61" s="40">
        <v>0</v>
      </c>
      <c r="K61" s="41"/>
      <c r="L61" s="157">
        <v>0</v>
      </c>
      <c r="M61" s="41"/>
      <c r="O61" s="29"/>
      <c r="P61" s="5"/>
      <c r="R61" s="5"/>
      <c r="S61" s="5"/>
      <c r="U61" s="5"/>
    </row>
    <row r="62" spans="1:21" x14ac:dyDescent="0.25">
      <c r="A62" s="49">
        <f t="shared" si="3"/>
        <v>46081</v>
      </c>
      <c r="B62" s="42" t="str">
        <f t="shared" si="1"/>
        <v>fev/26</v>
      </c>
      <c r="C62" s="39">
        <v>0</v>
      </c>
      <c r="D62" s="40">
        <v>0</v>
      </c>
      <c r="E62" s="41"/>
      <c r="F62" s="39">
        <v>0</v>
      </c>
      <c r="G62" s="40">
        <v>0</v>
      </c>
      <c r="H62" s="41"/>
      <c r="I62" s="39">
        <v>0</v>
      </c>
      <c r="J62" s="40">
        <v>0</v>
      </c>
      <c r="K62" s="41"/>
      <c r="L62" s="157">
        <v>0</v>
      </c>
      <c r="M62" s="41"/>
      <c r="O62" s="29"/>
      <c r="P62" s="5"/>
      <c r="R62" s="5"/>
      <c r="S62" s="5"/>
      <c r="U62" s="5"/>
    </row>
    <row r="63" spans="1:21" x14ac:dyDescent="0.25">
      <c r="A63" s="49">
        <f t="shared" si="3"/>
        <v>46082</v>
      </c>
      <c r="B63" s="42" t="str">
        <f t="shared" si="1"/>
        <v>mar/26</v>
      </c>
      <c r="C63" s="39">
        <v>0</v>
      </c>
      <c r="D63" s="40">
        <v>0</v>
      </c>
      <c r="E63" s="41"/>
      <c r="F63" s="39">
        <v>0</v>
      </c>
      <c r="G63" s="40">
        <v>0</v>
      </c>
      <c r="H63" s="41"/>
      <c r="I63" s="39">
        <v>0</v>
      </c>
      <c r="J63" s="40">
        <v>0</v>
      </c>
      <c r="K63" s="41"/>
      <c r="L63" s="157">
        <v>0</v>
      </c>
      <c r="M63" s="41"/>
      <c r="O63" s="29"/>
      <c r="P63" s="5"/>
      <c r="R63" s="5"/>
      <c r="S63" s="5"/>
      <c r="U63" s="5"/>
    </row>
    <row r="64" spans="1:21" x14ac:dyDescent="0.25">
      <c r="A64" s="49">
        <f t="shared" si="3"/>
        <v>46083</v>
      </c>
      <c r="B64" s="42" t="str">
        <f t="shared" si="1"/>
        <v>mar/26</v>
      </c>
      <c r="C64" s="39">
        <v>0</v>
      </c>
      <c r="D64" s="40">
        <v>717.22</v>
      </c>
      <c r="E64" s="41"/>
      <c r="F64" s="39">
        <v>0</v>
      </c>
      <c r="G64" s="40">
        <v>0</v>
      </c>
      <c r="H64" s="41"/>
      <c r="I64" s="39">
        <v>0</v>
      </c>
      <c r="J64" s="40">
        <v>0</v>
      </c>
      <c r="K64" s="41"/>
      <c r="L64" s="157">
        <v>174</v>
      </c>
      <c r="M64" s="41"/>
      <c r="O64" s="29"/>
      <c r="P64" s="5"/>
      <c r="R64" s="5"/>
      <c r="S64" s="5"/>
      <c r="U64" s="5"/>
    </row>
    <row r="65" spans="1:21" x14ac:dyDescent="0.25">
      <c r="A65" s="49">
        <f t="shared" si="3"/>
        <v>46084</v>
      </c>
      <c r="B65" s="42" t="str">
        <f t="shared" si="1"/>
        <v>mar/26</v>
      </c>
      <c r="C65" s="39">
        <v>0</v>
      </c>
      <c r="D65" s="40">
        <v>455.38</v>
      </c>
      <c r="E65" s="41"/>
      <c r="F65" s="39">
        <v>726.75</v>
      </c>
      <c r="G65" s="40">
        <v>0</v>
      </c>
      <c r="H65" s="41"/>
      <c r="I65" s="39">
        <v>0</v>
      </c>
      <c r="J65" s="40">
        <v>0</v>
      </c>
      <c r="K65" s="41"/>
      <c r="L65" s="157">
        <v>52.199999999999996</v>
      </c>
      <c r="M65" s="41"/>
      <c r="O65" s="29"/>
      <c r="P65" s="5"/>
      <c r="R65" s="5"/>
      <c r="S65" s="5"/>
      <c r="U65" s="5"/>
    </row>
    <row r="66" spans="1:21" x14ac:dyDescent="0.25">
      <c r="A66" s="49">
        <f t="shared" si="3"/>
        <v>46085</v>
      </c>
      <c r="B66" s="42" t="str">
        <f t="shared" si="1"/>
        <v>mar/26</v>
      </c>
      <c r="C66" s="39">
        <v>0</v>
      </c>
      <c r="D66" s="40">
        <v>142.41999999999999</v>
      </c>
      <c r="E66" s="41"/>
      <c r="F66" s="39">
        <v>1020</v>
      </c>
      <c r="G66" s="40">
        <v>0</v>
      </c>
      <c r="H66" s="41"/>
      <c r="I66" s="39">
        <v>0</v>
      </c>
      <c r="J66" s="40">
        <v>0</v>
      </c>
      <c r="K66" s="41"/>
      <c r="L66" s="157">
        <v>522</v>
      </c>
      <c r="M66" s="41"/>
      <c r="O66" s="29"/>
      <c r="P66" s="5"/>
      <c r="R66" s="5"/>
      <c r="S66" s="5"/>
      <c r="U66" s="5"/>
    </row>
    <row r="67" spans="1:21" x14ac:dyDescent="0.25">
      <c r="A67" s="49">
        <f t="shared" si="3"/>
        <v>46086</v>
      </c>
      <c r="B67" s="42" t="str">
        <f t="shared" si="1"/>
        <v>mar/26</v>
      </c>
      <c r="C67" s="39">
        <v>0</v>
      </c>
      <c r="D67" s="40">
        <v>212.48</v>
      </c>
      <c r="E67" s="41"/>
      <c r="F67" s="39">
        <v>807.5</v>
      </c>
      <c r="G67" s="40">
        <v>0</v>
      </c>
      <c r="H67" s="41"/>
      <c r="I67" s="39">
        <v>0</v>
      </c>
      <c r="J67" s="40">
        <v>0</v>
      </c>
      <c r="K67" s="41"/>
      <c r="L67" s="157">
        <v>991.8</v>
      </c>
      <c r="M67" s="41"/>
      <c r="O67" s="29"/>
      <c r="P67" s="5"/>
      <c r="R67" s="5"/>
      <c r="S67" s="5"/>
      <c r="U67" s="5"/>
    </row>
    <row r="68" spans="1:21" x14ac:dyDescent="0.25">
      <c r="A68" s="49">
        <f t="shared" si="3"/>
        <v>46087</v>
      </c>
      <c r="B68" s="42" t="str">
        <f t="shared" si="1"/>
        <v>mar/26</v>
      </c>
      <c r="C68" s="39">
        <v>0</v>
      </c>
      <c r="D68" s="40">
        <v>642.34</v>
      </c>
      <c r="E68" s="41"/>
      <c r="F68" s="39">
        <v>443.7</v>
      </c>
      <c r="G68" s="40">
        <v>0</v>
      </c>
      <c r="H68" s="41"/>
      <c r="I68" s="39">
        <v>0</v>
      </c>
      <c r="J68" s="40">
        <v>0</v>
      </c>
      <c r="K68" s="41"/>
      <c r="L68" s="157">
        <v>134.85</v>
      </c>
      <c r="M68" s="41"/>
      <c r="O68" s="29"/>
      <c r="P68" s="5"/>
      <c r="R68" s="5"/>
      <c r="S68" s="5"/>
      <c r="U68" s="5"/>
    </row>
    <row r="69" spans="1:21" x14ac:dyDescent="0.25">
      <c r="A69" s="49">
        <f t="shared" si="3"/>
        <v>46088</v>
      </c>
      <c r="B69" s="42" t="str">
        <f t="shared" ref="B69:B132" si="10">TEXT(A69,"MMM/AA")</f>
        <v>mar/26</v>
      </c>
      <c r="C69" s="39">
        <v>0</v>
      </c>
      <c r="D69" s="40">
        <v>551.43999999999994</v>
      </c>
      <c r="E69" s="41"/>
      <c r="F69" s="39">
        <v>0</v>
      </c>
      <c r="G69" s="40">
        <v>0</v>
      </c>
      <c r="H69" s="41"/>
      <c r="I69" s="39">
        <v>0</v>
      </c>
      <c r="J69" s="40">
        <v>0</v>
      </c>
      <c r="K69" s="41"/>
      <c r="L69" s="157">
        <v>0</v>
      </c>
      <c r="M69" s="41"/>
      <c r="O69" s="29"/>
      <c r="P69" s="5"/>
      <c r="R69" s="5"/>
      <c r="S69" s="5"/>
      <c r="U69" s="5"/>
    </row>
    <row r="70" spans="1:21" x14ac:dyDescent="0.25">
      <c r="A70" s="49">
        <f t="shared" ref="A70:A106" si="11">A69+1</f>
        <v>46089</v>
      </c>
      <c r="B70" s="42" t="str">
        <f t="shared" si="10"/>
        <v>mar/26</v>
      </c>
      <c r="C70" s="39">
        <v>0</v>
      </c>
      <c r="D70" s="40">
        <v>0</v>
      </c>
      <c r="E70" s="41"/>
      <c r="F70" s="39">
        <v>0</v>
      </c>
      <c r="G70" s="40">
        <v>0</v>
      </c>
      <c r="H70" s="41"/>
      <c r="I70" s="39">
        <v>0</v>
      </c>
      <c r="J70" s="40">
        <v>0</v>
      </c>
      <c r="K70" s="41"/>
      <c r="L70" s="157">
        <v>0</v>
      </c>
      <c r="M70" s="41"/>
      <c r="O70" s="29"/>
      <c r="P70" s="5"/>
      <c r="R70" s="5"/>
      <c r="S70" s="5"/>
      <c r="U70" s="5"/>
    </row>
    <row r="71" spans="1:21" x14ac:dyDescent="0.25">
      <c r="A71" s="49">
        <f t="shared" si="11"/>
        <v>46090</v>
      </c>
      <c r="B71" s="42" t="str">
        <f t="shared" si="10"/>
        <v>mar/26</v>
      </c>
      <c r="C71" s="39">
        <v>0</v>
      </c>
      <c r="D71" s="40">
        <v>114.68</v>
      </c>
      <c r="E71" s="41"/>
      <c r="F71" s="39">
        <v>651.70000000000005</v>
      </c>
      <c r="G71" s="40">
        <v>0</v>
      </c>
      <c r="H71" s="41"/>
      <c r="I71" s="39">
        <v>0</v>
      </c>
      <c r="J71" s="40">
        <v>0</v>
      </c>
      <c r="K71" s="41"/>
      <c r="L71" s="157">
        <v>0</v>
      </c>
      <c r="M71" s="41"/>
      <c r="O71" s="29"/>
      <c r="P71" s="5"/>
      <c r="R71" s="5"/>
      <c r="S71" s="5"/>
      <c r="U71" s="5"/>
    </row>
    <row r="72" spans="1:21" x14ac:dyDescent="0.25">
      <c r="A72" s="49">
        <f t="shared" si="11"/>
        <v>46091</v>
      </c>
      <c r="B72" s="42" t="str">
        <f t="shared" si="10"/>
        <v>mar/26</v>
      </c>
      <c r="C72" s="39">
        <v>0</v>
      </c>
      <c r="D72" s="40">
        <v>381.64</v>
      </c>
      <c r="E72" s="41"/>
      <c r="F72" s="39">
        <v>755.76</v>
      </c>
      <c r="G72" s="40">
        <v>0</v>
      </c>
      <c r="H72" s="41"/>
      <c r="I72" s="39">
        <v>0</v>
      </c>
      <c r="J72" s="40">
        <v>0</v>
      </c>
      <c r="K72" s="41"/>
      <c r="L72" s="157">
        <v>456.75</v>
      </c>
      <c r="M72" s="41"/>
      <c r="O72" s="29"/>
      <c r="P72" s="5"/>
      <c r="R72" s="5"/>
      <c r="S72" s="5"/>
      <c r="U72" s="5"/>
    </row>
    <row r="73" spans="1:21" x14ac:dyDescent="0.25">
      <c r="A73" s="49">
        <f t="shared" si="11"/>
        <v>46092</v>
      </c>
      <c r="B73" s="42" t="str">
        <f t="shared" si="10"/>
        <v>mar/26</v>
      </c>
      <c r="C73" s="39">
        <v>0</v>
      </c>
      <c r="D73" s="40">
        <v>858.69999999999993</v>
      </c>
      <c r="E73" s="41"/>
      <c r="F73" s="39">
        <v>949.03</v>
      </c>
      <c r="G73" s="40">
        <v>0</v>
      </c>
      <c r="H73" s="41"/>
      <c r="I73" s="39">
        <v>0</v>
      </c>
      <c r="J73" s="40">
        <v>0</v>
      </c>
      <c r="K73" s="41"/>
      <c r="L73" s="157">
        <v>771.4</v>
      </c>
      <c r="M73" s="41"/>
      <c r="O73" s="29"/>
      <c r="P73" s="5"/>
      <c r="R73" s="5"/>
      <c r="S73" s="5"/>
      <c r="U73" s="5"/>
    </row>
    <row r="74" spans="1:21" x14ac:dyDescent="0.25">
      <c r="A74" s="49">
        <f t="shared" si="11"/>
        <v>46093</v>
      </c>
      <c r="B74" s="42" t="str">
        <f t="shared" si="10"/>
        <v>mar/26</v>
      </c>
      <c r="C74" s="39">
        <v>0</v>
      </c>
      <c r="D74" s="40">
        <v>200.7</v>
      </c>
      <c r="E74" s="41"/>
      <c r="F74" s="39">
        <v>828.75</v>
      </c>
      <c r="G74" s="40">
        <v>0</v>
      </c>
      <c r="H74" s="41"/>
      <c r="I74" s="39">
        <v>0</v>
      </c>
      <c r="J74" s="40">
        <v>0</v>
      </c>
      <c r="K74" s="41"/>
      <c r="L74" s="157">
        <v>0</v>
      </c>
      <c r="M74" s="41"/>
      <c r="O74" s="29"/>
      <c r="P74" s="5"/>
      <c r="R74" s="5"/>
      <c r="S74" s="5"/>
      <c r="U74" s="5"/>
    </row>
    <row r="75" spans="1:21" x14ac:dyDescent="0.25">
      <c r="A75" s="49">
        <f t="shared" si="11"/>
        <v>46094</v>
      </c>
      <c r="B75" s="42" t="str">
        <f t="shared" si="10"/>
        <v>mar/26</v>
      </c>
      <c r="C75" s="39">
        <v>0</v>
      </c>
      <c r="D75" s="40">
        <v>35.14</v>
      </c>
      <c r="E75" s="41"/>
      <c r="F75" s="39">
        <v>932.66</v>
      </c>
      <c r="G75" s="40">
        <v>0</v>
      </c>
      <c r="H75" s="41"/>
      <c r="I75" s="39">
        <v>0</v>
      </c>
      <c r="J75" s="40">
        <v>0</v>
      </c>
      <c r="K75" s="41"/>
      <c r="L75" s="157">
        <v>0</v>
      </c>
      <c r="M75" s="41"/>
      <c r="O75" s="29"/>
      <c r="P75" s="5"/>
      <c r="R75" s="5"/>
      <c r="S75" s="5"/>
      <c r="U75" s="5"/>
    </row>
    <row r="76" spans="1:21" x14ac:dyDescent="0.25">
      <c r="A76" s="49">
        <f t="shared" si="11"/>
        <v>46095</v>
      </c>
      <c r="B76" s="42" t="str">
        <f t="shared" si="10"/>
        <v>mar/26</v>
      </c>
      <c r="C76" s="39">
        <v>0</v>
      </c>
      <c r="D76" s="40">
        <v>0</v>
      </c>
      <c r="E76" s="41"/>
      <c r="F76" s="39">
        <v>685.74</v>
      </c>
      <c r="G76" s="40">
        <v>543.44000000000005</v>
      </c>
      <c r="H76" s="41"/>
      <c r="I76" s="39">
        <v>0</v>
      </c>
      <c r="J76" s="40">
        <v>0</v>
      </c>
      <c r="K76" s="41"/>
      <c r="L76" s="157">
        <v>40.6</v>
      </c>
      <c r="M76" s="41"/>
      <c r="O76" s="29"/>
      <c r="P76" s="5"/>
      <c r="R76" s="5"/>
      <c r="S76" s="5"/>
      <c r="U76" s="5"/>
    </row>
    <row r="77" spans="1:21" x14ac:dyDescent="0.25">
      <c r="A77" s="49">
        <f t="shared" si="11"/>
        <v>46096</v>
      </c>
      <c r="B77" s="42" t="str">
        <f t="shared" si="10"/>
        <v>mar/26</v>
      </c>
      <c r="C77" s="39">
        <v>0</v>
      </c>
      <c r="D77" s="40">
        <v>0</v>
      </c>
      <c r="E77" s="41"/>
      <c r="F77" s="39">
        <v>0</v>
      </c>
      <c r="G77" s="40">
        <v>0</v>
      </c>
      <c r="H77" s="41"/>
      <c r="I77" s="39">
        <v>0</v>
      </c>
      <c r="J77" s="40">
        <v>0</v>
      </c>
      <c r="K77" s="41"/>
      <c r="L77" s="157">
        <v>0</v>
      </c>
      <c r="M77" s="41"/>
      <c r="O77" s="29"/>
      <c r="P77" s="5"/>
      <c r="R77" s="5"/>
      <c r="S77" s="5"/>
      <c r="U77" s="5"/>
    </row>
    <row r="78" spans="1:21" x14ac:dyDescent="0.25">
      <c r="A78" s="49">
        <f t="shared" si="11"/>
        <v>46097</v>
      </c>
      <c r="B78" s="42" t="str">
        <f t="shared" si="10"/>
        <v>mar/26</v>
      </c>
      <c r="C78" s="39">
        <v>0</v>
      </c>
      <c r="D78" s="40">
        <v>35.4</v>
      </c>
      <c r="E78" s="41"/>
      <c r="F78" s="39">
        <v>584.59</v>
      </c>
      <c r="G78" s="40">
        <v>1060.7400000000002</v>
      </c>
      <c r="H78" s="41"/>
      <c r="I78" s="39">
        <v>0</v>
      </c>
      <c r="J78" s="40">
        <v>0</v>
      </c>
      <c r="K78" s="41"/>
      <c r="L78" s="157">
        <v>110.19999999999999</v>
      </c>
      <c r="M78" s="41"/>
      <c r="O78" s="29"/>
      <c r="P78" s="5"/>
      <c r="R78" s="5"/>
      <c r="S78" s="5"/>
      <c r="U78" s="5"/>
    </row>
    <row r="79" spans="1:21" x14ac:dyDescent="0.25">
      <c r="A79" s="49">
        <f t="shared" si="11"/>
        <v>46098</v>
      </c>
      <c r="B79" s="42" t="str">
        <f t="shared" si="10"/>
        <v>mar/26</v>
      </c>
      <c r="C79" s="39">
        <v>0</v>
      </c>
      <c r="D79" s="40">
        <v>0</v>
      </c>
      <c r="E79" s="41"/>
      <c r="F79" s="39">
        <v>816.54</v>
      </c>
      <c r="G79" s="40">
        <v>591.79999999999995</v>
      </c>
      <c r="H79" s="41"/>
      <c r="I79" s="39">
        <v>0</v>
      </c>
      <c r="J79" s="40">
        <v>0</v>
      </c>
      <c r="K79" s="41"/>
      <c r="L79" s="157">
        <v>0</v>
      </c>
      <c r="M79" s="41"/>
      <c r="O79" s="29"/>
      <c r="P79" s="5"/>
      <c r="R79" s="5"/>
      <c r="S79" s="5"/>
      <c r="U79" s="5"/>
    </row>
    <row r="80" spans="1:21" x14ac:dyDescent="0.25">
      <c r="A80" s="49">
        <f t="shared" si="11"/>
        <v>46099</v>
      </c>
      <c r="B80" s="42" t="str">
        <f t="shared" si="10"/>
        <v>mar/26</v>
      </c>
      <c r="C80" s="39">
        <v>0</v>
      </c>
      <c r="D80" s="40">
        <v>0</v>
      </c>
      <c r="E80" s="41"/>
      <c r="F80" s="39">
        <v>1127.6099999999999</v>
      </c>
      <c r="G80" s="40">
        <v>1052.94</v>
      </c>
      <c r="H80" s="41"/>
      <c r="I80" s="39">
        <v>0</v>
      </c>
      <c r="J80" s="40">
        <v>0</v>
      </c>
      <c r="K80" s="41"/>
      <c r="L80" s="157">
        <v>1004.85</v>
      </c>
      <c r="M80" s="41"/>
      <c r="O80" s="29"/>
      <c r="P80" s="5"/>
      <c r="R80" s="5"/>
      <c r="S80" s="5"/>
      <c r="U80" s="5"/>
    </row>
    <row r="81" spans="1:21" x14ac:dyDescent="0.25">
      <c r="A81" s="49">
        <f t="shared" si="11"/>
        <v>46100</v>
      </c>
      <c r="B81" s="42" t="str">
        <f t="shared" si="10"/>
        <v>mar/26</v>
      </c>
      <c r="C81" s="39">
        <v>0</v>
      </c>
      <c r="D81" s="40">
        <v>0</v>
      </c>
      <c r="E81" s="41"/>
      <c r="F81" s="39">
        <v>997.31</v>
      </c>
      <c r="G81" s="40">
        <v>1403.3399999999997</v>
      </c>
      <c r="H81" s="41"/>
      <c r="I81" s="39">
        <v>0</v>
      </c>
      <c r="J81" s="40">
        <v>0</v>
      </c>
      <c r="K81" s="41"/>
      <c r="L81" s="157">
        <v>0</v>
      </c>
      <c r="M81" s="41"/>
      <c r="O81" s="29"/>
      <c r="P81" s="5"/>
      <c r="R81" s="5"/>
      <c r="S81" s="5"/>
      <c r="U81" s="5"/>
    </row>
    <row r="82" spans="1:21" x14ac:dyDescent="0.25">
      <c r="A82" s="49">
        <f t="shared" si="11"/>
        <v>46101</v>
      </c>
      <c r="B82" s="42" t="str">
        <f t="shared" si="10"/>
        <v>mar/26</v>
      </c>
      <c r="C82" s="39">
        <v>0</v>
      </c>
      <c r="D82" s="40">
        <v>0</v>
      </c>
      <c r="E82" s="41"/>
      <c r="F82" s="39">
        <v>862.75</v>
      </c>
      <c r="G82" s="40">
        <v>1580.3000000000004</v>
      </c>
      <c r="H82" s="41"/>
      <c r="I82" s="39">
        <v>0</v>
      </c>
      <c r="J82" s="40">
        <v>0</v>
      </c>
      <c r="K82" s="41"/>
      <c r="L82" s="157">
        <v>0</v>
      </c>
      <c r="M82" s="41"/>
      <c r="O82" s="29"/>
      <c r="P82" s="5"/>
      <c r="R82" s="5"/>
      <c r="S82" s="5"/>
      <c r="U82" s="5"/>
    </row>
    <row r="83" spans="1:21" x14ac:dyDescent="0.25">
      <c r="A83" s="49">
        <f t="shared" si="11"/>
        <v>46102</v>
      </c>
      <c r="B83" s="42" t="str">
        <f t="shared" si="10"/>
        <v>mar/26</v>
      </c>
      <c r="C83" s="39">
        <v>0</v>
      </c>
      <c r="D83" s="40">
        <v>0</v>
      </c>
      <c r="E83" s="41"/>
      <c r="F83" s="39">
        <v>680.26</v>
      </c>
      <c r="G83" s="40">
        <v>1199.78</v>
      </c>
      <c r="H83" s="41"/>
      <c r="I83" s="39">
        <v>0</v>
      </c>
      <c r="J83" s="40">
        <v>0</v>
      </c>
      <c r="K83" s="41"/>
      <c r="L83" s="157">
        <v>0</v>
      </c>
      <c r="M83" s="41"/>
      <c r="O83" s="29"/>
      <c r="P83" s="5"/>
      <c r="R83" s="5"/>
      <c r="S83" s="5"/>
      <c r="U83" s="5"/>
    </row>
    <row r="84" spans="1:21" x14ac:dyDescent="0.25">
      <c r="A84" s="49">
        <f t="shared" si="11"/>
        <v>46103</v>
      </c>
      <c r="B84" s="42" t="str">
        <f t="shared" si="10"/>
        <v>mar/26</v>
      </c>
      <c r="C84" s="39">
        <v>0</v>
      </c>
      <c r="D84" s="40">
        <v>0</v>
      </c>
      <c r="E84" s="41"/>
      <c r="F84" s="39">
        <v>0</v>
      </c>
      <c r="G84" s="40">
        <v>0</v>
      </c>
      <c r="H84" s="41"/>
      <c r="I84" s="39">
        <v>0</v>
      </c>
      <c r="J84" s="40">
        <v>0</v>
      </c>
      <c r="K84" s="41"/>
      <c r="L84" s="157">
        <v>0</v>
      </c>
      <c r="M84" s="41"/>
      <c r="O84" s="29"/>
      <c r="P84" s="5"/>
      <c r="R84" s="5"/>
      <c r="S84" s="5"/>
      <c r="U84" s="5"/>
    </row>
    <row r="85" spans="1:21" x14ac:dyDescent="0.25">
      <c r="A85" s="49">
        <f t="shared" si="11"/>
        <v>46104</v>
      </c>
      <c r="B85" s="42" t="str">
        <f t="shared" si="10"/>
        <v>mar/26</v>
      </c>
      <c r="C85" s="39">
        <v>0</v>
      </c>
      <c r="D85" s="40">
        <v>0</v>
      </c>
      <c r="E85" s="41"/>
      <c r="F85" s="39">
        <v>821.07</v>
      </c>
      <c r="G85" s="40">
        <v>1266.7199999999996</v>
      </c>
      <c r="H85" s="41"/>
      <c r="I85" s="39">
        <v>0</v>
      </c>
      <c r="J85" s="40">
        <v>0</v>
      </c>
      <c r="K85" s="41"/>
      <c r="L85" s="157">
        <v>0</v>
      </c>
      <c r="M85" s="41"/>
      <c r="O85" s="29"/>
      <c r="P85" s="5"/>
      <c r="R85" s="5"/>
      <c r="S85" s="5"/>
      <c r="U85" s="5"/>
    </row>
    <row r="86" spans="1:21" x14ac:dyDescent="0.25">
      <c r="A86" s="49">
        <f t="shared" si="11"/>
        <v>46105</v>
      </c>
      <c r="B86" s="42" t="str">
        <f t="shared" si="10"/>
        <v>mar/26</v>
      </c>
      <c r="C86" s="39">
        <v>0</v>
      </c>
      <c r="D86" s="40">
        <v>0</v>
      </c>
      <c r="E86" s="41"/>
      <c r="F86" s="39">
        <v>1072.07</v>
      </c>
      <c r="G86" s="40">
        <v>1305.5599999999997</v>
      </c>
      <c r="H86" s="41"/>
      <c r="I86" s="39">
        <v>0</v>
      </c>
      <c r="J86" s="40">
        <v>0</v>
      </c>
      <c r="K86" s="41"/>
      <c r="L86" s="157">
        <v>0</v>
      </c>
      <c r="M86" s="41"/>
      <c r="O86" s="29"/>
      <c r="P86" s="5"/>
      <c r="R86" s="5"/>
      <c r="S86" s="5"/>
      <c r="U86" s="5"/>
    </row>
    <row r="87" spans="1:21" x14ac:dyDescent="0.25">
      <c r="A87" s="49">
        <f t="shared" si="11"/>
        <v>46106</v>
      </c>
      <c r="B87" s="42" t="str">
        <f t="shared" si="10"/>
        <v>mar/26</v>
      </c>
      <c r="C87" s="39">
        <v>0</v>
      </c>
      <c r="D87" s="40">
        <v>0</v>
      </c>
      <c r="E87" s="41"/>
      <c r="F87" s="39">
        <v>1146.8699999999999</v>
      </c>
      <c r="G87" s="40">
        <v>1077</v>
      </c>
      <c r="H87" s="41"/>
      <c r="I87" s="39">
        <v>0</v>
      </c>
      <c r="J87" s="40">
        <v>0</v>
      </c>
      <c r="K87" s="41"/>
      <c r="L87" s="157">
        <v>1735.6499999999999</v>
      </c>
      <c r="M87" s="41"/>
      <c r="O87" s="29"/>
      <c r="P87" s="5"/>
      <c r="R87" s="5"/>
      <c r="S87" s="5"/>
      <c r="U87" s="5"/>
    </row>
    <row r="88" spans="1:21" x14ac:dyDescent="0.25">
      <c r="A88" s="49">
        <f t="shared" si="11"/>
        <v>46107</v>
      </c>
      <c r="B88" s="42" t="str">
        <f t="shared" si="10"/>
        <v>mar/26</v>
      </c>
      <c r="C88" s="39">
        <v>0</v>
      </c>
      <c r="D88" s="40">
        <v>0</v>
      </c>
      <c r="E88" s="41"/>
      <c r="F88" s="39">
        <v>1227.94</v>
      </c>
      <c r="G88" s="40">
        <v>1110.28</v>
      </c>
      <c r="H88" s="41"/>
      <c r="I88" s="39">
        <v>0</v>
      </c>
      <c r="J88" s="40">
        <v>0</v>
      </c>
      <c r="K88" s="41"/>
      <c r="L88" s="157">
        <v>1461.6</v>
      </c>
      <c r="M88" s="41"/>
      <c r="O88" s="29"/>
      <c r="P88" s="5"/>
      <c r="R88" s="5"/>
      <c r="S88" s="5"/>
      <c r="U88" s="5"/>
    </row>
    <row r="89" spans="1:21" x14ac:dyDescent="0.25">
      <c r="A89" s="49">
        <f t="shared" si="11"/>
        <v>46108</v>
      </c>
      <c r="B89" s="42" t="str">
        <f t="shared" si="10"/>
        <v>mar/26</v>
      </c>
      <c r="C89" s="39">
        <v>0</v>
      </c>
      <c r="D89" s="40">
        <v>0</v>
      </c>
      <c r="E89" s="41"/>
      <c r="F89" s="39">
        <v>1372.11</v>
      </c>
      <c r="G89" s="40">
        <v>1236.3199999999997</v>
      </c>
      <c r="H89" s="41"/>
      <c r="I89" s="39">
        <v>0</v>
      </c>
      <c r="J89" s="40">
        <v>0</v>
      </c>
      <c r="K89" s="41"/>
      <c r="L89" s="157">
        <v>0</v>
      </c>
      <c r="M89" s="41"/>
      <c r="O89" s="29"/>
      <c r="P89" s="5"/>
      <c r="R89" s="5"/>
      <c r="S89" s="5"/>
      <c r="U89" s="5"/>
    </row>
    <row r="90" spans="1:21" x14ac:dyDescent="0.25">
      <c r="A90" s="49">
        <f t="shared" si="11"/>
        <v>46109</v>
      </c>
      <c r="B90" s="42" t="str">
        <f t="shared" si="10"/>
        <v>mar/26</v>
      </c>
      <c r="C90" s="39">
        <v>733.89</v>
      </c>
      <c r="D90" s="40">
        <v>0</v>
      </c>
      <c r="E90" s="41"/>
      <c r="F90" s="39">
        <v>480.52</v>
      </c>
      <c r="G90" s="40">
        <v>1063.1599999999999</v>
      </c>
      <c r="H90" s="41"/>
      <c r="I90" s="39">
        <v>0</v>
      </c>
      <c r="J90" s="40">
        <v>0</v>
      </c>
      <c r="K90" s="41"/>
      <c r="L90" s="157">
        <v>456.75</v>
      </c>
      <c r="M90" s="41"/>
      <c r="O90" s="29"/>
      <c r="P90" s="5"/>
      <c r="R90" s="5"/>
      <c r="S90" s="5"/>
      <c r="U90" s="5"/>
    </row>
    <row r="91" spans="1:21" x14ac:dyDescent="0.25">
      <c r="A91" s="49">
        <f t="shared" si="11"/>
        <v>46110</v>
      </c>
      <c r="B91" s="42" t="str">
        <f t="shared" si="10"/>
        <v>mar/26</v>
      </c>
      <c r="C91" s="39">
        <v>0</v>
      </c>
      <c r="D91" s="40">
        <v>0</v>
      </c>
      <c r="E91" s="41"/>
      <c r="F91" s="39">
        <v>0</v>
      </c>
      <c r="G91" s="40">
        <v>0</v>
      </c>
      <c r="H91" s="41"/>
      <c r="I91" s="39">
        <v>0</v>
      </c>
      <c r="J91" s="40">
        <v>0</v>
      </c>
      <c r="K91" s="41"/>
      <c r="L91" s="157">
        <v>0</v>
      </c>
      <c r="M91" s="41"/>
      <c r="O91" s="29"/>
      <c r="P91" s="5"/>
      <c r="R91" s="5"/>
      <c r="S91" s="5"/>
      <c r="U91" s="5"/>
    </row>
    <row r="92" spans="1:21" x14ac:dyDescent="0.25">
      <c r="A92" s="49">
        <f t="shared" si="11"/>
        <v>46111</v>
      </c>
      <c r="B92" s="42" t="str">
        <f t="shared" si="10"/>
        <v>mar/26</v>
      </c>
      <c r="C92" s="39">
        <v>534.38</v>
      </c>
      <c r="D92" s="40">
        <v>0</v>
      </c>
      <c r="E92" s="41"/>
      <c r="F92" s="39">
        <v>1190</v>
      </c>
      <c r="G92" s="40">
        <v>813.9</v>
      </c>
      <c r="H92" s="41"/>
      <c r="I92" s="39">
        <v>0</v>
      </c>
      <c r="J92" s="40">
        <v>0</v>
      </c>
      <c r="K92" s="41"/>
      <c r="L92" s="157">
        <v>0</v>
      </c>
      <c r="M92" s="41"/>
      <c r="O92" s="29"/>
      <c r="P92" s="5"/>
      <c r="R92" s="5"/>
      <c r="S92" s="5"/>
      <c r="U92" s="5"/>
    </row>
    <row r="93" spans="1:21" x14ac:dyDescent="0.25">
      <c r="A93" s="49">
        <f t="shared" si="11"/>
        <v>46112</v>
      </c>
      <c r="B93" s="42" t="str">
        <f t="shared" si="10"/>
        <v>mar/26</v>
      </c>
      <c r="C93" s="39">
        <v>643.14</v>
      </c>
      <c r="D93" s="40">
        <v>413.56</v>
      </c>
      <c r="E93" s="41"/>
      <c r="F93" s="39">
        <v>1284.04</v>
      </c>
      <c r="G93" s="40">
        <v>1659.9599999999994</v>
      </c>
      <c r="H93" s="41"/>
      <c r="I93" s="39">
        <v>0</v>
      </c>
      <c r="J93" s="40">
        <v>0</v>
      </c>
      <c r="K93" s="41"/>
      <c r="L93" s="157">
        <v>0</v>
      </c>
      <c r="M93" s="41"/>
      <c r="O93" s="29"/>
      <c r="P93" s="5"/>
      <c r="R93" s="5"/>
      <c r="S93" s="5"/>
      <c r="U93" s="5"/>
    </row>
    <row r="94" spans="1:21" x14ac:dyDescent="0.25">
      <c r="A94" s="49">
        <f t="shared" si="11"/>
        <v>46113</v>
      </c>
      <c r="B94" s="42" t="str">
        <f t="shared" si="10"/>
        <v>abr/26</v>
      </c>
      <c r="C94" s="39">
        <v>766.73</v>
      </c>
      <c r="D94" s="40">
        <v>463.99999999999994</v>
      </c>
      <c r="E94" s="41"/>
      <c r="F94" s="39">
        <v>1344.7</v>
      </c>
      <c r="G94" s="40">
        <v>1245.3599999999997</v>
      </c>
      <c r="H94" s="41"/>
      <c r="I94" s="39">
        <v>0</v>
      </c>
      <c r="J94" s="40">
        <v>0</v>
      </c>
      <c r="K94" s="41"/>
      <c r="L94" s="157">
        <v>0</v>
      </c>
      <c r="M94" s="41"/>
      <c r="O94" s="29"/>
      <c r="P94" s="5"/>
      <c r="R94" s="5"/>
      <c r="S94" s="5"/>
      <c r="U94" s="5"/>
    </row>
    <row r="95" spans="1:21" x14ac:dyDescent="0.25">
      <c r="A95" s="49">
        <f t="shared" si="11"/>
        <v>46114</v>
      </c>
      <c r="B95" s="42" t="str">
        <f t="shared" si="10"/>
        <v>abr/26</v>
      </c>
      <c r="C95" s="39">
        <v>229.08</v>
      </c>
      <c r="D95" s="40">
        <v>430.3</v>
      </c>
      <c r="E95" s="41"/>
      <c r="F95" s="39">
        <v>1148.78</v>
      </c>
      <c r="G95" s="40">
        <v>2257.1000000000004</v>
      </c>
      <c r="H95" s="41"/>
      <c r="I95" s="39">
        <v>0</v>
      </c>
      <c r="J95" s="40">
        <v>0</v>
      </c>
      <c r="K95" s="41"/>
      <c r="L95" s="157">
        <v>0</v>
      </c>
      <c r="M95" s="41"/>
      <c r="O95" s="29"/>
      <c r="P95" s="5"/>
      <c r="R95" s="5"/>
      <c r="S95" s="5"/>
      <c r="U95" s="5"/>
    </row>
    <row r="96" spans="1:21" x14ac:dyDescent="0.25">
      <c r="A96" s="49">
        <f t="shared" si="11"/>
        <v>46115</v>
      </c>
      <c r="B96" s="42" t="str">
        <f t="shared" si="10"/>
        <v>abr/26</v>
      </c>
      <c r="C96" s="39">
        <v>0</v>
      </c>
      <c r="D96" s="40">
        <v>0</v>
      </c>
      <c r="E96" s="41"/>
      <c r="F96" s="39">
        <v>0</v>
      </c>
      <c r="G96" s="40">
        <v>121.00000000000001</v>
      </c>
      <c r="H96" s="41"/>
      <c r="I96" s="39">
        <v>0</v>
      </c>
      <c r="J96" s="40">
        <v>0</v>
      </c>
      <c r="K96" s="41"/>
      <c r="L96" s="157">
        <v>456.75</v>
      </c>
      <c r="M96" s="41"/>
      <c r="O96" s="29"/>
      <c r="P96" s="5"/>
      <c r="R96" s="5"/>
      <c r="S96" s="5"/>
      <c r="U96" s="5"/>
    </row>
    <row r="97" spans="1:21" x14ac:dyDescent="0.25">
      <c r="A97" s="49">
        <f t="shared" si="11"/>
        <v>46116</v>
      </c>
      <c r="B97" s="42" t="str">
        <f t="shared" si="10"/>
        <v>abr/26</v>
      </c>
      <c r="C97" s="39">
        <v>0</v>
      </c>
      <c r="D97" s="40">
        <v>0</v>
      </c>
      <c r="E97" s="41"/>
      <c r="F97" s="39">
        <v>0</v>
      </c>
      <c r="G97" s="40">
        <v>0</v>
      </c>
      <c r="H97" s="41"/>
      <c r="I97" s="39">
        <v>0</v>
      </c>
      <c r="J97" s="40">
        <v>0</v>
      </c>
      <c r="K97" s="41"/>
      <c r="L97" s="157">
        <v>0</v>
      </c>
      <c r="M97" s="41"/>
      <c r="O97" s="29"/>
      <c r="P97" s="5"/>
      <c r="R97" s="5"/>
      <c r="S97" s="5"/>
      <c r="U97" s="5"/>
    </row>
    <row r="98" spans="1:21" x14ac:dyDescent="0.25">
      <c r="A98" s="49">
        <f t="shared" si="11"/>
        <v>46117</v>
      </c>
      <c r="B98" s="42" t="str">
        <f t="shared" si="10"/>
        <v>abr/26</v>
      </c>
      <c r="C98" s="39">
        <v>0</v>
      </c>
      <c r="D98" s="40">
        <v>0</v>
      </c>
      <c r="E98" s="41"/>
      <c r="F98" s="39">
        <v>0</v>
      </c>
      <c r="G98" s="40">
        <v>0</v>
      </c>
      <c r="H98" s="41"/>
      <c r="I98" s="39">
        <v>0</v>
      </c>
      <c r="J98" s="40">
        <v>0</v>
      </c>
      <c r="K98" s="41"/>
      <c r="L98" s="157">
        <v>0</v>
      </c>
      <c r="M98" s="41"/>
      <c r="O98" s="29"/>
      <c r="P98" s="5"/>
      <c r="R98" s="5"/>
      <c r="S98" s="5"/>
      <c r="U98" s="5"/>
    </row>
    <row r="99" spans="1:21" x14ac:dyDescent="0.25">
      <c r="A99" s="49">
        <f t="shared" si="11"/>
        <v>46118</v>
      </c>
      <c r="B99" s="42" t="str">
        <f t="shared" si="10"/>
        <v>abr/26</v>
      </c>
      <c r="C99" s="39">
        <v>614.02</v>
      </c>
      <c r="D99" s="40">
        <v>452.85999999999996</v>
      </c>
      <c r="E99" s="41"/>
      <c r="F99" s="39">
        <v>1168.8599999999999</v>
      </c>
      <c r="G99" s="40">
        <v>1516.8999999999999</v>
      </c>
      <c r="H99" s="41"/>
      <c r="I99" s="39">
        <v>0</v>
      </c>
      <c r="J99" s="40">
        <v>0</v>
      </c>
      <c r="K99" s="41"/>
      <c r="L99" s="157">
        <v>0</v>
      </c>
      <c r="M99" s="41"/>
      <c r="O99" s="29"/>
      <c r="P99" s="5"/>
      <c r="R99" s="5"/>
      <c r="S99" s="5"/>
      <c r="U99" s="5"/>
    </row>
    <row r="100" spans="1:21" x14ac:dyDescent="0.25">
      <c r="A100" s="49">
        <f t="shared" si="11"/>
        <v>46119</v>
      </c>
      <c r="B100" s="42" t="str">
        <f t="shared" si="10"/>
        <v>abr/26</v>
      </c>
      <c r="C100" s="39">
        <v>807.58</v>
      </c>
      <c r="D100" s="40">
        <v>1073.5199999999998</v>
      </c>
      <c r="E100" s="41"/>
      <c r="F100" s="39">
        <v>1166.17</v>
      </c>
      <c r="G100" s="40">
        <v>982.92000000000007</v>
      </c>
      <c r="H100" s="41"/>
      <c r="I100" s="39">
        <v>0</v>
      </c>
      <c r="J100" s="40">
        <v>0</v>
      </c>
      <c r="K100" s="41"/>
      <c r="L100" s="157">
        <v>274.05</v>
      </c>
      <c r="M100" s="41"/>
      <c r="O100" s="29"/>
      <c r="P100" s="5"/>
      <c r="R100" s="5"/>
      <c r="S100" s="5"/>
      <c r="U100" s="5"/>
    </row>
    <row r="101" spans="1:21" x14ac:dyDescent="0.25">
      <c r="A101" s="49">
        <f t="shared" si="11"/>
        <v>46120</v>
      </c>
      <c r="B101" s="42" t="str">
        <f t="shared" si="10"/>
        <v>abr/26</v>
      </c>
      <c r="C101" s="39">
        <v>801.29</v>
      </c>
      <c r="D101" s="40">
        <v>928.04000000000008</v>
      </c>
      <c r="E101" s="41"/>
      <c r="F101" s="39">
        <v>2168.23</v>
      </c>
      <c r="G101" s="40">
        <v>376.48</v>
      </c>
      <c r="H101" s="41"/>
      <c r="I101" s="39">
        <v>0</v>
      </c>
      <c r="J101" s="40">
        <v>0</v>
      </c>
      <c r="K101" s="41"/>
      <c r="L101" s="157">
        <v>0</v>
      </c>
      <c r="M101" s="41"/>
      <c r="O101" s="29"/>
      <c r="P101" s="5"/>
      <c r="R101" s="5"/>
      <c r="S101" s="5"/>
      <c r="U101" s="5"/>
    </row>
    <row r="102" spans="1:21" x14ac:dyDescent="0.25">
      <c r="A102" s="49">
        <f t="shared" si="11"/>
        <v>46121</v>
      </c>
      <c r="B102" s="42" t="str">
        <f t="shared" si="10"/>
        <v>abr/26</v>
      </c>
      <c r="C102" s="39">
        <v>721.68</v>
      </c>
      <c r="D102" s="40">
        <v>647.29999999999984</v>
      </c>
      <c r="E102" s="41"/>
      <c r="F102" s="39">
        <v>0</v>
      </c>
      <c r="G102" s="40">
        <v>572.56000000000006</v>
      </c>
      <c r="H102" s="41"/>
      <c r="I102" s="39">
        <v>0</v>
      </c>
      <c r="J102" s="40">
        <v>0</v>
      </c>
      <c r="K102" s="41"/>
      <c r="L102" s="157">
        <v>69.599999999999994</v>
      </c>
      <c r="M102" s="41"/>
      <c r="O102" s="29"/>
      <c r="P102" s="5"/>
      <c r="R102" s="5"/>
      <c r="S102" s="5"/>
      <c r="U102" s="5"/>
    </row>
    <row r="103" spans="1:21" x14ac:dyDescent="0.25">
      <c r="A103" s="49">
        <f t="shared" si="11"/>
        <v>46122</v>
      </c>
      <c r="B103" s="42" t="str">
        <f t="shared" si="10"/>
        <v>abr/26</v>
      </c>
      <c r="C103" s="39">
        <v>457.56</v>
      </c>
      <c r="D103" s="40">
        <v>251.66</v>
      </c>
      <c r="E103" s="41"/>
      <c r="F103" s="39">
        <v>0</v>
      </c>
      <c r="G103" s="40">
        <v>452.65999999999997</v>
      </c>
      <c r="H103" s="41"/>
      <c r="I103" s="39">
        <v>0</v>
      </c>
      <c r="J103" s="40">
        <v>0</v>
      </c>
      <c r="K103" s="41"/>
      <c r="L103" s="157">
        <v>121.8</v>
      </c>
      <c r="M103" s="41"/>
      <c r="O103" s="29"/>
      <c r="P103" s="5"/>
      <c r="R103" s="5"/>
      <c r="S103" s="5"/>
      <c r="U103" s="5"/>
    </row>
    <row r="104" spans="1:21" x14ac:dyDescent="0.25">
      <c r="A104" s="49">
        <f t="shared" si="11"/>
        <v>46123</v>
      </c>
      <c r="B104" s="42" t="str">
        <f t="shared" si="10"/>
        <v>abr/26</v>
      </c>
      <c r="C104" s="39">
        <v>534.94000000000005</v>
      </c>
      <c r="D104" s="40">
        <v>1007.6800000000001</v>
      </c>
      <c r="E104" s="41"/>
      <c r="F104" s="39">
        <v>0</v>
      </c>
      <c r="G104" s="40">
        <v>429.4</v>
      </c>
      <c r="H104" s="41"/>
      <c r="I104" s="39">
        <v>0</v>
      </c>
      <c r="J104" s="40">
        <v>0</v>
      </c>
      <c r="K104" s="41"/>
      <c r="L104" s="157">
        <v>2609.9999999999995</v>
      </c>
      <c r="M104" s="41"/>
      <c r="O104" s="29"/>
      <c r="P104" s="5"/>
      <c r="R104" s="5"/>
      <c r="S104" s="5"/>
      <c r="U104" s="5"/>
    </row>
    <row r="105" spans="1:21" x14ac:dyDescent="0.25">
      <c r="A105" s="49">
        <f t="shared" si="11"/>
        <v>46124</v>
      </c>
      <c r="B105" s="42" t="str">
        <f t="shared" si="10"/>
        <v>abr/26</v>
      </c>
      <c r="C105" s="39">
        <v>0</v>
      </c>
      <c r="D105" s="40">
        <v>0</v>
      </c>
      <c r="E105" s="41"/>
      <c r="F105" s="39">
        <v>0</v>
      </c>
      <c r="G105" s="40">
        <v>0</v>
      </c>
      <c r="H105" s="41"/>
      <c r="I105" s="39">
        <v>0</v>
      </c>
      <c r="J105" s="40">
        <v>0</v>
      </c>
      <c r="K105" s="41"/>
      <c r="L105" s="157">
        <v>0</v>
      </c>
      <c r="M105" s="41"/>
      <c r="O105" s="29"/>
      <c r="P105" s="5"/>
      <c r="R105" s="5"/>
      <c r="S105" s="5"/>
      <c r="U105" s="5"/>
    </row>
    <row r="106" spans="1:21" x14ac:dyDescent="0.25">
      <c r="A106" s="49">
        <f t="shared" si="11"/>
        <v>46125</v>
      </c>
      <c r="B106" s="42" t="str">
        <f t="shared" si="10"/>
        <v>abr/26</v>
      </c>
      <c r="C106" s="39">
        <v>210.65</v>
      </c>
      <c r="D106" s="40">
        <v>495.78</v>
      </c>
      <c r="E106" s="41"/>
      <c r="F106" s="39">
        <v>0</v>
      </c>
      <c r="G106" s="40">
        <v>486.06000000000006</v>
      </c>
      <c r="H106" s="41"/>
      <c r="I106" s="39">
        <v>0</v>
      </c>
      <c r="J106" s="40">
        <v>0</v>
      </c>
      <c r="K106" s="41"/>
      <c r="L106" s="157">
        <v>34.799999999999997</v>
      </c>
      <c r="M106" s="41"/>
      <c r="O106" s="29"/>
      <c r="P106" s="5"/>
      <c r="R106" s="5"/>
      <c r="S106" s="5"/>
      <c r="U106" s="5"/>
    </row>
    <row r="107" spans="1:21" x14ac:dyDescent="0.25">
      <c r="A107" s="49">
        <f>A106+1</f>
        <v>46126</v>
      </c>
      <c r="B107" s="42" t="str">
        <f t="shared" si="10"/>
        <v>abr/26</v>
      </c>
      <c r="C107" s="39">
        <v>637.78</v>
      </c>
      <c r="D107" s="40">
        <v>364.46000000000004</v>
      </c>
      <c r="E107" s="41"/>
      <c r="F107" s="39">
        <v>0</v>
      </c>
      <c r="G107" s="40">
        <v>611.34</v>
      </c>
      <c r="H107" s="41"/>
      <c r="I107" s="39">
        <v>0</v>
      </c>
      <c r="J107" s="40">
        <v>0</v>
      </c>
      <c r="K107" s="41"/>
      <c r="L107" s="157">
        <v>0</v>
      </c>
      <c r="M107" s="41"/>
      <c r="O107" s="29"/>
      <c r="P107" s="5"/>
      <c r="R107" s="5"/>
      <c r="S107" s="5"/>
      <c r="U107" s="5"/>
    </row>
    <row r="108" spans="1:21" x14ac:dyDescent="0.25">
      <c r="A108" s="49">
        <f t="shared" ref="A108:A171" si="12">A107+1</f>
        <v>46127</v>
      </c>
      <c r="B108" s="42" t="str">
        <f t="shared" si="10"/>
        <v>abr/26</v>
      </c>
      <c r="C108" s="39">
        <v>786.99</v>
      </c>
      <c r="D108" s="40">
        <v>865.52</v>
      </c>
      <c r="E108" s="41"/>
      <c r="F108" s="39">
        <v>1210.04</v>
      </c>
      <c r="G108" s="40">
        <v>327.29999999999995</v>
      </c>
      <c r="H108" s="41"/>
      <c r="I108" s="39">
        <v>0</v>
      </c>
      <c r="J108" s="40">
        <v>0</v>
      </c>
      <c r="K108" s="41"/>
      <c r="L108" s="157">
        <v>1004.85</v>
      </c>
      <c r="M108" s="41"/>
      <c r="O108" s="29"/>
      <c r="P108" s="5"/>
      <c r="R108" s="5"/>
      <c r="S108" s="5"/>
      <c r="U108" s="5"/>
    </row>
    <row r="109" spans="1:21" x14ac:dyDescent="0.25">
      <c r="A109" s="49">
        <f t="shared" si="12"/>
        <v>46128</v>
      </c>
      <c r="B109" s="42" t="str">
        <f t="shared" si="10"/>
        <v>abr/26</v>
      </c>
      <c r="C109" s="39">
        <v>684.45</v>
      </c>
      <c r="D109" s="40">
        <v>602.9799999999999</v>
      </c>
      <c r="E109" s="41"/>
      <c r="F109" s="39">
        <v>1194.17</v>
      </c>
      <c r="G109" s="40">
        <v>592.26</v>
      </c>
      <c r="H109" s="41"/>
      <c r="I109" s="39">
        <v>0</v>
      </c>
      <c r="J109" s="40">
        <v>0</v>
      </c>
      <c r="K109" s="41"/>
      <c r="L109" s="157">
        <v>2009.7</v>
      </c>
      <c r="M109" s="41"/>
      <c r="O109" s="29"/>
      <c r="P109" s="5"/>
      <c r="R109" s="5"/>
      <c r="S109" s="5"/>
      <c r="U109" s="5"/>
    </row>
    <row r="110" spans="1:21" x14ac:dyDescent="0.25">
      <c r="A110" s="49">
        <f t="shared" si="12"/>
        <v>46129</v>
      </c>
      <c r="B110" s="42" t="str">
        <f t="shared" si="10"/>
        <v>abr/26</v>
      </c>
      <c r="C110" s="39">
        <v>718.85</v>
      </c>
      <c r="D110" s="40">
        <v>308.92000000000007</v>
      </c>
      <c r="E110" s="41"/>
      <c r="F110" s="39">
        <v>1184.27</v>
      </c>
      <c r="G110" s="40">
        <v>631.4</v>
      </c>
      <c r="H110" s="41"/>
      <c r="I110" s="39">
        <v>0</v>
      </c>
      <c r="J110" s="40">
        <v>0</v>
      </c>
      <c r="K110" s="41"/>
      <c r="L110" s="157">
        <v>1278.8999999999999</v>
      </c>
      <c r="M110" s="41"/>
      <c r="O110" s="29"/>
      <c r="P110" s="5"/>
      <c r="R110" s="5"/>
      <c r="S110" s="5"/>
      <c r="U110" s="5"/>
    </row>
    <row r="111" spans="1:21" x14ac:dyDescent="0.25">
      <c r="A111" s="49">
        <f t="shared" si="12"/>
        <v>46130</v>
      </c>
      <c r="B111" s="42" t="str">
        <f t="shared" si="10"/>
        <v>abr/26</v>
      </c>
      <c r="C111" s="39">
        <v>518.08000000000004</v>
      </c>
      <c r="D111" s="40">
        <v>0</v>
      </c>
      <c r="E111" s="41"/>
      <c r="F111" s="39">
        <v>650.25</v>
      </c>
      <c r="G111" s="40">
        <v>0</v>
      </c>
      <c r="H111" s="41"/>
      <c r="I111" s="39">
        <v>0</v>
      </c>
      <c r="J111" s="40">
        <v>0</v>
      </c>
      <c r="K111" s="41"/>
      <c r="L111" s="157">
        <v>0</v>
      </c>
      <c r="M111" s="41"/>
      <c r="O111" s="29"/>
      <c r="P111" s="5"/>
      <c r="R111" s="5"/>
      <c r="S111" s="5"/>
      <c r="U111" s="5"/>
    </row>
    <row r="112" spans="1:21" x14ac:dyDescent="0.25">
      <c r="A112" s="49">
        <f t="shared" si="12"/>
        <v>46131</v>
      </c>
      <c r="B112" s="42" t="str">
        <f t="shared" si="10"/>
        <v>abr/26</v>
      </c>
      <c r="C112" s="39">
        <v>0</v>
      </c>
      <c r="D112" s="40">
        <v>0</v>
      </c>
      <c r="E112" s="41"/>
      <c r="F112" s="39">
        <v>0</v>
      </c>
      <c r="G112" s="40">
        <v>0</v>
      </c>
      <c r="H112" s="41"/>
      <c r="I112" s="39">
        <v>0</v>
      </c>
      <c r="J112" s="40">
        <v>0</v>
      </c>
      <c r="K112" s="41"/>
      <c r="L112" s="157">
        <v>0</v>
      </c>
      <c r="M112" s="41"/>
      <c r="O112" s="29"/>
      <c r="P112" s="5"/>
      <c r="R112" s="5"/>
      <c r="S112" s="5"/>
      <c r="U112" s="5"/>
    </row>
    <row r="113" spans="1:21" x14ac:dyDescent="0.25">
      <c r="A113" s="49">
        <f t="shared" si="12"/>
        <v>46132</v>
      </c>
      <c r="B113" s="42" t="str">
        <f t="shared" si="10"/>
        <v>abr/26</v>
      </c>
      <c r="C113" s="39">
        <v>730.78</v>
      </c>
      <c r="D113" s="40">
        <v>0</v>
      </c>
      <c r="E113" s="41"/>
      <c r="F113" s="39">
        <v>1091.74</v>
      </c>
      <c r="G113" s="40">
        <v>0</v>
      </c>
      <c r="H113" s="41"/>
      <c r="I113" s="39">
        <v>0</v>
      </c>
      <c r="J113" s="40">
        <v>0</v>
      </c>
      <c r="K113" s="41"/>
      <c r="L113" s="157">
        <v>0</v>
      </c>
      <c r="M113" s="41"/>
      <c r="O113" s="29"/>
      <c r="P113" s="5"/>
      <c r="R113" s="5"/>
      <c r="S113" s="5"/>
      <c r="U113" s="5"/>
    </row>
    <row r="114" spans="1:21" x14ac:dyDescent="0.25">
      <c r="A114" s="49">
        <f t="shared" si="12"/>
        <v>46133</v>
      </c>
      <c r="B114" s="42" t="str">
        <f t="shared" si="10"/>
        <v>abr/26</v>
      </c>
      <c r="C114" s="39">
        <v>91.96</v>
      </c>
      <c r="D114" s="40">
        <v>0</v>
      </c>
      <c r="E114" s="41"/>
      <c r="F114" s="39">
        <v>0</v>
      </c>
      <c r="G114" s="40">
        <v>0</v>
      </c>
      <c r="H114" s="41"/>
      <c r="I114" s="39">
        <v>0</v>
      </c>
      <c r="J114" s="40">
        <v>0</v>
      </c>
      <c r="K114" s="41"/>
      <c r="L114" s="157">
        <v>0</v>
      </c>
      <c r="M114" s="41"/>
      <c r="O114" s="29"/>
      <c r="P114" s="5"/>
      <c r="R114" s="5"/>
      <c r="S114" s="5"/>
      <c r="U114" s="5"/>
    </row>
    <row r="115" spans="1:21" x14ac:dyDescent="0.25">
      <c r="A115" s="49">
        <f t="shared" si="12"/>
        <v>46134</v>
      </c>
      <c r="B115" s="42" t="str">
        <f t="shared" si="10"/>
        <v>abr/26</v>
      </c>
      <c r="C115" s="39">
        <v>680.94</v>
      </c>
      <c r="D115" s="40">
        <v>591.69999999999993</v>
      </c>
      <c r="E115" s="41"/>
      <c r="F115" s="39">
        <v>0</v>
      </c>
      <c r="G115" s="40">
        <v>1042.9600000000003</v>
      </c>
      <c r="H115" s="41"/>
      <c r="I115" s="39">
        <v>0</v>
      </c>
      <c r="J115" s="40">
        <v>0</v>
      </c>
      <c r="K115" s="41"/>
      <c r="L115" s="157">
        <v>1552.95</v>
      </c>
      <c r="M115" s="41"/>
      <c r="O115" s="29"/>
      <c r="P115" s="5"/>
      <c r="R115" s="5"/>
      <c r="S115" s="5"/>
      <c r="U115" s="5"/>
    </row>
    <row r="116" spans="1:21" x14ac:dyDescent="0.25">
      <c r="A116" s="49">
        <f t="shared" si="12"/>
        <v>46135</v>
      </c>
      <c r="B116" s="42" t="str">
        <f t="shared" si="10"/>
        <v>abr/26</v>
      </c>
      <c r="C116" s="39">
        <v>0</v>
      </c>
      <c r="D116" s="40">
        <v>338.32</v>
      </c>
      <c r="E116" s="41"/>
      <c r="F116" s="39">
        <v>0</v>
      </c>
      <c r="G116" s="40">
        <v>1151.46</v>
      </c>
      <c r="H116" s="41"/>
      <c r="I116" s="39">
        <v>0</v>
      </c>
      <c r="J116" s="40">
        <v>0</v>
      </c>
      <c r="K116" s="41"/>
      <c r="L116" s="157">
        <v>60.9</v>
      </c>
      <c r="M116" s="41"/>
      <c r="O116" s="29"/>
      <c r="P116" s="5"/>
      <c r="R116" s="5"/>
      <c r="S116" s="5"/>
      <c r="U116" s="5"/>
    </row>
    <row r="117" spans="1:21" x14ac:dyDescent="0.25">
      <c r="A117" s="49">
        <f t="shared" si="12"/>
        <v>46136</v>
      </c>
      <c r="B117" s="42" t="str">
        <f t="shared" si="10"/>
        <v>abr/26</v>
      </c>
      <c r="C117" s="39">
        <v>0</v>
      </c>
      <c r="D117" s="40">
        <v>474.70000000000005</v>
      </c>
      <c r="E117" s="41"/>
      <c r="F117" s="39">
        <v>0</v>
      </c>
      <c r="G117" s="40">
        <v>1249.46</v>
      </c>
      <c r="H117" s="41"/>
      <c r="I117" s="39">
        <v>0</v>
      </c>
      <c r="J117" s="40">
        <v>0</v>
      </c>
      <c r="K117" s="41"/>
      <c r="L117" s="157">
        <v>2182.25</v>
      </c>
      <c r="M117" s="41"/>
      <c r="O117" s="29"/>
      <c r="P117" s="5"/>
      <c r="R117" s="5"/>
      <c r="S117" s="5"/>
      <c r="U117" s="5"/>
    </row>
    <row r="118" spans="1:21" x14ac:dyDescent="0.25">
      <c r="A118" s="49">
        <f t="shared" si="12"/>
        <v>46137</v>
      </c>
      <c r="B118" s="42" t="str">
        <f t="shared" si="10"/>
        <v>abr/26</v>
      </c>
      <c r="C118" s="39">
        <v>0</v>
      </c>
      <c r="D118" s="40">
        <v>499.12</v>
      </c>
      <c r="E118" s="41"/>
      <c r="F118" s="39">
        <v>0</v>
      </c>
      <c r="G118" s="40">
        <v>595.55999999999995</v>
      </c>
      <c r="H118" s="41"/>
      <c r="I118" s="39">
        <v>0</v>
      </c>
      <c r="J118" s="40">
        <v>0</v>
      </c>
      <c r="K118" s="41"/>
      <c r="L118" s="157">
        <v>4567.5</v>
      </c>
      <c r="M118" s="41"/>
      <c r="O118" s="29"/>
      <c r="P118" s="5"/>
      <c r="R118" s="5"/>
      <c r="S118" s="5"/>
      <c r="U118" s="5"/>
    </row>
    <row r="119" spans="1:21" x14ac:dyDescent="0.25">
      <c r="A119" s="49">
        <f t="shared" si="12"/>
        <v>46138</v>
      </c>
      <c r="B119" s="42" t="str">
        <f t="shared" si="10"/>
        <v>abr/26</v>
      </c>
      <c r="C119" s="39">
        <v>0</v>
      </c>
      <c r="D119" s="40">
        <v>0</v>
      </c>
      <c r="E119" s="41"/>
      <c r="F119" s="39">
        <v>0</v>
      </c>
      <c r="G119" s="40">
        <v>0</v>
      </c>
      <c r="H119" s="41"/>
      <c r="I119" s="39">
        <v>0</v>
      </c>
      <c r="J119" s="40">
        <v>0</v>
      </c>
      <c r="K119" s="41"/>
      <c r="L119" s="157">
        <v>0</v>
      </c>
      <c r="M119" s="41"/>
      <c r="O119" s="29"/>
      <c r="P119" s="5"/>
      <c r="R119" s="5"/>
      <c r="S119" s="5"/>
      <c r="U119" s="5"/>
    </row>
    <row r="120" spans="1:21" x14ac:dyDescent="0.25">
      <c r="A120" s="49">
        <f t="shared" si="12"/>
        <v>46139</v>
      </c>
      <c r="B120" s="42" t="str">
        <f t="shared" si="10"/>
        <v>abr/26</v>
      </c>
      <c r="C120" s="39">
        <v>0</v>
      </c>
      <c r="D120" s="40">
        <v>326.08000000000004</v>
      </c>
      <c r="E120" s="41"/>
      <c r="F120" s="39">
        <v>0</v>
      </c>
      <c r="G120" s="40">
        <v>645.78</v>
      </c>
      <c r="H120" s="41"/>
      <c r="I120" s="39">
        <v>0</v>
      </c>
      <c r="J120" s="40">
        <v>0</v>
      </c>
      <c r="K120" s="41"/>
      <c r="L120" s="157">
        <v>1096.2</v>
      </c>
      <c r="M120" s="41"/>
      <c r="O120" s="29"/>
      <c r="P120" s="5"/>
      <c r="R120" s="5"/>
      <c r="S120" s="5"/>
      <c r="U120" s="5"/>
    </row>
    <row r="121" spans="1:21" x14ac:dyDescent="0.25">
      <c r="A121" s="49">
        <f t="shared" si="12"/>
        <v>46140</v>
      </c>
      <c r="B121" s="42" t="str">
        <f t="shared" si="10"/>
        <v>abr/26</v>
      </c>
      <c r="C121" s="39">
        <v>499.32</v>
      </c>
      <c r="D121" s="40">
        <v>534.94000000000005</v>
      </c>
      <c r="E121" s="41"/>
      <c r="F121" s="39">
        <v>0</v>
      </c>
      <c r="G121" s="40">
        <v>1397.5</v>
      </c>
      <c r="H121" s="41"/>
      <c r="I121" s="39">
        <v>0</v>
      </c>
      <c r="J121" s="40">
        <v>0</v>
      </c>
      <c r="K121" s="41"/>
      <c r="L121" s="157">
        <v>974.4</v>
      </c>
      <c r="M121" s="41"/>
      <c r="O121" s="29"/>
      <c r="P121" s="5"/>
      <c r="R121" s="5"/>
      <c r="S121" s="5"/>
      <c r="U121" s="5"/>
    </row>
    <row r="122" spans="1:21" x14ac:dyDescent="0.25">
      <c r="A122" s="49">
        <f t="shared" si="12"/>
        <v>46141</v>
      </c>
      <c r="B122" s="42" t="str">
        <f t="shared" si="10"/>
        <v>abr/26</v>
      </c>
      <c r="C122" s="39">
        <v>499.32</v>
      </c>
      <c r="D122" s="40">
        <v>1076.1199999999999</v>
      </c>
      <c r="E122" s="41"/>
      <c r="F122" s="39">
        <v>546.59</v>
      </c>
      <c r="G122" s="40">
        <v>1011.1999999999999</v>
      </c>
      <c r="H122" s="41"/>
      <c r="I122" s="39">
        <v>0</v>
      </c>
      <c r="J122" s="40">
        <v>0</v>
      </c>
      <c r="K122" s="41"/>
      <c r="L122" s="157">
        <v>2009.6999999999998</v>
      </c>
      <c r="M122" s="41"/>
      <c r="O122" s="29"/>
      <c r="P122" s="5"/>
      <c r="R122" s="5"/>
      <c r="S122" s="5"/>
      <c r="U122" s="5"/>
    </row>
    <row r="123" spans="1:21" x14ac:dyDescent="0.25">
      <c r="A123" s="49">
        <f t="shared" si="12"/>
        <v>46142</v>
      </c>
      <c r="B123" s="42" t="str">
        <f t="shared" si="10"/>
        <v>abr/26</v>
      </c>
      <c r="C123" s="39">
        <v>440.19</v>
      </c>
      <c r="D123" s="40">
        <v>993.0200000000001</v>
      </c>
      <c r="E123" s="41"/>
      <c r="F123" s="39">
        <v>1150.05</v>
      </c>
      <c r="G123" s="40">
        <v>1266.6599999999999</v>
      </c>
      <c r="H123" s="41"/>
      <c r="I123" s="39">
        <v>0</v>
      </c>
      <c r="J123" s="40">
        <v>0</v>
      </c>
      <c r="K123" s="41"/>
      <c r="L123" s="157">
        <v>203</v>
      </c>
      <c r="M123" s="41"/>
      <c r="O123" s="29"/>
      <c r="P123" s="5"/>
      <c r="R123" s="5"/>
      <c r="S123" s="5"/>
      <c r="U123" s="5"/>
    </row>
    <row r="124" spans="1:21" x14ac:dyDescent="0.25">
      <c r="A124" s="49">
        <f t="shared" si="12"/>
        <v>46143</v>
      </c>
      <c r="B124" s="42" t="str">
        <f t="shared" si="10"/>
        <v>mai/26</v>
      </c>
      <c r="C124" s="39">
        <v>549.59</v>
      </c>
      <c r="D124" s="40">
        <v>0</v>
      </c>
      <c r="E124" s="41"/>
      <c r="F124" s="39">
        <v>316.8</v>
      </c>
      <c r="G124" s="40">
        <v>0</v>
      </c>
      <c r="H124" s="41"/>
      <c r="I124" s="39">
        <v>0</v>
      </c>
      <c r="J124" s="40">
        <v>0</v>
      </c>
      <c r="K124" s="41"/>
      <c r="L124" s="157">
        <v>771.4</v>
      </c>
      <c r="M124" s="41"/>
      <c r="O124" s="29"/>
      <c r="P124" s="5"/>
      <c r="R124" s="5"/>
      <c r="S124" s="5"/>
      <c r="U124" s="5"/>
    </row>
    <row r="125" spans="1:21" x14ac:dyDescent="0.25">
      <c r="A125" s="49">
        <f t="shared" si="12"/>
        <v>46144</v>
      </c>
      <c r="B125" s="42" t="str">
        <f t="shared" si="10"/>
        <v>mai/26</v>
      </c>
      <c r="C125" s="39">
        <v>563.04999999999995</v>
      </c>
      <c r="D125" s="40">
        <v>102.25999999999999</v>
      </c>
      <c r="E125" s="41"/>
      <c r="F125" s="39">
        <v>514.82000000000005</v>
      </c>
      <c r="G125" s="40">
        <v>971.46</v>
      </c>
      <c r="H125" s="41"/>
      <c r="I125" s="39">
        <v>0</v>
      </c>
      <c r="J125" s="40">
        <v>0</v>
      </c>
      <c r="K125" s="41"/>
      <c r="L125" s="157">
        <v>609</v>
      </c>
      <c r="M125" s="41"/>
      <c r="O125" s="29"/>
      <c r="P125" s="5"/>
      <c r="R125" s="5"/>
      <c r="S125" s="5"/>
      <c r="U125" s="5"/>
    </row>
    <row r="126" spans="1:21" x14ac:dyDescent="0.25">
      <c r="A126" s="49">
        <f t="shared" si="12"/>
        <v>46145</v>
      </c>
      <c r="B126" s="42" t="str">
        <f t="shared" si="10"/>
        <v>mai/26</v>
      </c>
      <c r="C126" s="39">
        <v>0</v>
      </c>
      <c r="D126" s="40">
        <v>0</v>
      </c>
      <c r="E126" s="41"/>
      <c r="F126" s="39">
        <v>0</v>
      </c>
      <c r="G126" s="40">
        <v>0</v>
      </c>
      <c r="H126" s="41"/>
      <c r="I126" s="39">
        <v>0</v>
      </c>
      <c r="J126" s="40">
        <v>0</v>
      </c>
      <c r="K126" s="41"/>
      <c r="L126" s="157">
        <v>0</v>
      </c>
      <c r="M126" s="41"/>
      <c r="O126" s="29"/>
      <c r="P126" s="5"/>
      <c r="R126" s="5"/>
      <c r="S126" s="5"/>
      <c r="U126" s="5"/>
    </row>
    <row r="127" spans="1:21" x14ac:dyDescent="0.25">
      <c r="A127" s="49">
        <f t="shared" si="12"/>
        <v>46146</v>
      </c>
      <c r="B127" s="42" t="str">
        <f t="shared" si="10"/>
        <v>mai/26</v>
      </c>
      <c r="C127" s="39">
        <v>588.02</v>
      </c>
      <c r="D127" s="40">
        <v>132.04</v>
      </c>
      <c r="E127" s="41"/>
      <c r="F127" s="39">
        <v>632.61</v>
      </c>
      <c r="G127" s="40">
        <v>739.6</v>
      </c>
      <c r="H127" s="41"/>
      <c r="I127" s="39">
        <v>0</v>
      </c>
      <c r="J127" s="40">
        <v>0</v>
      </c>
      <c r="K127" s="41"/>
      <c r="L127" s="157">
        <v>751.1</v>
      </c>
      <c r="M127" s="41"/>
      <c r="O127" s="29"/>
      <c r="P127" s="5"/>
      <c r="R127" s="5"/>
      <c r="S127" s="5"/>
      <c r="U127" s="5"/>
    </row>
    <row r="128" spans="1:21" x14ac:dyDescent="0.25">
      <c r="A128" s="49">
        <f t="shared" si="12"/>
        <v>46147</v>
      </c>
      <c r="B128" s="42" t="str">
        <f t="shared" si="10"/>
        <v>mai/26</v>
      </c>
      <c r="C128" s="39">
        <v>643.86</v>
      </c>
      <c r="D128" s="40">
        <v>313.98000000000008</v>
      </c>
      <c r="E128" s="41"/>
      <c r="F128" s="39">
        <v>836.55</v>
      </c>
      <c r="G128" s="40">
        <v>1387.98</v>
      </c>
      <c r="H128" s="41"/>
      <c r="I128" s="39">
        <v>0</v>
      </c>
      <c r="J128" s="40">
        <v>0</v>
      </c>
      <c r="K128" s="41"/>
      <c r="L128" s="157">
        <v>3582.95</v>
      </c>
      <c r="M128" s="41"/>
      <c r="O128" s="29"/>
      <c r="P128" s="5"/>
      <c r="R128" s="5"/>
      <c r="S128" s="5"/>
      <c r="U128" s="5"/>
    </row>
    <row r="129" spans="1:21" x14ac:dyDescent="0.25">
      <c r="A129" s="49">
        <f t="shared" si="12"/>
        <v>46148</v>
      </c>
      <c r="B129" s="42" t="str">
        <f t="shared" si="10"/>
        <v>mai/26</v>
      </c>
      <c r="C129" s="39">
        <v>576.19000000000005</v>
      </c>
      <c r="D129" s="40">
        <v>815.82000000000016</v>
      </c>
      <c r="E129" s="41"/>
      <c r="F129" s="39">
        <v>1370.29</v>
      </c>
      <c r="G129" s="40">
        <v>938.3599999999999</v>
      </c>
      <c r="H129" s="41"/>
      <c r="I129" s="39">
        <v>0</v>
      </c>
      <c r="J129" s="40">
        <v>0</v>
      </c>
      <c r="K129" s="41"/>
      <c r="L129" s="157">
        <v>2913.05</v>
      </c>
      <c r="M129" s="41"/>
      <c r="O129" s="29"/>
      <c r="P129" s="5"/>
      <c r="R129" s="5"/>
      <c r="S129" s="5"/>
      <c r="U129" s="5"/>
    </row>
    <row r="130" spans="1:21" x14ac:dyDescent="0.25">
      <c r="A130" s="49">
        <f t="shared" si="12"/>
        <v>46149</v>
      </c>
      <c r="B130" s="42" t="str">
        <f t="shared" si="10"/>
        <v>mai/26</v>
      </c>
      <c r="C130" s="39">
        <v>268.70999999999998</v>
      </c>
      <c r="D130" s="40">
        <v>1233.2599999999998</v>
      </c>
      <c r="E130" s="41"/>
      <c r="F130" s="39">
        <v>920.07</v>
      </c>
      <c r="G130" s="40">
        <v>1221.3400000000001</v>
      </c>
      <c r="H130" s="41"/>
      <c r="I130" s="39">
        <v>0</v>
      </c>
      <c r="J130" s="40">
        <v>0</v>
      </c>
      <c r="K130" s="41"/>
      <c r="L130" s="157">
        <v>548.1</v>
      </c>
      <c r="M130" s="41"/>
      <c r="O130" s="29"/>
      <c r="P130" s="5"/>
      <c r="R130" s="5"/>
      <c r="S130" s="5"/>
      <c r="U130" s="5"/>
    </row>
    <row r="131" spans="1:21" x14ac:dyDescent="0.25">
      <c r="A131" s="49">
        <f t="shared" si="12"/>
        <v>46150</v>
      </c>
      <c r="B131" s="42" t="str">
        <f t="shared" si="10"/>
        <v>mai/26</v>
      </c>
      <c r="C131" s="39">
        <v>1118.07</v>
      </c>
      <c r="D131" s="40">
        <v>982.48</v>
      </c>
      <c r="E131" s="41"/>
      <c r="F131" s="39">
        <v>0</v>
      </c>
      <c r="G131" s="40">
        <v>622.64</v>
      </c>
      <c r="H131" s="41"/>
      <c r="I131" s="39">
        <v>0</v>
      </c>
      <c r="J131" s="40">
        <v>0</v>
      </c>
      <c r="K131" s="41"/>
      <c r="L131" s="157">
        <v>263.89999999999998</v>
      </c>
      <c r="M131" s="41"/>
      <c r="O131" s="29"/>
      <c r="P131" s="5"/>
      <c r="R131" s="5"/>
      <c r="S131" s="5"/>
      <c r="U131" s="5"/>
    </row>
    <row r="132" spans="1:21" x14ac:dyDescent="0.25">
      <c r="A132" s="49">
        <f t="shared" si="12"/>
        <v>46151</v>
      </c>
      <c r="B132" s="42" t="str">
        <f t="shared" si="10"/>
        <v>mai/26</v>
      </c>
      <c r="C132" s="39">
        <v>771.74</v>
      </c>
      <c r="D132" s="40">
        <v>480.78</v>
      </c>
      <c r="E132" s="41"/>
      <c r="F132" s="39">
        <v>0</v>
      </c>
      <c r="G132" s="40">
        <v>607.41999999999996</v>
      </c>
      <c r="H132" s="41"/>
      <c r="I132" s="39">
        <v>0</v>
      </c>
      <c r="J132" s="40">
        <v>0</v>
      </c>
      <c r="K132" s="41"/>
      <c r="L132" s="157">
        <v>0</v>
      </c>
      <c r="M132" s="41"/>
      <c r="O132" s="29"/>
      <c r="P132" s="5"/>
      <c r="R132" s="5"/>
      <c r="S132" s="5"/>
      <c r="U132" s="5"/>
    </row>
    <row r="133" spans="1:21" x14ac:dyDescent="0.25">
      <c r="A133" s="49">
        <f t="shared" si="12"/>
        <v>46152</v>
      </c>
      <c r="B133" s="42" t="str">
        <f t="shared" ref="B133:B196" si="13">TEXT(A133,"MMM/AA")</f>
        <v>mai/26</v>
      </c>
      <c r="C133" s="39">
        <v>0</v>
      </c>
      <c r="D133" s="40">
        <v>0</v>
      </c>
      <c r="E133" s="41"/>
      <c r="F133" s="39">
        <v>0</v>
      </c>
      <c r="G133" s="40">
        <v>0</v>
      </c>
      <c r="H133" s="41"/>
      <c r="I133" s="39">
        <v>0</v>
      </c>
      <c r="J133" s="40">
        <v>0</v>
      </c>
      <c r="K133" s="41"/>
      <c r="L133" s="157">
        <v>0</v>
      </c>
      <c r="M133" s="41"/>
      <c r="O133" s="29"/>
      <c r="P133" s="5"/>
      <c r="R133" s="5"/>
      <c r="S133" s="5"/>
      <c r="U133" s="5"/>
    </row>
    <row r="134" spans="1:21" x14ac:dyDescent="0.25">
      <c r="A134" s="49">
        <f t="shared" si="12"/>
        <v>46153</v>
      </c>
      <c r="B134" s="42" t="str">
        <f t="shared" si="13"/>
        <v>mai/26</v>
      </c>
      <c r="C134" s="39">
        <v>739.17</v>
      </c>
      <c r="D134" s="40">
        <v>1107.1599999999999</v>
      </c>
      <c r="E134" s="41"/>
      <c r="F134" s="39">
        <v>1346.4</v>
      </c>
      <c r="G134" s="40">
        <v>1105.0199999999998</v>
      </c>
      <c r="H134" s="41"/>
      <c r="I134" s="39">
        <v>0</v>
      </c>
      <c r="J134" s="40">
        <v>0</v>
      </c>
      <c r="K134" s="41"/>
      <c r="L134" s="157">
        <v>1461.6</v>
      </c>
      <c r="M134" s="41"/>
      <c r="O134" s="29"/>
      <c r="P134" s="5"/>
      <c r="R134" s="5"/>
      <c r="S134" s="5"/>
      <c r="U134" s="5"/>
    </row>
    <row r="135" spans="1:21" x14ac:dyDescent="0.25">
      <c r="A135" s="49">
        <f t="shared" si="12"/>
        <v>46154</v>
      </c>
      <c r="B135" s="42" t="str">
        <f t="shared" si="13"/>
        <v>mai/26</v>
      </c>
      <c r="C135" s="39">
        <v>824.36</v>
      </c>
      <c r="D135" s="40">
        <v>1245.9200000000003</v>
      </c>
      <c r="E135" s="41"/>
      <c r="F135" s="39">
        <v>1029.1099999999999</v>
      </c>
      <c r="G135" s="40">
        <v>1172.44</v>
      </c>
      <c r="H135" s="41"/>
      <c r="I135" s="39">
        <v>0</v>
      </c>
      <c r="J135" s="40">
        <v>0</v>
      </c>
      <c r="K135" s="41"/>
      <c r="L135" s="157">
        <v>2375.1</v>
      </c>
      <c r="M135" s="41"/>
      <c r="O135" s="29"/>
      <c r="P135" s="5"/>
      <c r="R135" s="5"/>
      <c r="S135" s="5"/>
      <c r="U135" s="5"/>
    </row>
    <row r="136" spans="1:21" x14ac:dyDescent="0.25">
      <c r="A136" s="49">
        <f t="shared" si="12"/>
        <v>46155</v>
      </c>
      <c r="B136" s="42" t="str">
        <f t="shared" si="13"/>
        <v>mai/26</v>
      </c>
      <c r="C136" s="39">
        <v>572.02</v>
      </c>
      <c r="D136" s="40">
        <v>1452.0399999999995</v>
      </c>
      <c r="E136" s="41"/>
      <c r="F136" s="39">
        <v>912.29</v>
      </c>
      <c r="G136" s="40">
        <v>1026.26</v>
      </c>
      <c r="H136" s="41"/>
      <c r="I136" s="39">
        <v>0</v>
      </c>
      <c r="J136" s="40">
        <v>0</v>
      </c>
      <c r="K136" s="41"/>
      <c r="L136" s="157">
        <v>548.1</v>
      </c>
      <c r="M136" s="41"/>
      <c r="O136" s="29"/>
      <c r="P136" s="5"/>
      <c r="R136" s="5"/>
      <c r="S136" s="5"/>
      <c r="U136" s="5"/>
    </row>
    <row r="137" spans="1:21" x14ac:dyDescent="0.25">
      <c r="A137" s="49">
        <f t="shared" si="12"/>
        <v>46156</v>
      </c>
      <c r="B137" s="42" t="str">
        <f t="shared" si="13"/>
        <v>mai/26</v>
      </c>
      <c r="C137" s="39">
        <v>0</v>
      </c>
      <c r="D137" s="40">
        <v>898.22</v>
      </c>
      <c r="E137" s="41"/>
      <c r="F137" s="39">
        <v>470.25</v>
      </c>
      <c r="G137" s="40">
        <v>470.64000000000004</v>
      </c>
      <c r="H137" s="41"/>
      <c r="I137" s="39">
        <v>0</v>
      </c>
      <c r="J137" s="40">
        <v>0</v>
      </c>
      <c r="K137" s="41"/>
      <c r="L137" s="157">
        <v>2009.7</v>
      </c>
      <c r="M137" s="41"/>
      <c r="O137" s="29"/>
      <c r="P137" s="5"/>
      <c r="R137" s="5"/>
      <c r="S137" s="5"/>
      <c r="U137" s="5"/>
    </row>
    <row r="138" spans="1:21" x14ac:dyDescent="0.25">
      <c r="A138" s="49">
        <f t="shared" si="12"/>
        <v>46157</v>
      </c>
      <c r="B138" s="42" t="str">
        <f t="shared" si="13"/>
        <v>mai/26</v>
      </c>
      <c r="C138" s="39">
        <v>1391.38</v>
      </c>
      <c r="D138" s="40">
        <v>290.62</v>
      </c>
      <c r="E138" s="41"/>
      <c r="F138" s="39">
        <v>420.75</v>
      </c>
      <c r="G138" s="40">
        <v>0</v>
      </c>
      <c r="H138" s="41"/>
      <c r="I138" s="39">
        <v>0</v>
      </c>
      <c r="J138" s="40">
        <v>0</v>
      </c>
      <c r="K138" s="41"/>
      <c r="L138" s="157">
        <v>0</v>
      </c>
      <c r="M138" s="41"/>
      <c r="O138" s="29"/>
      <c r="P138" s="5"/>
      <c r="R138" s="5"/>
      <c r="S138" s="5"/>
      <c r="U138" s="5"/>
    </row>
    <row r="139" spans="1:21" x14ac:dyDescent="0.25">
      <c r="A139" s="49">
        <f t="shared" si="12"/>
        <v>46158</v>
      </c>
      <c r="B139" s="42" t="str">
        <f t="shared" si="13"/>
        <v>mai/26</v>
      </c>
      <c r="C139" s="39">
        <v>778.59</v>
      </c>
      <c r="D139" s="40">
        <v>1240.5800000000002</v>
      </c>
      <c r="E139" s="41"/>
      <c r="F139" s="39">
        <v>222.75</v>
      </c>
      <c r="G139" s="40">
        <v>430.36</v>
      </c>
      <c r="H139" s="41"/>
      <c r="I139" s="39">
        <v>0</v>
      </c>
      <c r="J139" s="40">
        <v>0</v>
      </c>
      <c r="K139" s="41"/>
      <c r="L139" s="157">
        <v>121.8</v>
      </c>
      <c r="M139" s="41"/>
      <c r="O139" s="29"/>
      <c r="P139" s="5"/>
      <c r="R139" s="5"/>
      <c r="S139" s="5"/>
      <c r="U139" s="5"/>
    </row>
    <row r="140" spans="1:21" x14ac:dyDescent="0.25">
      <c r="A140" s="49">
        <f t="shared" si="12"/>
        <v>46159</v>
      </c>
      <c r="B140" s="42" t="str">
        <f t="shared" si="13"/>
        <v>mai/26</v>
      </c>
      <c r="C140" s="39">
        <v>675.81</v>
      </c>
      <c r="D140" s="40">
        <v>0</v>
      </c>
      <c r="E140" s="41"/>
      <c r="F140" s="39">
        <v>0</v>
      </c>
      <c r="G140" s="40">
        <v>0</v>
      </c>
      <c r="H140" s="41"/>
      <c r="I140" s="39">
        <v>0</v>
      </c>
      <c r="J140" s="40">
        <v>0</v>
      </c>
      <c r="K140" s="41"/>
      <c r="L140" s="157">
        <v>0</v>
      </c>
      <c r="M140" s="41"/>
      <c r="O140" s="29"/>
      <c r="P140" s="5"/>
      <c r="R140" s="5"/>
      <c r="S140" s="5"/>
      <c r="U140" s="5"/>
    </row>
    <row r="141" spans="1:21" x14ac:dyDescent="0.25">
      <c r="A141" s="49">
        <f t="shared" si="12"/>
        <v>46160</v>
      </c>
      <c r="B141" s="42" t="str">
        <f t="shared" si="13"/>
        <v>mai/26</v>
      </c>
      <c r="C141" s="39">
        <v>849.26</v>
      </c>
      <c r="D141" s="40">
        <v>846.3599999999999</v>
      </c>
      <c r="E141" s="41"/>
      <c r="F141" s="39">
        <v>564.29999999999995</v>
      </c>
      <c r="G141" s="40">
        <v>402.88</v>
      </c>
      <c r="H141" s="41"/>
      <c r="I141" s="39">
        <v>0</v>
      </c>
      <c r="J141" s="40">
        <v>0</v>
      </c>
      <c r="K141" s="41"/>
      <c r="L141" s="157">
        <v>20.3</v>
      </c>
      <c r="M141" s="41"/>
      <c r="O141" s="29"/>
      <c r="P141" s="5"/>
      <c r="R141" s="5"/>
      <c r="S141" s="5"/>
      <c r="U141" s="5"/>
    </row>
    <row r="142" spans="1:21" x14ac:dyDescent="0.25">
      <c r="A142" s="49">
        <f t="shared" si="12"/>
        <v>46161</v>
      </c>
      <c r="B142" s="42" t="str">
        <f t="shared" si="13"/>
        <v>mai/26</v>
      </c>
      <c r="C142" s="39">
        <v>552.24</v>
      </c>
      <c r="D142" s="40">
        <v>1007.4200000000001</v>
      </c>
      <c r="E142" s="41"/>
      <c r="F142" s="39">
        <v>504.9</v>
      </c>
      <c r="G142" s="40">
        <v>504.58</v>
      </c>
      <c r="H142" s="41"/>
      <c r="I142" s="39">
        <v>0</v>
      </c>
      <c r="J142" s="40">
        <v>0</v>
      </c>
      <c r="K142" s="41"/>
      <c r="L142" s="157">
        <v>0</v>
      </c>
      <c r="M142" s="41"/>
      <c r="O142" s="29"/>
      <c r="P142" s="5"/>
      <c r="R142" s="5"/>
      <c r="S142" s="5"/>
      <c r="U142" s="5"/>
    </row>
    <row r="143" spans="1:21" x14ac:dyDescent="0.25">
      <c r="A143" s="49">
        <f t="shared" si="12"/>
        <v>46162</v>
      </c>
      <c r="B143" s="42" t="str">
        <f t="shared" si="13"/>
        <v>mai/26</v>
      </c>
      <c r="C143" s="39">
        <v>590.92999999999995</v>
      </c>
      <c r="D143" s="40">
        <v>1132.2399999999998</v>
      </c>
      <c r="E143" s="41"/>
      <c r="F143" s="39">
        <v>445.5</v>
      </c>
      <c r="G143" s="40">
        <v>608.24</v>
      </c>
      <c r="H143" s="41"/>
      <c r="I143" s="39">
        <v>0</v>
      </c>
      <c r="J143" s="40">
        <v>0</v>
      </c>
      <c r="K143" s="41"/>
      <c r="L143" s="157">
        <v>2101.0499999999997</v>
      </c>
      <c r="M143" s="41"/>
      <c r="O143" s="29"/>
      <c r="P143" s="5"/>
      <c r="R143" s="5"/>
      <c r="S143" s="5"/>
      <c r="U143" s="5"/>
    </row>
    <row r="144" spans="1:21" x14ac:dyDescent="0.25">
      <c r="A144" s="49">
        <f t="shared" si="12"/>
        <v>46163</v>
      </c>
      <c r="B144" s="42" t="str">
        <f t="shared" si="13"/>
        <v>mai/26</v>
      </c>
      <c r="C144" s="39">
        <v>1004.76</v>
      </c>
      <c r="D144" s="40">
        <v>950.91999999999973</v>
      </c>
      <c r="E144" s="41"/>
      <c r="F144" s="39">
        <v>594</v>
      </c>
      <c r="G144" s="40">
        <v>971.5</v>
      </c>
      <c r="H144" s="41"/>
      <c r="I144" s="39">
        <v>0</v>
      </c>
      <c r="J144" s="40">
        <v>0</v>
      </c>
      <c r="K144" s="41"/>
      <c r="L144" s="157">
        <v>1552.95</v>
      </c>
      <c r="M144" s="41"/>
      <c r="O144" s="29"/>
      <c r="P144" s="5"/>
      <c r="R144" s="5"/>
      <c r="S144" s="5"/>
      <c r="U144" s="5"/>
    </row>
    <row r="145" spans="1:21" x14ac:dyDescent="0.25">
      <c r="A145" s="49">
        <f t="shared" si="12"/>
        <v>46164</v>
      </c>
      <c r="B145" s="42" t="str">
        <f t="shared" si="13"/>
        <v>mai/26</v>
      </c>
      <c r="C145" s="39">
        <v>1030.3499999999999</v>
      </c>
      <c r="D145" s="40">
        <v>1179.72</v>
      </c>
      <c r="E145" s="41"/>
      <c r="F145" s="39">
        <v>118.8</v>
      </c>
      <c r="G145" s="40">
        <v>306.56</v>
      </c>
      <c r="H145" s="41"/>
      <c r="I145" s="39">
        <v>0</v>
      </c>
      <c r="J145" s="40">
        <v>0</v>
      </c>
      <c r="K145" s="41"/>
      <c r="L145" s="157">
        <v>1735.6499999999999</v>
      </c>
      <c r="M145" s="41"/>
      <c r="O145" s="29"/>
      <c r="P145" s="5"/>
      <c r="R145" s="5"/>
      <c r="S145" s="5"/>
      <c r="U145" s="5"/>
    </row>
    <row r="146" spans="1:21" x14ac:dyDescent="0.25">
      <c r="A146" s="49">
        <f t="shared" si="12"/>
        <v>46165</v>
      </c>
      <c r="B146" s="42" t="str">
        <f t="shared" si="13"/>
        <v>mai/26</v>
      </c>
      <c r="C146" s="39">
        <v>781.02</v>
      </c>
      <c r="D146" s="40">
        <v>1080.6799999999998</v>
      </c>
      <c r="E146" s="41"/>
      <c r="F146" s="39">
        <v>0</v>
      </c>
      <c r="G146" s="40">
        <v>0</v>
      </c>
      <c r="H146" s="41"/>
      <c r="I146" s="39">
        <v>0</v>
      </c>
      <c r="J146" s="40">
        <v>0</v>
      </c>
      <c r="K146" s="41"/>
      <c r="L146" s="157">
        <v>1004.85</v>
      </c>
      <c r="M146" s="41"/>
      <c r="O146" s="29"/>
      <c r="P146" s="5"/>
      <c r="R146" s="5"/>
      <c r="S146" s="5"/>
      <c r="U146" s="5"/>
    </row>
    <row r="147" spans="1:21" x14ac:dyDescent="0.25">
      <c r="A147" s="49">
        <f t="shared" si="12"/>
        <v>46166</v>
      </c>
      <c r="B147" s="42" t="str">
        <f t="shared" si="13"/>
        <v>mai/26</v>
      </c>
      <c r="C147" s="39">
        <v>289.79000000000002</v>
      </c>
      <c r="D147" s="40">
        <v>0</v>
      </c>
      <c r="E147" s="41"/>
      <c r="F147" s="39">
        <v>0</v>
      </c>
      <c r="G147" s="40">
        <v>0</v>
      </c>
      <c r="H147" s="41"/>
      <c r="I147" s="39">
        <v>0</v>
      </c>
      <c r="J147" s="40">
        <v>0</v>
      </c>
      <c r="K147" s="41"/>
      <c r="L147" s="157">
        <v>0</v>
      </c>
      <c r="M147" s="41"/>
      <c r="O147" s="29"/>
      <c r="P147" s="5"/>
      <c r="R147" s="5"/>
      <c r="S147" s="5"/>
      <c r="U147" s="5"/>
    </row>
    <row r="148" spans="1:21" x14ac:dyDescent="0.25">
      <c r="A148" s="49">
        <f t="shared" si="12"/>
        <v>46167</v>
      </c>
      <c r="B148" s="42" t="str">
        <f t="shared" si="13"/>
        <v>mai/26</v>
      </c>
      <c r="C148" s="39">
        <v>541.59</v>
      </c>
      <c r="D148" s="40">
        <v>799.39999999999986</v>
      </c>
      <c r="E148" s="41"/>
      <c r="F148" s="39">
        <v>99</v>
      </c>
      <c r="G148" s="40">
        <v>0</v>
      </c>
      <c r="H148" s="41"/>
      <c r="I148" s="39">
        <v>0</v>
      </c>
      <c r="J148" s="40">
        <v>0</v>
      </c>
      <c r="K148" s="41"/>
      <c r="L148" s="157">
        <v>730.8</v>
      </c>
      <c r="M148" s="41"/>
      <c r="O148" s="29"/>
      <c r="P148" s="5"/>
      <c r="R148" s="5"/>
      <c r="S148" s="5"/>
      <c r="U148" s="5"/>
    </row>
    <row r="149" spans="1:21" x14ac:dyDescent="0.25">
      <c r="A149" s="49">
        <f t="shared" si="12"/>
        <v>46168</v>
      </c>
      <c r="B149" s="42" t="str">
        <f t="shared" si="13"/>
        <v>mai/26</v>
      </c>
      <c r="C149" s="39">
        <v>624.98</v>
      </c>
      <c r="D149" s="40">
        <v>0</v>
      </c>
      <c r="E149" s="41"/>
      <c r="F149" s="39">
        <v>681.12</v>
      </c>
      <c r="G149" s="40">
        <v>0</v>
      </c>
      <c r="H149" s="41"/>
      <c r="I149" s="39">
        <v>0</v>
      </c>
      <c r="J149" s="40">
        <v>0</v>
      </c>
      <c r="K149" s="41"/>
      <c r="L149" s="157">
        <v>0</v>
      </c>
      <c r="M149" s="41"/>
      <c r="O149" s="29"/>
      <c r="P149" s="5"/>
      <c r="R149" s="5"/>
      <c r="S149" s="5"/>
      <c r="U149" s="5"/>
    </row>
    <row r="150" spans="1:21" x14ac:dyDescent="0.25">
      <c r="A150" s="49">
        <f t="shared" si="12"/>
        <v>46169</v>
      </c>
      <c r="B150" s="42" t="str">
        <f t="shared" si="13"/>
        <v>mai/26</v>
      </c>
      <c r="C150" s="39">
        <v>120.54</v>
      </c>
      <c r="D150" s="40">
        <v>0</v>
      </c>
      <c r="E150" s="41"/>
      <c r="F150" s="39">
        <v>396</v>
      </c>
      <c r="G150" s="40">
        <v>0</v>
      </c>
      <c r="H150" s="41"/>
      <c r="I150" s="39">
        <v>0</v>
      </c>
      <c r="J150" s="40">
        <v>0</v>
      </c>
      <c r="K150" s="41"/>
      <c r="L150" s="157">
        <v>0</v>
      </c>
      <c r="M150" s="41"/>
      <c r="O150" s="29"/>
      <c r="P150" s="5"/>
      <c r="R150" s="5"/>
      <c r="S150" s="5"/>
      <c r="U150" s="5"/>
    </row>
    <row r="151" spans="1:21" x14ac:dyDescent="0.25">
      <c r="A151" s="49">
        <f t="shared" si="12"/>
        <v>46170</v>
      </c>
      <c r="B151" s="42" t="str">
        <f t="shared" si="13"/>
        <v>mai/26</v>
      </c>
      <c r="C151" s="39">
        <v>329.41</v>
      </c>
      <c r="D151" s="40">
        <v>0</v>
      </c>
      <c r="E151" s="41"/>
      <c r="F151" s="39">
        <v>609.84</v>
      </c>
      <c r="G151" s="40">
        <v>145</v>
      </c>
      <c r="H151" s="41"/>
      <c r="I151" s="39">
        <v>0</v>
      </c>
      <c r="J151" s="40">
        <v>0</v>
      </c>
      <c r="K151" s="41"/>
      <c r="L151" s="157">
        <v>0</v>
      </c>
      <c r="M151" s="41"/>
      <c r="O151" s="29"/>
      <c r="P151" s="5"/>
      <c r="R151" s="5"/>
      <c r="S151" s="5"/>
      <c r="U151" s="5"/>
    </row>
    <row r="152" spans="1:21" x14ac:dyDescent="0.25">
      <c r="A152" s="49">
        <f t="shared" si="12"/>
        <v>46171</v>
      </c>
      <c r="B152" s="42" t="str">
        <f t="shared" si="13"/>
        <v>mai/26</v>
      </c>
      <c r="C152" s="39">
        <v>463.99</v>
      </c>
      <c r="D152" s="40">
        <v>0</v>
      </c>
      <c r="E152" s="41"/>
      <c r="F152" s="39">
        <v>495</v>
      </c>
      <c r="G152" s="40">
        <v>0</v>
      </c>
      <c r="H152" s="41"/>
      <c r="I152" s="39">
        <v>0</v>
      </c>
      <c r="J152" s="40">
        <v>0</v>
      </c>
      <c r="K152" s="41"/>
      <c r="L152" s="157">
        <v>0</v>
      </c>
      <c r="M152" s="41"/>
      <c r="O152" s="29"/>
      <c r="P152" s="5"/>
      <c r="R152" s="5"/>
      <c r="S152" s="5"/>
      <c r="U152" s="5"/>
    </row>
    <row r="153" spans="1:21" x14ac:dyDescent="0.25">
      <c r="A153" s="49">
        <f t="shared" si="12"/>
        <v>46172</v>
      </c>
      <c r="B153" s="42" t="str">
        <f t="shared" si="13"/>
        <v>mai/26</v>
      </c>
      <c r="C153" s="39">
        <v>442.52</v>
      </c>
      <c r="D153" s="40">
        <v>727.09999999999991</v>
      </c>
      <c r="E153" s="41"/>
      <c r="F153" s="39">
        <v>0</v>
      </c>
      <c r="G153" s="40">
        <v>290.03999999999996</v>
      </c>
      <c r="H153" s="41"/>
      <c r="I153" s="39">
        <v>0</v>
      </c>
      <c r="J153" s="40">
        <v>0</v>
      </c>
      <c r="K153" s="41"/>
      <c r="L153" s="157">
        <v>0</v>
      </c>
      <c r="M153" s="41"/>
      <c r="O153" s="29"/>
      <c r="P153" s="5"/>
      <c r="R153" s="5"/>
      <c r="S153" s="5"/>
      <c r="U153" s="5"/>
    </row>
    <row r="154" spans="1:21" x14ac:dyDescent="0.25">
      <c r="A154" s="49">
        <f t="shared" si="12"/>
        <v>46173</v>
      </c>
      <c r="B154" s="42" t="str">
        <f t="shared" si="13"/>
        <v>mai/26</v>
      </c>
      <c r="C154" s="39">
        <v>0</v>
      </c>
      <c r="D154" s="40">
        <v>0</v>
      </c>
      <c r="E154" s="41"/>
      <c r="F154" s="39">
        <v>0</v>
      </c>
      <c r="G154" s="40">
        <v>0</v>
      </c>
      <c r="H154" s="41"/>
      <c r="I154" s="39">
        <v>0</v>
      </c>
      <c r="J154" s="40">
        <v>0</v>
      </c>
      <c r="K154" s="41"/>
      <c r="L154" s="157">
        <v>0</v>
      </c>
      <c r="M154" s="41"/>
      <c r="O154" s="29"/>
      <c r="P154" s="5"/>
      <c r="R154" s="5"/>
      <c r="S154" s="5"/>
      <c r="U154" s="5"/>
    </row>
    <row r="155" spans="1:21" x14ac:dyDescent="0.25">
      <c r="A155" s="49">
        <f t="shared" si="12"/>
        <v>46174</v>
      </c>
      <c r="B155" s="42" t="str">
        <f t="shared" si="13"/>
        <v>jun/26</v>
      </c>
      <c r="C155" s="39">
        <v>962.65</v>
      </c>
      <c r="D155" s="40">
        <v>1218.08</v>
      </c>
      <c r="E155" s="41"/>
      <c r="F155" s="39">
        <v>375</v>
      </c>
      <c r="G155" s="40">
        <v>413.91999999999996</v>
      </c>
      <c r="H155" s="41"/>
      <c r="I155" s="39">
        <v>0</v>
      </c>
      <c r="J155" s="40">
        <v>0</v>
      </c>
      <c r="K155" s="41"/>
      <c r="L155" s="157">
        <v>0</v>
      </c>
      <c r="M155" s="41"/>
      <c r="O155" s="29"/>
      <c r="P155" s="5"/>
      <c r="R155" s="5"/>
      <c r="S155" s="5"/>
      <c r="U155" s="5"/>
    </row>
    <row r="156" spans="1:21" x14ac:dyDescent="0.25">
      <c r="A156" s="49">
        <f t="shared" si="12"/>
        <v>46175</v>
      </c>
      <c r="B156" s="42" t="str">
        <f t="shared" si="13"/>
        <v>jun/26</v>
      </c>
      <c r="C156" s="39">
        <v>820.65</v>
      </c>
      <c r="D156" s="40">
        <v>1563.0200000000002</v>
      </c>
      <c r="E156" s="41"/>
      <c r="F156" s="39">
        <v>611.25</v>
      </c>
      <c r="G156" s="40">
        <v>536.22</v>
      </c>
      <c r="H156" s="41"/>
      <c r="I156" s="39">
        <v>0</v>
      </c>
      <c r="J156" s="40">
        <v>0</v>
      </c>
      <c r="K156" s="41"/>
      <c r="L156" s="157">
        <v>2009.7</v>
      </c>
      <c r="M156" s="41"/>
      <c r="O156" s="29"/>
      <c r="P156" s="5"/>
      <c r="R156" s="5"/>
      <c r="S156" s="5"/>
      <c r="U156" s="5"/>
    </row>
    <row r="157" spans="1:21" x14ac:dyDescent="0.25">
      <c r="A157" s="49">
        <f t="shared" si="12"/>
        <v>46176</v>
      </c>
      <c r="B157" s="42" t="str">
        <f t="shared" si="13"/>
        <v>jun/26</v>
      </c>
      <c r="C157" s="39">
        <v>855.32</v>
      </c>
      <c r="D157" s="40">
        <v>746.96</v>
      </c>
      <c r="E157" s="41"/>
      <c r="F157" s="39">
        <v>602.25</v>
      </c>
      <c r="G157" s="40">
        <v>441.48</v>
      </c>
      <c r="H157" s="41"/>
      <c r="I157" s="39">
        <v>0</v>
      </c>
      <c r="J157" s="40">
        <v>0</v>
      </c>
      <c r="K157" s="41"/>
      <c r="L157" s="157">
        <v>1461.6</v>
      </c>
      <c r="M157" s="41"/>
      <c r="O157" s="29"/>
      <c r="P157" s="5"/>
      <c r="R157" s="5"/>
      <c r="S157" s="5"/>
      <c r="U157" s="5"/>
    </row>
    <row r="158" spans="1:21" x14ac:dyDescent="0.25">
      <c r="A158" s="49">
        <f t="shared" si="12"/>
        <v>46177</v>
      </c>
      <c r="B158" s="42" t="str">
        <f t="shared" si="13"/>
        <v>jun/26</v>
      </c>
      <c r="C158" s="39">
        <v>887.52</v>
      </c>
      <c r="D158" s="40">
        <v>790.04000000000008</v>
      </c>
      <c r="E158" s="41"/>
      <c r="F158" s="39">
        <v>438.57</v>
      </c>
      <c r="G158" s="40">
        <v>449.43999999999994</v>
      </c>
      <c r="H158" s="41"/>
      <c r="I158" s="39">
        <v>0</v>
      </c>
      <c r="J158" s="40">
        <v>0</v>
      </c>
      <c r="K158" s="41"/>
      <c r="L158" s="157">
        <v>182.7</v>
      </c>
      <c r="M158" s="41"/>
      <c r="O158" s="29"/>
      <c r="P158" s="5"/>
      <c r="R158" s="5"/>
      <c r="S158" s="5"/>
      <c r="U158" s="5"/>
    </row>
    <row r="159" spans="1:21" x14ac:dyDescent="0.25">
      <c r="A159" s="49">
        <f t="shared" si="12"/>
        <v>46178</v>
      </c>
      <c r="B159" s="42" t="str">
        <f t="shared" si="13"/>
        <v>jun/26</v>
      </c>
      <c r="C159" s="39">
        <v>1063.3699999999999</v>
      </c>
      <c r="D159" s="40">
        <v>842.11999999999989</v>
      </c>
      <c r="E159" s="41"/>
      <c r="F159" s="39">
        <v>412.5</v>
      </c>
      <c r="G159" s="40">
        <v>588.06000000000006</v>
      </c>
      <c r="H159" s="41"/>
      <c r="I159" s="39">
        <v>0</v>
      </c>
      <c r="J159" s="40">
        <v>0</v>
      </c>
      <c r="K159" s="41"/>
      <c r="L159" s="157">
        <v>365.4</v>
      </c>
      <c r="M159" s="41"/>
      <c r="O159" s="29"/>
      <c r="P159" s="5"/>
      <c r="R159" s="5"/>
      <c r="S159" s="5"/>
      <c r="U159" s="5"/>
    </row>
    <row r="160" spans="1:21" x14ac:dyDescent="0.25">
      <c r="A160" s="49">
        <f t="shared" si="12"/>
        <v>46179</v>
      </c>
      <c r="B160" s="42" t="str">
        <f t="shared" si="13"/>
        <v>jun/26</v>
      </c>
      <c r="C160" s="39">
        <v>589.48</v>
      </c>
      <c r="D160" s="40">
        <v>0</v>
      </c>
      <c r="E160" s="41"/>
      <c r="F160" s="39">
        <v>300</v>
      </c>
      <c r="G160" s="40">
        <v>0</v>
      </c>
      <c r="H160" s="41"/>
      <c r="I160" s="39">
        <v>0</v>
      </c>
      <c r="J160" s="40">
        <v>0</v>
      </c>
      <c r="K160" s="41"/>
      <c r="L160" s="157">
        <v>913.5</v>
      </c>
      <c r="M160" s="41"/>
      <c r="O160" s="29"/>
      <c r="P160" s="5"/>
      <c r="R160" s="5"/>
      <c r="S160" s="5"/>
      <c r="U160" s="5"/>
    </row>
    <row r="161" spans="1:21" x14ac:dyDescent="0.25">
      <c r="A161" s="49">
        <f t="shared" si="12"/>
        <v>46180</v>
      </c>
      <c r="B161" s="42" t="str">
        <f t="shared" si="13"/>
        <v>jun/26</v>
      </c>
      <c r="C161" s="39">
        <v>0</v>
      </c>
      <c r="D161" s="40">
        <v>0</v>
      </c>
      <c r="E161" s="41"/>
      <c r="F161" s="39">
        <v>0</v>
      </c>
      <c r="G161" s="40">
        <v>0</v>
      </c>
      <c r="H161" s="41"/>
      <c r="I161" s="39">
        <v>0</v>
      </c>
      <c r="J161" s="40">
        <v>0</v>
      </c>
      <c r="K161" s="41"/>
      <c r="L161" s="157">
        <v>0</v>
      </c>
      <c r="M161" s="41"/>
      <c r="O161" s="29"/>
      <c r="P161" s="5"/>
      <c r="R161" s="5"/>
      <c r="S161" s="5"/>
      <c r="U161" s="5"/>
    </row>
    <row r="162" spans="1:21" x14ac:dyDescent="0.25">
      <c r="A162" s="49">
        <f t="shared" si="12"/>
        <v>46181</v>
      </c>
      <c r="B162" s="42" t="str">
        <f t="shared" si="13"/>
        <v>jun/26</v>
      </c>
      <c r="C162" s="39">
        <v>758.98</v>
      </c>
      <c r="D162" s="40">
        <v>1468.5199999999998</v>
      </c>
      <c r="E162" s="41"/>
      <c r="F162" s="39">
        <v>870.38</v>
      </c>
      <c r="G162" s="40">
        <v>599.88000000000011</v>
      </c>
      <c r="H162" s="41"/>
      <c r="I162" s="39">
        <v>0</v>
      </c>
      <c r="J162" s="40">
        <v>0</v>
      </c>
      <c r="K162" s="41"/>
      <c r="L162" s="157">
        <v>1983.6</v>
      </c>
      <c r="M162" s="41"/>
      <c r="O162" s="29"/>
      <c r="P162" s="5"/>
      <c r="R162" s="5"/>
      <c r="S162" s="5"/>
      <c r="U162" s="5"/>
    </row>
    <row r="163" spans="1:21" x14ac:dyDescent="0.25">
      <c r="A163" s="49">
        <f t="shared" si="12"/>
        <v>46182</v>
      </c>
      <c r="B163" s="42" t="str">
        <f t="shared" si="13"/>
        <v>jun/26</v>
      </c>
      <c r="C163" s="39">
        <v>537.07000000000005</v>
      </c>
      <c r="D163" s="40">
        <v>905.11999999999989</v>
      </c>
      <c r="E163" s="41"/>
      <c r="F163" s="39">
        <v>618.75</v>
      </c>
      <c r="G163" s="40">
        <v>371.18</v>
      </c>
      <c r="H163" s="41"/>
      <c r="I163" s="39">
        <v>0</v>
      </c>
      <c r="J163" s="40">
        <v>0</v>
      </c>
      <c r="K163" s="41"/>
      <c r="L163" s="157">
        <v>1096.2</v>
      </c>
      <c r="M163" s="41"/>
      <c r="O163" s="29"/>
      <c r="P163" s="5"/>
      <c r="R163" s="5"/>
      <c r="S163" s="5"/>
      <c r="U163" s="5"/>
    </row>
    <row r="164" spans="1:21" x14ac:dyDescent="0.25">
      <c r="A164" s="49">
        <f t="shared" si="12"/>
        <v>46183</v>
      </c>
      <c r="B164" s="42" t="str">
        <f t="shared" si="13"/>
        <v>jun/26</v>
      </c>
      <c r="C164" s="39">
        <v>631.62</v>
      </c>
      <c r="D164" s="40">
        <v>975.44</v>
      </c>
      <c r="E164" s="41"/>
      <c r="F164" s="39">
        <v>555.75</v>
      </c>
      <c r="G164" s="40">
        <v>519.78</v>
      </c>
      <c r="H164" s="41"/>
      <c r="I164" s="39">
        <v>0</v>
      </c>
      <c r="J164" s="40">
        <v>0</v>
      </c>
      <c r="K164" s="41"/>
      <c r="L164" s="157">
        <v>101.5</v>
      </c>
      <c r="M164" s="41"/>
      <c r="O164" s="29"/>
      <c r="P164" s="5"/>
      <c r="R164" s="5"/>
      <c r="S164" s="5"/>
      <c r="U164" s="5"/>
    </row>
    <row r="165" spans="1:21" x14ac:dyDescent="0.25">
      <c r="A165" s="49">
        <f t="shared" si="12"/>
        <v>46184</v>
      </c>
      <c r="B165" s="42" t="str">
        <f t="shared" si="13"/>
        <v>jun/26</v>
      </c>
      <c r="C165" s="39">
        <v>936.4</v>
      </c>
      <c r="D165" s="40">
        <v>496.87999999999994</v>
      </c>
      <c r="E165" s="41"/>
      <c r="F165" s="39">
        <v>472.5</v>
      </c>
      <c r="G165" s="40">
        <v>601.48</v>
      </c>
      <c r="H165" s="41"/>
      <c r="I165" s="39">
        <v>0</v>
      </c>
      <c r="J165" s="40">
        <v>0</v>
      </c>
      <c r="K165" s="41"/>
      <c r="L165" s="157">
        <v>0</v>
      </c>
      <c r="M165" s="41"/>
      <c r="O165" s="29"/>
      <c r="P165" s="5"/>
      <c r="R165" s="5"/>
      <c r="S165" s="5"/>
      <c r="U165" s="5"/>
    </row>
    <row r="166" spans="1:21" x14ac:dyDescent="0.25">
      <c r="A166" s="49">
        <f t="shared" si="12"/>
        <v>46185</v>
      </c>
      <c r="B166" s="42" t="str">
        <f t="shared" si="13"/>
        <v>jun/26</v>
      </c>
      <c r="C166" s="39">
        <v>959.79</v>
      </c>
      <c r="D166" s="40">
        <v>508.50000000000006</v>
      </c>
      <c r="E166" s="41"/>
      <c r="F166" s="39">
        <v>468.19</v>
      </c>
      <c r="G166" s="40">
        <v>678.96</v>
      </c>
      <c r="H166" s="41"/>
      <c r="I166" s="39">
        <v>0</v>
      </c>
      <c r="J166" s="40">
        <v>0</v>
      </c>
      <c r="K166" s="41"/>
      <c r="L166" s="157">
        <v>3288.6</v>
      </c>
      <c r="M166" s="41"/>
      <c r="O166" s="29"/>
      <c r="P166" s="5"/>
      <c r="R166" s="5"/>
      <c r="S166" s="5"/>
      <c r="U166" s="5"/>
    </row>
    <row r="167" spans="1:21" x14ac:dyDescent="0.25">
      <c r="A167" s="49">
        <f t="shared" si="12"/>
        <v>46186</v>
      </c>
      <c r="B167" s="42" t="str">
        <f t="shared" si="13"/>
        <v>jun/26</v>
      </c>
      <c r="C167" s="39">
        <v>562.66</v>
      </c>
      <c r="D167" s="40">
        <v>898.13999999999987</v>
      </c>
      <c r="E167" s="41"/>
      <c r="F167" s="39">
        <v>0</v>
      </c>
      <c r="G167" s="40">
        <v>575.26</v>
      </c>
      <c r="H167" s="41"/>
      <c r="I167" s="39">
        <v>0</v>
      </c>
      <c r="J167" s="40">
        <v>0</v>
      </c>
      <c r="K167" s="41"/>
      <c r="L167" s="157">
        <v>0</v>
      </c>
      <c r="M167" s="41"/>
      <c r="O167" s="29"/>
      <c r="P167" s="5"/>
      <c r="R167" s="5"/>
      <c r="S167" s="5"/>
      <c r="U167" s="5"/>
    </row>
    <row r="168" spans="1:21" x14ac:dyDescent="0.25">
      <c r="A168" s="49">
        <f t="shared" si="12"/>
        <v>46187</v>
      </c>
      <c r="B168" s="42" t="str">
        <f t="shared" si="13"/>
        <v>jun/26</v>
      </c>
      <c r="C168" s="39">
        <v>447.54</v>
      </c>
      <c r="D168" s="40">
        <v>0</v>
      </c>
      <c r="E168" s="41"/>
      <c r="F168" s="39">
        <v>0</v>
      </c>
      <c r="G168" s="40">
        <v>0</v>
      </c>
      <c r="H168" s="41"/>
      <c r="I168" s="39">
        <v>0</v>
      </c>
      <c r="J168" s="40">
        <v>0</v>
      </c>
      <c r="K168" s="41"/>
      <c r="L168" s="157">
        <v>0</v>
      </c>
      <c r="M168" s="41"/>
      <c r="O168" s="29"/>
      <c r="P168" s="5"/>
      <c r="R168" s="5"/>
      <c r="S168" s="5"/>
      <c r="U168" s="5"/>
    </row>
    <row r="169" spans="1:21" x14ac:dyDescent="0.25">
      <c r="A169" s="49">
        <f t="shared" si="12"/>
        <v>46188</v>
      </c>
      <c r="B169" s="42" t="str">
        <f t="shared" si="13"/>
        <v>jun/26</v>
      </c>
      <c r="C169" s="39">
        <v>1020.63</v>
      </c>
      <c r="D169" s="40">
        <v>947.59999999999991</v>
      </c>
      <c r="E169" s="41"/>
      <c r="F169" s="39">
        <v>300</v>
      </c>
      <c r="G169" s="40">
        <v>555.70000000000005</v>
      </c>
      <c r="H169" s="41"/>
      <c r="I169" s="39">
        <v>0</v>
      </c>
      <c r="J169" s="40">
        <v>0</v>
      </c>
      <c r="K169" s="41"/>
      <c r="L169" s="157">
        <v>1461.6</v>
      </c>
      <c r="M169" s="41"/>
      <c r="O169" s="29"/>
      <c r="P169" s="5"/>
      <c r="R169" s="5"/>
      <c r="S169" s="5"/>
      <c r="U169" s="5"/>
    </row>
    <row r="170" spans="1:21" x14ac:dyDescent="0.25">
      <c r="A170" s="49">
        <f t="shared" si="12"/>
        <v>46189</v>
      </c>
      <c r="B170" s="42" t="str">
        <f t="shared" si="13"/>
        <v>jun/26</v>
      </c>
      <c r="C170" s="39">
        <v>928.06</v>
      </c>
      <c r="D170" s="40">
        <v>1572.6400000000003</v>
      </c>
      <c r="E170" s="41"/>
      <c r="F170" s="39">
        <v>412.5</v>
      </c>
      <c r="G170" s="40">
        <v>78.8</v>
      </c>
      <c r="H170" s="41"/>
      <c r="I170" s="39">
        <v>0</v>
      </c>
      <c r="J170" s="40">
        <v>0</v>
      </c>
      <c r="K170" s="41"/>
      <c r="L170" s="157">
        <v>0</v>
      </c>
      <c r="M170" s="41"/>
      <c r="O170" s="29"/>
      <c r="P170" s="5"/>
      <c r="R170" s="5"/>
      <c r="S170" s="5"/>
      <c r="U170" s="5"/>
    </row>
    <row r="171" spans="1:21" x14ac:dyDescent="0.25">
      <c r="A171" s="49">
        <f t="shared" si="12"/>
        <v>46190</v>
      </c>
      <c r="B171" s="42" t="str">
        <f t="shared" si="13"/>
        <v>jun/26</v>
      </c>
      <c r="C171" s="39">
        <v>494</v>
      </c>
      <c r="D171" s="40">
        <v>1194.76</v>
      </c>
      <c r="E171" s="41"/>
      <c r="F171" s="39">
        <v>412.5</v>
      </c>
      <c r="G171" s="40">
        <v>710.18</v>
      </c>
      <c r="H171" s="41"/>
      <c r="I171" s="39">
        <v>0</v>
      </c>
      <c r="J171" s="40">
        <v>0</v>
      </c>
      <c r="K171" s="41"/>
      <c r="L171" s="157">
        <v>0</v>
      </c>
      <c r="M171" s="41"/>
      <c r="O171" s="29"/>
      <c r="P171" s="5"/>
      <c r="R171" s="5"/>
      <c r="S171" s="5"/>
      <c r="U171" s="5"/>
    </row>
    <row r="172" spans="1:21" x14ac:dyDescent="0.25">
      <c r="A172" s="49">
        <f t="shared" ref="A172:A208" si="14">A171+1</f>
        <v>46191</v>
      </c>
      <c r="B172" s="42" t="str">
        <f t="shared" si="13"/>
        <v>jun/26</v>
      </c>
      <c r="C172" s="39">
        <v>818.37</v>
      </c>
      <c r="D172" s="40">
        <v>557.07999999999993</v>
      </c>
      <c r="E172" s="41"/>
      <c r="F172" s="39">
        <v>412.5</v>
      </c>
      <c r="G172" s="40">
        <v>1261.82</v>
      </c>
      <c r="H172" s="41"/>
      <c r="I172" s="39">
        <v>0</v>
      </c>
      <c r="J172" s="40">
        <v>0</v>
      </c>
      <c r="K172" s="41"/>
      <c r="L172" s="157">
        <v>162.4</v>
      </c>
      <c r="M172" s="41"/>
      <c r="O172" s="29"/>
      <c r="P172" s="5"/>
      <c r="R172" s="5"/>
      <c r="S172" s="5"/>
      <c r="U172" s="5"/>
    </row>
    <row r="173" spans="1:21" x14ac:dyDescent="0.25">
      <c r="A173" s="49">
        <f t="shared" si="14"/>
        <v>46192</v>
      </c>
      <c r="B173" s="42" t="str">
        <f t="shared" si="13"/>
        <v>jun/26</v>
      </c>
      <c r="C173" s="39">
        <v>594.33000000000004</v>
      </c>
      <c r="D173" s="40">
        <v>666.58</v>
      </c>
      <c r="E173" s="41"/>
      <c r="F173" s="39">
        <v>911.25</v>
      </c>
      <c r="G173" s="40">
        <v>1743.9799999999996</v>
      </c>
      <c r="H173" s="41"/>
      <c r="I173" s="39">
        <v>0</v>
      </c>
      <c r="J173" s="40">
        <v>0</v>
      </c>
      <c r="K173" s="41"/>
      <c r="L173" s="157">
        <v>1782.7799999999997</v>
      </c>
      <c r="M173" s="41"/>
      <c r="O173" s="29"/>
      <c r="P173" s="5"/>
      <c r="R173" s="5"/>
      <c r="S173" s="5"/>
      <c r="U173" s="5"/>
    </row>
    <row r="174" spans="1:21" x14ac:dyDescent="0.25">
      <c r="A174" s="49">
        <f t="shared" si="14"/>
        <v>46193</v>
      </c>
      <c r="B174" s="42" t="str">
        <f t="shared" si="13"/>
        <v>jun/26</v>
      </c>
      <c r="C174" s="39">
        <v>150.13999999999999</v>
      </c>
      <c r="D174" s="40">
        <v>119.88</v>
      </c>
      <c r="E174" s="41"/>
      <c r="F174" s="39">
        <v>810</v>
      </c>
      <c r="G174" s="40">
        <v>1369.0600000000004</v>
      </c>
      <c r="H174" s="41"/>
      <c r="I174" s="39">
        <v>0</v>
      </c>
      <c r="J174" s="40">
        <v>0</v>
      </c>
      <c r="K174" s="41"/>
      <c r="L174" s="157">
        <v>1926.76</v>
      </c>
      <c r="M174" s="41"/>
      <c r="O174" s="29"/>
      <c r="P174" s="5"/>
      <c r="R174" s="5"/>
      <c r="S174" s="5"/>
      <c r="U174" s="5"/>
    </row>
    <row r="175" spans="1:21" x14ac:dyDescent="0.25">
      <c r="A175" s="49">
        <f t="shared" si="14"/>
        <v>46194</v>
      </c>
      <c r="B175" s="42" t="str">
        <f t="shared" si="13"/>
        <v>jun/26</v>
      </c>
      <c r="C175" s="39">
        <v>0</v>
      </c>
      <c r="D175" s="40">
        <v>0</v>
      </c>
      <c r="E175" s="41"/>
      <c r="F175" s="39">
        <v>969</v>
      </c>
      <c r="G175" s="40">
        <v>0</v>
      </c>
      <c r="H175" s="41"/>
      <c r="I175" s="39">
        <v>0</v>
      </c>
      <c r="J175" s="40">
        <v>0</v>
      </c>
      <c r="K175" s="41"/>
      <c r="L175" s="157">
        <v>0</v>
      </c>
      <c r="M175" s="41"/>
      <c r="O175" s="29"/>
      <c r="P175" s="5"/>
      <c r="R175" s="5"/>
      <c r="S175" s="5"/>
      <c r="U175" s="5"/>
    </row>
    <row r="176" spans="1:21" x14ac:dyDescent="0.25">
      <c r="A176" s="49">
        <f t="shared" si="14"/>
        <v>46195</v>
      </c>
      <c r="B176" s="42" t="str">
        <f t="shared" si="13"/>
        <v>jun/26</v>
      </c>
      <c r="C176" s="39">
        <v>940.51</v>
      </c>
      <c r="D176" s="40">
        <v>556.54000000000008</v>
      </c>
      <c r="E176" s="41"/>
      <c r="F176" s="39">
        <v>1390.13</v>
      </c>
      <c r="G176" s="40">
        <v>1765.28</v>
      </c>
      <c r="H176" s="41"/>
      <c r="I176" s="39">
        <v>0</v>
      </c>
      <c r="J176" s="40">
        <v>0</v>
      </c>
      <c r="K176" s="41"/>
      <c r="L176" s="157">
        <v>1187.55</v>
      </c>
      <c r="M176" s="41"/>
      <c r="O176" s="29"/>
      <c r="P176" s="5"/>
      <c r="R176" s="5"/>
      <c r="S176" s="5"/>
      <c r="U176" s="5"/>
    </row>
    <row r="177" spans="1:21" x14ac:dyDescent="0.25">
      <c r="A177" s="49">
        <f t="shared" si="14"/>
        <v>46196</v>
      </c>
      <c r="B177" s="42" t="str">
        <f t="shared" si="13"/>
        <v>jun/26</v>
      </c>
      <c r="C177" s="39">
        <v>1025.98</v>
      </c>
      <c r="D177" s="40">
        <v>933.72</v>
      </c>
      <c r="E177" s="41"/>
      <c r="F177" s="39">
        <v>2227.21</v>
      </c>
      <c r="G177" s="40">
        <v>2511.2800000000011</v>
      </c>
      <c r="H177" s="41"/>
      <c r="I177" s="39">
        <v>0</v>
      </c>
      <c r="J177" s="40">
        <v>0</v>
      </c>
      <c r="K177" s="41"/>
      <c r="L177" s="157">
        <v>2101.0499999999997</v>
      </c>
      <c r="M177" s="41"/>
      <c r="O177" s="29"/>
      <c r="P177" s="5"/>
      <c r="R177" s="5"/>
      <c r="S177" s="5"/>
      <c r="U177" s="5"/>
    </row>
    <row r="178" spans="1:21" x14ac:dyDescent="0.25">
      <c r="A178" s="49">
        <f t="shared" si="14"/>
        <v>46197</v>
      </c>
      <c r="B178" s="42" t="str">
        <f t="shared" si="13"/>
        <v>jun/26</v>
      </c>
      <c r="C178" s="39">
        <v>1057.2</v>
      </c>
      <c r="D178" s="40">
        <v>1082.7199999999998</v>
      </c>
      <c r="E178" s="41"/>
      <c r="F178" s="39">
        <v>1947</v>
      </c>
      <c r="G178" s="40">
        <v>2180.6200000000003</v>
      </c>
      <c r="H178" s="41"/>
      <c r="I178" s="39">
        <v>0</v>
      </c>
      <c r="J178" s="40">
        <v>0</v>
      </c>
      <c r="K178" s="41"/>
      <c r="L178" s="157">
        <v>1827</v>
      </c>
      <c r="M178" s="41"/>
      <c r="O178" s="29"/>
      <c r="P178" s="5"/>
      <c r="R178" s="5"/>
      <c r="S178" s="5"/>
      <c r="U178" s="5"/>
    </row>
    <row r="179" spans="1:21" x14ac:dyDescent="0.25">
      <c r="A179" s="49">
        <f t="shared" si="14"/>
        <v>46198</v>
      </c>
      <c r="B179" s="42" t="str">
        <f t="shared" si="13"/>
        <v>jun/26</v>
      </c>
      <c r="C179" s="39">
        <v>1023.31</v>
      </c>
      <c r="D179" s="40">
        <v>1139.8799999999999</v>
      </c>
      <c r="E179" s="41"/>
      <c r="F179" s="39">
        <v>1945.2</v>
      </c>
      <c r="G179" s="40">
        <v>2248.96</v>
      </c>
      <c r="H179" s="41"/>
      <c r="I179" s="39">
        <v>0</v>
      </c>
      <c r="J179" s="40">
        <v>0</v>
      </c>
      <c r="K179" s="41"/>
      <c r="L179" s="157">
        <v>2770.95</v>
      </c>
      <c r="M179" s="41"/>
      <c r="O179" s="29"/>
      <c r="P179" s="5"/>
      <c r="R179" s="5"/>
      <c r="S179" s="5"/>
      <c r="U179" s="5"/>
    </row>
    <row r="180" spans="1:21" x14ac:dyDescent="0.25">
      <c r="A180" s="49">
        <f t="shared" si="14"/>
        <v>46199</v>
      </c>
      <c r="B180" s="42" t="str">
        <f t="shared" si="13"/>
        <v>jun/26</v>
      </c>
      <c r="C180" s="39">
        <v>1012.28</v>
      </c>
      <c r="D180" s="40">
        <v>591.87999999999988</v>
      </c>
      <c r="E180" s="41"/>
      <c r="F180" s="39">
        <v>1554.75</v>
      </c>
      <c r="G180" s="40">
        <v>1257.56</v>
      </c>
      <c r="H180" s="41"/>
      <c r="I180" s="39">
        <v>0</v>
      </c>
      <c r="J180" s="40">
        <v>0</v>
      </c>
      <c r="K180" s="41"/>
      <c r="L180" s="157">
        <v>2466.4499999999998</v>
      </c>
      <c r="M180" s="41"/>
      <c r="O180" s="29"/>
      <c r="P180" s="5"/>
      <c r="R180" s="5"/>
      <c r="S180" s="5"/>
      <c r="U180" s="5"/>
    </row>
    <row r="181" spans="1:21" x14ac:dyDescent="0.25">
      <c r="A181" s="49">
        <f t="shared" si="14"/>
        <v>46200</v>
      </c>
      <c r="B181" s="42" t="str">
        <f t="shared" si="13"/>
        <v>jun/26</v>
      </c>
      <c r="C181" s="39">
        <v>650.35</v>
      </c>
      <c r="D181" s="40">
        <v>864.99999999999989</v>
      </c>
      <c r="E181" s="41"/>
      <c r="F181" s="39">
        <v>1500</v>
      </c>
      <c r="G181" s="40">
        <v>505.50000000000006</v>
      </c>
      <c r="H181" s="41"/>
      <c r="I181" s="39">
        <v>0</v>
      </c>
      <c r="J181" s="40">
        <v>0</v>
      </c>
      <c r="K181" s="41"/>
      <c r="L181" s="157">
        <v>182.7</v>
      </c>
      <c r="M181" s="41"/>
      <c r="O181" s="29"/>
      <c r="P181" s="5"/>
      <c r="R181" s="5"/>
      <c r="S181" s="5"/>
      <c r="U181" s="5"/>
    </row>
    <row r="182" spans="1:21" x14ac:dyDescent="0.25">
      <c r="A182" s="49">
        <f t="shared" si="14"/>
        <v>46201</v>
      </c>
      <c r="B182" s="42" t="str">
        <f t="shared" si="13"/>
        <v>jun/26</v>
      </c>
      <c r="C182" s="39">
        <v>650.35</v>
      </c>
      <c r="D182" s="40">
        <v>0</v>
      </c>
      <c r="E182" s="41"/>
      <c r="F182" s="39">
        <v>1588.5</v>
      </c>
      <c r="G182" s="40">
        <v>0</v>
      </c>
      <c r="H182" s="41"/>
      <c r="I182" s="39">
        <v>0</v>
      </c>
      <c r="J182" s="40">
        <v>0</v>
      </c>
      <c r="K182" s="41"/>
      <c r="L182" s="157">
        <v>0</v>
      </c>
      <c r="M182" s="41"/>
      <c r="O182" s="29"/>
      <c r="P182" s="5"/>
      <c r="R182" s="5"/>
      <c r="S182" s="5"/>
      <c r="U182" s="5"/>
    </row>
    <row r="183" spans="1:21" x14ac:dyDescent="0.25">
      <c r="A183" s="49">
        <f t="shared" si="14"/>
        <v>46202</v>
      </c>
      <c r="B183" s="42" t="str">
        <f t="shared" si="13"/>
        <v>jun/26</v>
      </c>
      <c r="C183" s="39">
        <v>1053.83</v>
      </c>
      <c r="D183" s="40">
        <v>288.12</v>
      </c>
      <c r="E183" s="41"/>
      <c r="F183" s="39">
        <v>1261</v>
      </c>
      <c r="G183" s="40">
        <v>882.62</v>
      </c>
      <c r="H183" s="41"/>
      <c r="I183" s="39">
        <v>0</v>
      </c>
      <c r="J183" s="40">
        <v>0</v>
      </c>
      <c r="K183" s="41"/>
      <c r="L183" s="157">
        <v>1644.3</v>
      </c>
      <c r="M183" s="41"/>
      <c r="O183" s="29"/>
      <c r="P183" s="5"/>
      <c r="R183" s="5"/>
      <c r="S183" s="5"/>
      <c r="U183" s="5"/>
    </row>
    <row r="184" spans="1:21" x14ac:dyDescent="0.25">
      <c r="A184" s="49">
        <f t="shared" si="14"/>
        <v>46203</v>
      </c>
      <c r="B184" s="42" t="str">
        <f t="shared" si="13"/>
        <v>jun/26</v>
      </c>
      <c r="C184" s="39">
        <v>1388.66</v>
      </c>
      <c r="D184" s="40">
        <v>753.4799999999999</v>
      </c>
      <c r="E184" s="41"/>
      <c r="F184" s="39">
        <v>1956.5</v>
      </c>
      <c r="G184" s="40">
        <v>2659.2200000000007</v>
      </c>
      <c r="H184" s="41"/>
      <c r="I184" s="39">
        <v>0</v>
      </c>
      <c r="J184" s="40">
        <v>0</v>
      </c>
      <c r="K184" s="41"/>
      <c r="L184" s="157">
        <v>2283.75</v>
      </c>
      <c r="M184" s="41"/>
      <c r="O184" s="29"/>
      <c r="P184" s="5"/>
      <c r="R184" s="5"/>
      <c r="S184" s="5"/>
      <c r="U184" s="5"/>
    </row>
    <row r="185" spans="1:21" x14ac:dyDescent="0.25">
      <c r="A185" s="49">
        <f t="shared" si="14"/>
        <v>46204</v>
      </c>
      <c r="B185" s="42" t="str">
        <f t="shared" si="13"/>
        <v>jul/26</v>
      </c>
      <c r="C185" s="39">
        <v>663.85</v>
      </c>
      <c r="D185" s="40">
        <v>1479.9</v>
      </c>
      <c r="E185" s="42"/>
      <c r="F185" s="39">
        <v>1969.5</v>
      </c>
      <c r="G185" s="40">
        <v>2491.3000000000006</v>
      </c>
      <c r="H185" s="42"/>
      <c r="I185" s="39">
        <v>0</v>
      </c>
      <c r="J185" s="40">
        <v>0</v>
      </c>
      <c r="K185" s="41"/>
      <c r="L185" s="157">
        <v>0</v>
      </c>
      <c r="M185" s="41"/>
      <c r="O185" s="29"/>
      <c r="P185" s="5"/>
      <c r="R185" s="5"/>
      <c r="S185" s="5"/>
      <c r="U185" s="5"/>
    </row>
    <row r="186" spans="1:21" x14ac:dyDescent="0.25">
      <c r="A186" s="49">
        <f t="shared" si="14"/>
        <v>46205</v>
      </c>
      <c r="B186" s="42" t="str">
        <f t="shared" si="13"/>
        <v>jul/26</v>
      </c>
      <c r="C186" s="39">
        <v>467.53</v>
      </c>
      <c r="D186" s="40">
        <v>1400.62</v>
      </c>
      <c r="E186" s="42"/>
      <c r="F186" s="39">
        <v>1840</v>
      </c>
      <c r="G186" s="40">
        <v>1815.38</v>
      </c>
      <c r="H186" s="42"/>
      <c r="I186" s="39">
        <v>0</v>
      </c>
      <c r="J186" s="40">
        <v>0</v>
      </c>
      <c r="K186" s="41"/>
      <c r="L186" s="157">
        <v>913.5</v>
      </c>
      <c r="M186" s="41"/>
      <c r="O186" s="29"/>
      <c r="P186" s="5"/>
      <c r="R186" s="5"/>
      <c r="S186" s="5"/>
      <c r="U186" s="5"/>
    </row>
    <row r="187" spans="1:21" x14ac:dyDescent="0.25">
      <c r="A187" s="49">
        <f t="shared" si="14"/>
        <v>46206</v>
      </c>
      <c r="B187" s="42" t="str">
        <f t="shared" si="13"/>
        <v>jul/26</v>
      </c>
      <c r="C187" s="39">
        <v>1043.82</v>
      </c>
      <c r="D187" s="40">
        <v>642.34</v>
      </c>
      <c r="E187" s="161"/>
      <c r="F187" s="39">
        <v>1335</v>
      </c>
      <c r="G187" s="40">
        <v>1511.8199999999995</v>
      </c>
      <c r="H187" s="161"/>
      <c r="I187" s="39">
        <v>0</v>
      </c>
      <c r="J187" s="40">
        <v>0</v>
      </c>
      <c r="K187" s="41"/>
      <c r="L187" s="157">
        <v>2659.2999999999997</v>
      </c>
      <c r="M187" s="41"/>
      <c r="O187" s="29"/>
      <c r="P187" s="5"/>
      <c r="R187" s="5"/>
      <c r="S187" s="5"/>
      <c r="U187" s="5"/>
    </row>
    <row r="188" spans="1:21" x14ac:dyDescent="0.25">
      <c r="A188" s="49">
        <f t="shared" si="14"/>
        <v>46207</v>
      </c>
      <c r="B188" s="42" t="str">
        <f t="shared" si="13"/>
        <v>jul/26</v>
      </c>
      <c r="C188" s="39">
        <v>581.97</v>
      </c>
      <c r="D188" s="40">
        <v>1015.2200000000001</v>
      </c>
      <c r="E188" s="161"/>
      <c r="F188" s="39">
        <v>688.5</v>
      </c>
      <c r="G188" s="40">
        <v>1341.2400000000002</v>
      </c>
      <c r="H188" s="161"/>
      <c r="I188" s="39">
        <v>0</v>
      </c>
      <c r="J188" s="40">
        <v>0</v>
      </c>
      <c r="K188" s="41"/>
      <c r="L188" s="157">
        <v>2415.6999999999998</v>
      </c>
      <c r="M188" s="41"/>
      <c r="O188" s="29"/>
      <c r="P188" s="5"/>
      <c r="R188" s="5"/>
      <c r="S188" s="5"/>
      <c r="U188" s="5"/>
    </row>
    <row r="189" spans="1:21" x14ac:dyDescent="0.25">
      <c r="A189" s="49">
        <f t="shared" si="14"/>
        <v>46208</v>
      </c>
      <c r="B189" s="42" t="str">
        <f t="shared" si="13"/>
        <v>jul/26</v>
      </c>
      <c r="C189" s="39">
        <v>0</v>
      </c>
      <c r="D189" s="40">
        <v>0</v>
      </c>
      <c r="E189" s="161"/>
      <c r="F189" s="39">
        <v>0</v>
      </c>
      <c r="G189" s="40">
        <v>0</v>
      </c>
      <c r="H189" s="161"/>
      <c r="I189" s="39">
        <v>0</v>
      </c>
      <c r="J189" s="40">
        <v>0</v>
      </c>
      <c r="K189" s="41"/>
      <c r="L189" s="157">
        <v>0</v>
      </c>
      <c r="M189" s="41"/>
      <c r="O189" s="29"/>
      <c r="P189" s="5"/>
      <c r="R189" s="5"/>
      <c r="S189" s="5"/>
      <c r="U189" s="5"/>
    </row>
    <row r="190" spans="1:21" x14ac:dyDescent="0.25">
      <c r="A190" s="49">
        <f t="shared" si="14"/>
        <v>46209</v>
      </c>
      <c r="B190" s="42" t="str">
        <f t="shared" si="13"/>
        <v>jul/26</v>
      </c>
      <c r="C190" s="39">
        <v>961.95</v>
      </c>
      <c r="D190" s="40">
        <v>724.4</v>
      </c>
      <c r="E190" s="161"/>
      <c r="F190" s="39">
        <v>2070</v>
      </c>
      <c r="G190" s="40">
        <v>1663.6599999999999</v>
      </c>
      <c r="H190" s="161"/>
      <c r="I190" s="39">
        <v>0</v>
      </c>
      <c r="J190" s="40">
        <v>0</v>
      </c>
      <c r="K190" s="41"/>
      <c r="L190" s="157">
        <v>3775.7999999999997</v>
      </c>
      <c r="M190" s="41"/>
      <c r="O190" s="29"/>
      <c r="P190" s="5"/>
      <c r="R190" s="5"/>
      <c r="S190" s="5"/>
      <c r="U190" s="5"/>
    </row>
    <row r="191" spans="1:21" x14ac:dyDescent="0.25">
      <c r="A191" s="49">
        <f t="shared" si="14"/>
        <v>46210</v>
      </c>
      <c r="B191" s="42" t="str">
        <f t="shared" si="13"/>
        <v>jul/26</v>
      </c>
      <c r="C191" s="39">
        <v>819.17</v>
      </c>
      <c r="D191" s="40">
        <v>578.16</v>
      </c>
      <c r="E191" s="161"/>
      <c r="F191" s="39">
        <v>1870</v>
      </c>
      <c r="G191" s="40">
        <v>1485.5999999999997</v>
      </c>
      <c r="H191" s="161"/>
      <c r="I191" s="39">
        <v>0</v>
      </c>
      <c r="J191" s="40">
        <v>0</v>
      </c>
      <c r="K191" s="41"/>
      <c r="L191" s="157">
        <v>1360.1</v>
      </c>
      <c r="M191" s="41"/>
      <c r="O191" s="29"/>
      <c r="P191" s="5"/>
      <c r="R191" s="5"/>
      <c r="S191" s="5"/>
      <c r="U191" s="5"/>
    </row>
    <row r="192" spans="1:21" x14ac:dyDescent="0.25">
      <c r="A192" s="49">
        <f t="shared" si="14"/>
        <v>46211</v>
      </c>
      <c r="B192" s="42" t="str">
        <f t="shared" si="13"/>
        <v>jul/26</v>
      </c>
      <c r="C192" s="39">
        <v>804.45</v>
      </c>
      <c r="D192" s="40">
        <v>924.6</v>
      </c>
      <c r="E192" s="161"/>
      <c r="F192" s="39">
        <v>2319.2469999999998</v>
      </c>
      <c r="G192" s="40">
        <v>2119.02</v>
      </c>
      <c r="H192" s="161"/>
      <c r="I192" s="39">
        <v>0</v>
      </c>
      <c r="J192" s="40">
        <v>0</v>
      </c>
      <c r="K192" s="41"/>
      <c r="L192" s="157">
        <v>2679.6</v>
      </c>
      <c r="M192" s="41"/>
      <c r="O192" s="29"/>
      <c r="P192" s="5"/>
      <c r="R192" s="5"/>
      <c r="S192" s="5"/>
      <c r="U192" s="5"/>
    </row>
    <row r="193" spans="1:21" x14ac:dyDescent="0.25">
      <c r="A193" s="49">
        <f t="shared" si="14"/>
        <v>46212</v>
      </c>
      <c r="B193" s="42" t="str">
        <f t="shared" si="13"/>
        <v>jul/26</v>
      </c>
      <c r="C193" s="39">
        <v>966.37</v>
      </c>
      <c r="D193" s="40">
        <v>926.1</v>
      </c>
      <c r="E193" s="161"/>
      <c r="F193" s="39">
        <v>1987.12</v>
      </c>
      <c r="G193" s="40">
        <v>2080.16</v>
      </c>
      <c r="H193" s="161"/>
      <c r="I193" s="39">
        <v>0</v>
      </c>
      <c r="J193" s="40">
        <v>0</v>
      </c>
      <c r="K193" s="41"/>
      <c r="L193" s="157">
        <v>2212.6999999999998</v>
      </c>
      <c r="M193" s="41"/>
      <c r="O193" s="29"/>
      <c r="P193" s="5"/>
      <c r="R193" s="5"/>
      <c r="S193" s="5"/>
      <c r="U193" s="5"/>
    </row>
    <row r="194" spans="1:21" x14ac:dyDescent="0.25">
      <c r="A194" s="49">
        <f t="shared" si="14"/>
        <v>46213</v>
      </c>
      <c r="B194" s="42" t="str">
        <f t="shared" si="13"/>
        <v>jul/26</v>
      </c>
      <c r="C194" s="39">
        <v>705.64</v>
      </c>
      <c r="D194" s="40">
        <v>683.52</v>
      </c>
      <c r="E194" s="161"/>
      <c r="F194" s="39">
        <v>1902.18</v>
      </c>
      <c r="G194" s="40">
        <v>1774.6399999999996</v>
      </c>
      <c r="H194" s="161"/>
      <c r="I194" s="39">
        <v>0</v>
      </c>
      <c r="J194" s="40">
        <v>0</v>
      </c>
      <c r="K194" s="41"/>
      <c r="L194" s="157">
        <v>3349.5</v>
      </c>
      <c r="M194" s="41"/>
      <c r="O194" s="29"/>
      <c r="P194" s="5"/>
      <c r="R194" s="5"/>
      <c r="S194" s="5"/>
      <c r="U194" s="5"/>
    </row>
    <row r="195" spans="1:21" x14ac:dyDescent="0.25">
      <c r="A195" s="49">
        <f t="shared" si="14"/>
        <v>46214</v>
      </c>
      <c r="B195" s="42" t="str">
        <f t="shared" si="13"/>
        <v>jul/26</v>
      </c>
      <c r="C195" s="39">
        <v>797.43</v>
      </c>
      <c r="D195" s="40">
        <v>792.66</v>
      </c>
      <c r="E195" s="161"/>
      <c r="F195" s="39">
        <v>271.39999999999998</v>
      </c>
      <c r="G195" s="40">
        <v>997.39999999999986</v>
      </c>
      <c r="H195" s="161"/>
      <c r="I195" s="39">
        <v>0</v>
      </c>
      <c r="J195" s="40">
        <v>0</v>
      </c>
      <c r="K195" s="41"/>
      <c r="L195" s="157">
        <v>3197.25</v>
      </c>
      <c r="M195" s="41"/>
      <c r="O195" s="29"/>
      <c r="P195" s="5"/>
      <c r="R195" s="5"/>
      <c r="S195" s="5"/>
      <c r="U195" s="5"/>
    </row>
    <row r="196" spans="1:21" x14ac:dyDescent="0.25">
      <c r="A196" s="49">
        <f t="shared" si="14"/>
        <v>46215</v>
      </c>
      <c r="B196" s="42" t="str">
        <f t="shared" si="13"/>
        <v>jul/26</v>
      </c>
      <c r="C196" s="39">
        <v>0</v>
      </c>
      <c r="D196" s="40">
        <v>0</v>
      </c>
      <c r="E196" s="161"/>
      <c r="F196" s="39">
        <v>0</v>
      </c>
      <c r="G196" s="40">
        <v>0</v>
      </c>
      <c r="H196" s="42"/>
      <c r="I196" s="39">
        <v>0</v>
      </c>
      <c r="J196" s="40">
        <v>0</v>
      </c>
      <c r="K196" s="41"/>
      <c r="L196" s="157">
        <v>0</v>
      </c>
      <c r="M196" s="41"/>
      <c r="O196" s="29"/>
      <c r="P196" s="5"/>
      <c r="R196" s="5"/>
      <c r="S196" s="5"/>
      <c r="U196" s="5"/>
    </row>
    <row r="197" spans="1:21" x14ac:dyDescent="0.25">
      <c r="A197" s="49">
        <f t="shared" si="14"/>
        <v>46216</v>
      </c>
      <c r="B197" s="42" t="str">
        <f t="shared" ref="B197:B260" si="15">TEXT(A197,"MMM/AA")</f>
        <v>jul/26</v>
      </c>
      <c r="C197" s="39">
        <v>0</v>
      </c>
      <c r="D197" s="40">
        <v>261.66000000000003</v>
      </c>
      <c r="E197" s="161"/>
      <c r="F197" s="39">
        <v>2478</v>
      </c>
      <c r="G197" s="40">
        <v>1813.3399999999997</v>
      </c>
      <c r="H197" s="42"/>
      <c r="I197" s="39">
        <v>0</v>
      </c>
      <c r="J197" s="40">
        <v>0</v>
      </c>
      <c r="K197" s="5"/>
      <c r="L197" s="157">
        <v>974.4</v>
      </c>
      <c r="M197" s="41"/>
      <c r="O197" s="29"/>
      <c r="P197" s="5"/>
      <c r="R197" s="5"/>
      <c r="S197" s="5"/>
      <c r="U197" s="5"/>
    </row>
    <row r="198" spans="1:21" x14ac:dyDescent="0.25">
      <c r="A198" s="49">
        <f t="shared" si="14"/>
        <v>46217</v>
      </c>
      <c r="B198" s="42" t="str">
        <f t="shared" si="15"/>
        <v>jul/26</v>
      </c>
      <c r="C198" s="39">
        <v>441.6</v>
      </c>
      <c r="D198" s="40">
        <v>39.299999999999997</v>
      </c>
      <c r="E198" s="42"/>
      <c r="F198" s="39">
        <v>2208</v>
      </c>
      <c r="G198" s="40">
        <v>2036.8200000000002</v>
      </c>
      <c r="H198" s="42"/>
      <c r="I198" s="39">
        <v>0</v>
      </c>
      <c r="J198" s="40">
        <v>0</v>
      </c>
      <c r="K198" s="5"/>
      <c r="L198" s="157">
        <v>4750.2</v>
      </c>
      <c r="M198" s="41"/>
      <c r="O198" s="29"/>
      <c r="P198" s="5"/>
      <c r="R198" s="5"/>
      <c r="S198" s="5"/>
      <c r="U198" s="5"/>
    </row>
    <row r="199" spans="1:21" x14ac:dyDescent="0.25">
      <c r="A199" s="49">
        <f t="shared" si="14"/>
        <v>46218</v>
      </c>
      <c r="B199" s="42" t="str">
        <f t="shared" si="15"/>
        <v>jul/26</v>
      </c>
      <c r="C199" s="39">
        <v>473.98</v>
      </c>
      <c r="D199" s="40">
        <v>222.86</v>
      </c>
      <c r="E199" s="42"/>
      <c r="F199" s="39">
        <v>1471.5</v>
      </c>
      <c r="G199" s="40">
        <v>1441.8799999999999</v>
      </c>
      <c r="H199" s="42"/>
      <c r="I199" s="39">
        <v>0</v>
      </c>
      <c r="J199" s="40">
        <v>0</v>
      </c>
      <c r="K199" s="4"/>
      <c r="L199" s="157">
        <v>1948.8000000000002</v>
      </c>
      <c r="M199" s="41"/>
      <c r="O199" s="29"/>
      <c r="P199" s="5"/>
      <c r="R199" s="5"/>
      <c r="S199" s="5"/>
      <c r="U199" s="5"/>
    </row>
    <row r="200" spans="1:21" x14ac:dyDescent="0.25">
      <c r="A200" s="49">
        <f t="shared" si="14"/>
        <v>46219</v>
      </c>
      <c r="B200" s="42" t="str">
        <f t="shared" si="15"/>
        <v>jul/26</v>
      </c>
      <c r="C200" s="39">
        <v>801.5</v>
      </c>
      <c r="D200" s="40">
        <v>195.11999999999998</v>
      </c>
      <c r="E200" s="42"/>
      <c r="F200" s="39">
        <v>1912.95</v>
      </c>
      <c r="G200" s="40">
        <v>1601.08</v>
      </c>
      <c r="H200" s="42"/>
      <c r="I200" s="39">
        <v>0</v>
      </c>
      <c r="J200" s="40">
        <v>0</v>
      </c>
      <c r="K200" s="4"/>
      <c r="L200" s="157">
        <v>5744.9</v>
      </c>
      <c r="M200" s="41"/>
      <c r="O200" s="29"/>
      <c r="P200" s="5"/>
      <c r="R200" s="5"/>
      <c r="S200" s="5"/>
      <c r="U200" s="5"/>
    </row>
    <row r="201" spans="1:21" x14ac:dyDescent="0.25">
      <c r="A201" s="49">
        <f t="shared" si="14"/>
        <v>46220</v>
      </c>
      <c r="B201" s="42" t="str">
        <f t="shared" si="15"/>
        <v>jul/26</v>
      </c>
      <c r="C201" s="39">
        <v>651.36</v>
      </c>
      <c r="D201" s="40">
        <v>427.96000000000004</v>
      </c>
      <c r="E201" s="42"/>
      <c r="F201" s="39">
        <v>1941.06</v>
      </c>
      <c r="G201" s="40">
        <v>1523.38</v>
      </c>
      <c r="H201" s="42"/>
      <c r="I201" s="39">
        <v>0</v>
      </c>
      <c r="J201" s="40">
        <v>0</v>
      </c>
      <c r="K201" s="4"/>
      <c r="L201" s="157">
        <v>2375.1</v>
      </c>
      <c r="M201" s="41"/>
      <c r="O201" s="29"/>
      <c r="P201" s="5"/>
      <c r="R201" s="5"/>
      <c r="S201" s="5"/>
      <c r="U201" s="5"/>
    </row>
    <row r="202" spans="1:21" x14ac:dyDescent="0.25">
      <c r="A202" s="49">
        <f t="shared" si="14"/>
        <v>46221</v>
      </c>
      <c r="B202" s="42" t="str">
        <f t="shared" si="15"/>
        <v>jul/26</v>
      </c>
      <c r="C202" s="39">
        <v>549.79</v>
      </c>
      <c r="D202" s="40">
        <v>304.68</v>
      </c>
      <c r="E202" s="42"/>
      <c r="F202" s="39">
        <v>1260.5899999999999</v>
      </c>
      <c r="G202" s="40">
        <v>903.92</v>
      </c>
      <c r="H202" s="42"/>
      <c r="I202" s="39">
        <v>0</v>
      </c>
      <c r="J202" s="40">
        <v>0</v>
      </c>
      <c r="K202" s="4"/>
      <c r="L202" s="157">
        <v>3197.25</v>
      </c>
      <c r="M202" s="41"/>
      <c r="O202" s="29"/>
      <c r="P202" s="5"/>
      <c r="R202" s="5"/>
      <c r="S202" s="5"/>
      <c r="U202" s="5"/>
    </row>
    <row r="203" spans="1:21" x14ac:dyDescent="0.25">
      <c r="A203" s="49">
        <f t="shared" si="14"/>
        <v>46222</v>
      </c>
      <c r="B203" s="42" t="str">
        <f t="shared" si="15"/>
        <v>jul/26</v>
      </c>
      <c r="C203" s="39">
        <v>0</v>
      </c>
      <c r="D203" s="40">
        <v>0</v>
      </c>
      <c r="E203" s="42"/>
      <c r="F203" s="39">
        <v>0</v>
      </c>
      <c r="G203" s="40">
        <v>0</v>
      </c>
      <c r="H203" s="42"/>
      <c r="I203" s="39">
        <v>0</v>
      </c>
      <c r="J203" s="40">
        <v>0</v>
      </c>
      <c r="K203" s="4"/>
      <c r="L203" s="157">
        <v>0</v>
      </c>
      <c r="M203" s="41"/>
      <c r="O203" s="29"/>
      <c r="P203" s="5"/>
      <c r="R203" s="5"/>
      <c r="S203" s="5"/>
      <c r="U203" s="5"/>
    </row>
    <row r="204" spans="1:21" x14ac:dyDescent="0.25">
      <c r="A204" s="49">
        <f t="shared" si="14"/>
        <v>46223</v>
      </c>
      <c r="B204" s="42" t="str">
        <f t="shared" si="15"/>
        <v>jul/26</v>
      </c>
      <c r="C204" s="39">
        <v>482.08</v>
      </c>
      <c r="D204" s="40">
        <v>448.38</v>
      </c>
      <c r="E204" s="42"/>
      <c r="F204" s="39">
        <v>1754.4</v>
      </c>
      <c r="G204" s="40">
        <v>1711.4599999999994</v>
      </c>
      <c r="H204" s="42"/>
      <c r="I204" s="39">
        <v>0</v>
      </c>
      <c r="J204" s="40">
        <v>0</v>
      </c>
      <c r="K204" s="4"/>
      <c r="L204" s="157">
        <v>3217.55</v>
      </c>
      <c r="M204" s="41"/>
      <c r="O204" s="29"/>
      <c r="P204" s="5"/>
      <c r="R204" s="5"/>
      <c r="S204" s="5"/>
      <c r="U204" s="5"/>
    </row>
    <row r="205" spans="1:21" x14ac:dyDescent="0.25">
      <c r="A205" s="49">
        <f t="shared" si="14"/>
        <v>46224</v>
      </c>
      <c r="B205" s="42" t="str">
        <f t="shared" si="15"/>
        <v>jul/26</v>
      </c>
      <c r="C205" s="39">
        <v>450.48</v>
      </c>
      <c r="D205" s="40">
        <v>555.07999999999993</v>
      </c>
      <c r="E205" s="42"/>
      <c r="F205" s="39">
        <v>1621.77</v>
      </c>
      <c r="G205" s="40">
        <v>2256.3199999999993</v>
      </c>
      <c r="H205" s="42"/>
      <c r="I205" s="39">
        <v>0</v>
      </c>
      <c r="J205" s="40">
        <v>0</v>
      </c>
      <c r="K205" s="4"/>
      <c r="L205" s="157">
        <v>3572.8</v>
      </c>
      <c r="M205" s="41"/>
      <c r="O205" s="29"/>
      <c r="P205" s="5"/>
      <c r="R205" s="5"/>
      <c r="S205" s="5"/>
      <c r="U205" s="5"/>
    </row>
    <row r="206" spans="1:21" x14ac:dyDescent="0.25">
      <c r="A206" s="49">
        <f t="shared" si="14"/>
        <v>46225</v>
      </c>
      <c r="B206" s="42" t="str">
        <f t="shared" si="15"/>
        <v>jul/26</v>
      </c>
      <c r="C206" s="39">
        <v>460.56</v>
      </c>
      <c r="D206" s="40">
        <v>493.09999999999997</v>
      </c>
      <c r="E206" s="42"/>
      <c r="F206" s="39">
        <v>1750.21</v>
      </c>
      <c r="G206" s="40">
        <v>2207.2799999999997</v>
      </c>
      <c r="H206" s="42"/>
      <c r="I206" s="39">
        <v>0</v>
      </c>
      <c r="J206" s="40">
        <v>0</v>
      </c>
      <c r="K206" s="4"/>
      <c r="L206" s="157">
        <v>3379.95</v>
      </c>
      <c r="M206" s="41"/>
      <c r="O206" s="29"/>
      <c r="P206" s="5"/>
      <c r="R206" s="5"/>
      <c r="S206" s="5"/>
      <c r="U206" s="5"/>
    </row>
    <row r="207" spans="1:21" x14ac:dyDescent="0.25">
      <c r="A207" s="49">
        <f t="shared" si="14"/>
        <v>46226</v>
      </c>
      <c r="B207" s="42" t="str">
        <f t="shared" si="15"/>
        <v>jul/26</v>
      </c>
      <c r="C207" s="39">
        <v>1298.8</v>
      </c>
      <c r="D207" s="40">
        <v>917.59999999999991</v>
      </c>
      <c r="E207" s="42"/>
      <c r="F207" s="39">
        <v>1522.45</v>
      </c>
      <c r="G207" s="40">
        <v>1967.2599999999995</v>
      </c>
      <c r="H207" s="42"/>
      <c r="I207" s="39">
        <v>0</v>
      </c>
      <c r="J207" s="40">
        <v>0</v>
      </c>
      <c r="K207" s="4"/>
      <c r="L207" s="157">
        <v>4394.95</v>
      </c>
      <c r="M207" s="41"/>
      <c r="O207" s="29"/>
      <c r="P207" s="5"/>
      <c r="R207" s="5"/>
      <c r="S207" s="5"/>
      <c r="U207" s="5"/>
    </row>
    <row r="208" spans="1:21" x14ac:dyDescent="0.25">
      <c r="A208" s="49">
        <f t="shared" si="14"/>
        <v>46227</v>
      </c>
      <c r="B208" s="42" t="str">
        <f t="shared" si="15"/>
        <v>jul/26</v>
      </c>
      <c r="C208" s="39">
        <v>698.37</v>
      </c>
      <c r="D208" s="40">
        <v>682.90000000000009</v>
      </c>
      <c r="E208" s="42"/>
      <c r="F208" s="39">
        <v>1932.19</v>
      </c>
      <c r="G208" s="40">
        <v>1497.3199999999997</v>
      </c>
      <c r="H208" s="42"/>
      <c r="I208" s="39">
        <v>0</v>
      </c>
      <c r="J208" s="40">
        <v>0</v>
      </c>
      <c r="K208" s="4"/>
      <c r="L208" s="157">
        <v>3116.05</v>
      </c>
      <c r="M208" s="41"/>
      <c r="O208" s="29"/>
      <c r="P208" s="5"/>
      <c r="R208" s="5"/>
      <c r="S208" s="5"/>
      <c r="U208" s="5"/>
    </row>
    <row r="209" spans="1:21" x14ac:dyDescent="0.25">
      <c r="A209" s="49">
        <f>A208+1</f>
        <v>46228</v>
      </c>
      <c r="B209" s="42" t="str">
        <f t="shared" si="15"/>
        <v>jul/26</v>
      </c>
      <c r="C209" s="39">
        <v>540.70000000000005</v>
      </c>
      <c r="D209" s="40">
        <v>203.14</v>
      </c>
      <c r="E209" s="42"/>
      <c r="F209" s="39">
        <v>880.18</v>
      </c>
      <c r="G209" s="40">
        <v>102.42</v>
      </c>
      <c r="H209" s="42"/>
      <c r="I209" s="39">
        <v>0</v>
      </c>
      <c r="J209" s="40">
        <v>0</v>
      </c>
      <c r="K209" s="4"/>
      <c r="L209" s="157">
        <v>2192.4</v>
      </c>
      <c r="M209" s="41"/>
      <c r="O209" s="29"/>
      <c r="P209" s="5"/>
      <c r="R209" s="5"/>
      <c r="S209" s="5"/>
      <c r="U209" s="5"/>
    </row>
    <row r="210" spans="1:21" x14ac:dyDescent="0.25">
      <c r="A210" s="49">
        <f t="shared" ref="A210:A273" si="16">A209+1</f>
        <v>46229</v>
      </c>
      <c r="B210" s="42" t="str">
        <f t="shared" si="15"/>
        <v>jul/26</v>
      </c>
      <c r="C210" s="39">
        <v>0</v>
      </c>
      <c r="D210" s="40">
        <v>0</v>
      </c>
      <c r="E210" s="42"/>
      <c r="F210" s="39">
        <v>0</v>
      </c>
      <c r="G210" s="40">
        <v>0</v>
      </c>
      <c r="H210" s="42"/>
      <c r="I210" s="39">
        <v>0</v>
      </c>
      <c r="J210" s="40">
        <v>0</v>
      </c>
      <c r="K210" s="4"/>
      <c r="L210" s="157">
        <v>0</v>
      </c>
      <c r="M210" s="41"/>
      <c r="O210" s="29"/>
      <c r="P210" s="5"/>
      <c r="R210" s="5"/>
      <c r="S210" s="5"/>
      <c r="U210" s="5"/>
    </row>
    <row r="211" spans="1:21" x14ac:dyDescent="0.25">
      <c r="A211" s="49">
        <f t="shared" si="16"/>
        <v>46230</v>
      </c>
      <c r="B211" s="42" t="str">
        <f t="shared" si="15"/>
        <v>jul/26</v>
      </c>
      <c r="C211" s="39">
        <v>817.86</v>
      </c>
      <c r="D211" s="40">
        <v>785.2800000000002</v>
      </c>
      <c r="E211" s="42"/>
      <c r="F211" s="39">
        <v>1224.96</v>
      </c>
      <c r="G211" s="40">
        <v>2128.8000000000002</v>
      </c>
      <c r="H211" s="42"/>
      <c r="I211" s="39">
        <v>0</v>
      </c>
      <c r="J211" s="40">
        <v>0</v>
      </c>
      <c r="K211" s="4"/>
      <c r="L211" s="157">
        <v>30329.5275</v>
      </c>
      <c r="M211" s="41"/>
      <c r="O211" s="29"/>
      <c r="P211" s="5"/>
      <c r="R211" s="5"/>
      <c r="S211" s="5"/>
      <c r="U211" s="5"/>
    </row>
    <row r="212" spans="1:21" x14ac:dyDescent="0.25">
      <c r="A212" s="49">
        <f t="shared" si="16"/>
        <v>46231</v>
      </c>
      <c r="B212" s="42" t="str">
        <f t="shared" si="15"/>
        <v>jul/26</v>
      </c>
      <c r="C212" s="39">
        <v>836.36</v>
      </c>
      <c r="D212" s="40">
        <v>995.50000000000011</v>
      </c>
      <c r="E212" s="42"/>
      <c r="F212" s="39">
        <v>1830.68</v>
      </c>
      <c r="G212" s="40">
        <v>1436.44</v>
      </c>
      <c r="H212" s="42"/>
      <c r="I212" s="39">
        <v>0</v>
      </c>
      <c r="J212" s="40">
        <v>0</v>
      </c>
      <c r="K212" s="4"/>
      <c r="L212" s="157">
        <v>3542.35</v>
      </c>
      <c r="M212" s="41"/>
      <c r="O212" s="29"/>
      <c r="P212" s="159"/>
      <c r="Q212" s="29"/>
      <c r="R212" s="5"/>
      <c r="S212" s="5"/>
      <c r="U212" s="5"/>
    </row>
    <row r="213" spans="1:21" x14ac:dyDescent="0.25">
      <c r="A213" s="49">
        <f t="shared" si="16"/>
        <v>46232</v>
      </c>
      <c r="B213" s="42" t="str">
        <f t="shared" si="15"/>
        <v>jul/26</v>
      </c>
      <c r="C213" s="39">
        <v>1058.8399999999999</v>
      </c>
      <c r="D213" s="40">
        <v>1248.2000000000003</v>
      </c>
      <c r="E213" s="42"/>
      <c r="F213" s="39">
        <v>1435.04</v>
      </c>
      <c r="G213" s="40">
        <v>1378.7800000000002</v>
      </c>
      <c r="H213" s="42"/>
      <c r="I213" s="39">
        <v>0</v>
      </c>
      <c r="J213" s="40">
        <v>0</v>
      </c>
      <c r="K213" s="4"/>
      <c r="L213" s="157">
        <v>4963.3500000000004</v>
      </c>
      <c r="M213" s="41"/>
      <c r="O213" s="29"/>
      <c r="P213" s="159"/>
      <c r="Q213" s="29"/>
      <c r="R213" s="5"/>
      <c r="S213" s="5"/>
      <c r="U213" s="5"/>
    </row>
    <row r="214" spans="1:21" x14ac:dyDescent="0.25">
      <c r="A214" s="49">
        <f t="shared" si="16"/>
        <v>46233</v>
      </c>
      <c r="B214" s="42" t="str">
        <f t="shared" si="15"/>
        <v>jul/26</v>
      </c>
      <c r="C214" s="39">
        <v>1244.0999999999999</v>
      </c>
      <c r="D214" s="40">
        <v>1075.0600000000002</v>
      </c>
      <c r="E214" s="42"/>
      <c r="F214" s="39">
        <v>1699.04</v>
      </c>
      <c r="G214" s="40">
        <v>1744.6999999999998</v>
      </c>
      <c r="H214" s="42"/>
      <c r="I214" s="39">
        <v>0</v>
      </c>
      <c r="J214" s="40">
        <v>0</v>
      </c>
      <c r="K214" s="4"/>
      <c r="L214" s="157">
        <v>3268.2999999999997</v>
      </c>
      <c r="M214" s="41"/>
      <c r="O214" s="29"/>
      <c r="P214" s="159"/>
      <c r="Q214" s="29"/>
      <c r="R214" s="5"/>
      <c r="S214" s="5"/>
      <c r="U214" s="5"/>
    </row>
    <row r="215" spans="1:21" x14ac:dyDescent="0.25">
      <c r="A215" s="49">
        <f t="shared" si="16"/>
        <v>46234</v>
      </c>
      <c r="B215" s="42" t="str">
        <f t="shared" si="15"/>
        <v>jul/26</v>
      </c>
      <c r="C215" s="39">
        <v>925.63</v>
      </c>
      <c r="D215" s="40">
        <v>982.62</v>
      </c>
      <c r="E215" s="42"/>
      <c r="F215" s="39">
        <v>1940.4</v>
      </c>
      <c r="G215" s="40">
        <v>1598.5200000000002</v>
      </c>
      <c r="H215" s="42"/>
      <c r="I215" s="39">
        <v>0</v>
      </c>
      <c r="J215" s="40">
        <v>0</v>
      </c>
      <c r="K215" s="4"/>
      <c r="L215" s="157">
        <v>3217.5499999999997</v>
      </c>
      <c r="M215" s="41"/>
      <c r="O215" s="29"/>
      <c r="P215" s="5"/>
      <c r="R215" s="5"/>
      <c r="S215" s="5"/>
      <c r="U215" s="5"/>
    </row>
    <row r="216" spans="1:21" x14ac:dyDescent="0.25">
      <c r="A216" s="49">
        <f t="shared" si="16"/>
        <v>46235</v>
      </c>
      <c r="B216" s="42" t="str">
        <f t="shared" si="15"/>
        <v>ago/26</v>
      </c>
      <c r="C216" s="39">
        <v>564.63</v>
      </c>
      <c r="D216" s="40">
        <v>572.43999999999994</v>
      </c>
      <c r="E216" s="42"/>
      <c r="F216" s="39">
        <v>1147.3699999999999</v>
      </c>
      <c r="G216" s="40">
        <v>773.12</v>
      </c>
      <c r="H216" s="42"/>
      <c r="I216" s="39">
        <v>0</v>
      </c>
      <c r="J216" s="40">
        <v>0</v>
      </c>
      <c r="K216" s="5"/>
      <c r="L216" s="157">
        <v>0</v>
      </c>
      <c r="M216" s="41"/>
      <c r="O216" s="29"/>
      <c r="P216" s="5"/>
      <c r="R216" s="5"/>
      <c r="S216" s="5"/>
      <c r="U216" s="5"/>
    </row>
    <row r="217" spans="1:21" x14ac:dyDescent="0.25">
      <c r="A217" s="49">
        <f t="shared" si="16"/>
        <v>46236</v>
      </c>
      <c r="B217" s="42" t="str">
        <f t="shared" si="15"/>
        <v>ago/26</v>
      </c>
      <c r="C217" s="39">
        <v>0</v>
      </c>
      <c r="D217" s="40">
        <v>0</v>
      </c>
      <c r="E217" s="42"/>
      <c r="F217" s="39">
        <v>0</v>
      </c>
      <c r="G217" s="40">
        <v>0</v>
      </c>
      <c r="H217" s="42"/>
      <c r="I217" s="39">
        <v>0</v>
      </c>
      <c r="J217" s="40">
        <v>0</v>
      </c>
      <c r="K217" s="5"/>
      <c r="L217" s="157">
        <v>0</v>
      </c>
      <c r="M217" s="41"/>
      <c r="O217" s="29"/>
      <c r="P217" s="5"/>
      <c r="R217" s="5"/>
      <c r="S217" s="5"/>
      <c r="U217" s="5"/>
    </row>
    <row r="218" spans="1:21" x14ac:dyDescent="0.25">
      <c r="A218" s="49">
        <f t="shared" si="16"/>
        <v>46237</v>
      </c>
      <c r="B218" s="42" t="str">
        <f t="shared" si="15"/>
        <v>ago/26</v>
      </c>
      <c r="C218" s="39">
        <v>437.43</v>
      </c>
      <c r="D218" s="40">
        <v>540.67999999999995</v>
      </c>
      <c r="E218" s="42"/>
      <c r="F218" s="39">
        <v>1778.08</v>
      </c>
      <c r="G218" s="40">
        <v>1380.9800000000002</v>
      </c>
      <c r="H218" s="42"/>
      <c r="I218" s="39">
        <v>0</v>
      </c>
      <c r="J218" s="40">
        <v>0</v>
      </c>
      <c r="K218" s="5"/>
      <c r="L218" s="157">
        <v>4800.95</v>
      </c>
      <c r="M218" s="41"/>
      <c r="O218" s="29"/>
      <c r="R218" s="5"/>
      <c r="S218" s="5"/>
      <c r="U218" s="5"/>
    </row>
    <row r="219" spans="1:21" x14ac:dyDescent="0.25">
      <c r="A219" s="49">
        <f t="shared" si="16"/>
        <v>46238</v>
      </c>
      <c r="B219" s="42" t="str">
        <f t="shared" si="15"/>
        <v>ago/26</v>
      </c>
      <c r="C219" s="39">
        <v>121.71</v>
      </c>
      <c r="D219" s="40">
        <v>1084.58</v>
      </c>
      <c r="E219" s="42"/>
      <c r="F219" s="39">
        <v>1934.99</v>
      </c>
      <c r="G219" s="40">
        <v>1937.0400000000006</v>
      </c>
      <c r="H219" s="42"/>
      <c r="I219" s="39">
        <v>0</v>
      </c>
      <c r="J219" s="40">
        <v>0</v>
      </c>
      <c r="K219" s="5"/>
      <c r="L219" s="157">
        <v>3045</v>
      </c>
      <c r="M219" s="41"/>
      <c r="O219" s="29"/>
      <c r="R219" s="5"/>
      <c r="S219" s="5"/>
      <c r="U219" s="5"/>
    </row>
    <row r="220" spans="1:21" x14ac:dyDescent="0.25">
      <c r="A220" s="49">
        <f t="shared" si="16"/>
        <v>46239</v>
      </c>
      <c r="B220" s="42" t="str">
        <f t="shared" si="15"/>
        <v>ago/26</v>
      </c>
      <c r="C220" s="39">
        <v>892.75</v>
      </c>
      <c r="D220" s="40">
        <v>1240.0799999999997</v>
      </c>
      <c r="E220" s="42"/>
      <c r="F220" s="39">
        <v>2039.25</v>
      </c>
      <c r="G220" s="40">
        <v>2164.66</v>
      </c>
      <c r="H220" s="42"/>
      <c r="I220" s="39">
        <v>0</v>
      </c>
      <c r="J220" s="40">
        <v>0</v>
      </c>
      <c r="K220" s="5"/>
      <c r="L220" s="157">
        <v>3572.7999999999997</v>
      </c>
      <c r="M220" s="41"/>
      <c r="O220" s="29"/>
      <c r="R220" s="5"/>
      <c r="S220" s="5"/>
      <c r="U220" s="5"/>
    </row>
    <row r="221" spans="1:21" x14ac:dyDescent="0.25">
      <c r="A221" s="49">
        <f t="shared" si="16"/>
        <v>46240</v>
      </c>
      <c r="B221" s="42" t="str">
        <f t="shared" si="15"/>
        <v>ago/26</v>
      </c>
      <c r="C221" s="39">
        <v>1403.8</v>
      </c>
      <c r="D221" s="40">
        <v>980.1</v>
      </c>
      <c r="E221" s="42"/>
      <c r="F221" s="39">
        <v>1775.07</v>
      </c>
      <c r="G221" s="40">
        <v>2018.0600000000002</v>
      </c>
      <c r="H221" s="42"/>
      <c r="I221" s="39">
        <v>0</v>
      </c>
      <c r="J221" s="40">
        <v>0</v>
      </c>
      <c r="K221" s="5"/>
      <c r="L221" s="157">
        <v>669.9</v>
      </c>
      <c r="M221" s="41"/>
      <c r="O221" s="29"/>
      <c r="P221" s="5"/>
      <c r="R221" s="5"/>
      <c r="S221" s="5"/>
      <c r="U221" s="5"/>
    </row>
    <row r="222" spans="1:21" x14ac:dyDescent="0.25">
      <c r="A222" s="49">
        <f t="shared" si="16"/>
        <v>46241</v>
      </c>
      <c r="B222" s="42" t="str">
        <f t="shared" si="15"/>
        <v>ago/26</v>
      </c>
      <c r="C222" s="39">
        <v>1033.5</v>
      </c>
      <c r="D222" s="40">
        <v>1171.7399999999998</v>
      </c>
      <c r="E222" s="42"/>
      <c r="F222" s="39">
        <v>1267.04</v>
      </c>
      <c r="G222" s="40">
        <v>1484.7999999999997</v>
      </c>
      <c r="H222" s="42"/>
      <c r="I222" s="39">
        <v>0</v>
      </c>
      <c r="J222" s="40">
        <v>0</v>
      </c>
      <c r="K222" s="5"/>
      <c r="L222" s="157">
        <v>9876.4</v>
      </c>
      <c r="M222" s="41"/>
      <c r="O222" s="29"/>
      <c r="P222" s="5"/>
      <c r="R222" s="5"/>
      <c r="S222" s="5"/>
      <c r="U222" s="5"/>
    </row>
    <row r="223" spans="1:21" x14ac:dyDescent="0.25">
      <c r="A223" s="49">
        <f t="shared" si="16"/>
        <v>46242</v>
      </c>
      <c r="B223" s="42" t="str">
        <f t="shared" si="15"/>
        <v>ago/26</v>
      </c>
      <c r="C223" s="39">
        <v>705.17</v>
      </c>
      <c r="D223" s="40">
        <v>1481.44</v>
      </c>
      <c r="E223" s="42"/>
      <c r="F223" s="39">
        <v>373.08</v>
      </c>
      <c r="G223" s="40">
        <v>1006.42</v>
      </c>
      <c r="H223" s="42"/>
      <c r="I223" s="39">
        <v>0</v>
      </c>
      <c r="J223" s="40">
        <v>0</v>
      </c>
      <c r="K223" s="5"/>
      <c r="L223" s="157">
        <v>507.5</v>
      </c>
      <c r="M223" s="41"/>
      <c r="O223" s="29"/>
      <c r="P223" s="5"/>
      <c r="R223" s="5"/>
      <c r="S223" s="5"/>
      <c r="U223" s="5"/>
    </row>
    <row r="224" spans="1:21" x14ac:dyDescent="0.25">
      <c r="A224" s="49">
        <f t="shared" si="16"/>
        <v>46243</v>
      </c>
      <c r="B224" s="42" t="str">
        <f t="shared" si="15"/>
        <v>ago/26</v>
      </c>
      <c r="C224" s="39">
        <v>0</v>
      </c>
      <c r="D224" s="40">
        <v>0</v>
      </c>
      <c r="E224" s="42"/>
      <c r="F224" s="39">
        <v>0</v>
      </c>
      <c r="G224" s="40">
        <v>0</v>
      </c>
      <c r="H224" s="42"/>
      <c r="I224" s="39">
        <v>0</v>
      </c>
      <c r="J224" s="40">
        <v>0</v>
      </c>
      <c r="K224" s="5"/>
      <c r="L224" s="157">
        <v>0</v>
      </c>
      <c r="M224" s="41"/>
      <c r="O224" s="29"/>
      <c r="P224" s="5"/>
      <c r="R224" s="5"/>
      <c r="S224" s="5"/>
      <c r="U224" s="5"/>
    </row>
    <row r="225" spans="1:21" x14ac:dyDescent="0.25">
      <c r="A225" s="49">
        <f t="shared" si="16"/>
        <v>46244</v>
      </c>
      <c r="B225" s="42" t="str">
        <f t="shared" si="15"/>
        <v>ago/26</v>
      </c>
      <c r="C225" s="39">
        <v>1168.75</v>
      </c>
      <c r="D225" s="40">
        <v>841.43999999999994</v>
      </c>
      <c r="E225" s="42"/>
      <c r="F225" s="39">
        <v>1288.3499999999999</v>
      </c>
      <c r="G225" s="40">
        <v>1525.8999999999999</v>
      </c>
      <c r="H225" s="42"/>
      <c r="I225" s="39">
        <v>0</v>
      </c>
      <c r="J225" s="40">
        <v>0</v>
      </c>
      <c r="K225" s="5"/>
      <c r="L225" s="157">
        <v>5440.4</v>
      </c>
      <c r="M225" s="41"/>
      <c r="O225" s="29"/>
      <c r="P225" s="5"/>
      <c r="R225" s="5"/>
      <c r="S225" s="5"/>
      <c r="U225" s="5"/>
    </row>
    <row r="226" spans="1:21" x14ac:dyDescent="0.25">
      <c r="A226" s="49">
        <f t="shared" si="16"/>
        <v>46245</v>
      </c>
      <c r="B226" s="42" t="str">
        <f t="shared" si="15"/>
        <v>ago/26</v>
      </c>
      <c r="C226" s="39">
        <v>1034.74</v>
      </c>
      <c r="D226" s="40">
        <v>664.3599999999999</v>
      </c>
      <c r="E226" s="42"/>
      <c r="F226" s="39">
        <v>2990.92</v>
      </c>
      <c r="G226" s="40">
        <v>2821.9199999999992</v>
      </c>
      <c r="H226" s="42"/>
      <c r="I226" s="39">
        <v>0</v>
      </c>
      <c r="J226" s="40">
        <v>0</v>
      </c>
      <c r="K226" s="5"/>
      <c r="L226" s="157">
        <v>872.9</v>
      </c>
      <c r="M226" s="41"/>
      <c r="O226" s="29"/>
      <c r="P226" s="5"/>
      <c r="R226" s="5"/>
      <c r="S226" s="5"/>
      <c r="U226" s="5"/>
    </row>
    <row r="227" spans="1:21" x14ac:dyDescent="0.25">
      <c r="A227" s="49">
        <f t="shared" si="16"/>
        <v>46246</v>
      </c>
      <c r="B227" s="42" t="str">
        <f t="shared" si="15"/>
        <v>ago/26</v>
      </c>
      <c r="C227" s="39">
        <v>767.13</v>
      </c>
      <c r="D227" s="40">
        <v>967.90000000000009</v>
      </c>
      <c r="E227" s="42"/>
      <c r="F227" s="39">
        <v>2490.7399999999998</v>
      </c>
      <c r="G227" s="40">
        <v>2626.5000000000009</v>
      </c>
      <c r="H227" s="42"/>
      <c r="I227" s="39">
        <v>0</v>
      </c>
      <c r="J227" s="40">
        <v>0</v>
      </c>
      <c r="K227" s="5"/>
      <c r="L227" s="157">
        <v>5866.7</v>
      </c>
      <c r="M227" s="41"/>
      <c r="O227" s="29"/>
      <c r="P227" s="5"/>
      <c r="R227" s="5"/>
      <c r="S227" s="5"/>
      <c r="U227" s="5"/>
    </row>
    <row r="228" spans="1:21" x14ac:dyDescent="0.25">
      <c r="A228" s="49">
        <f t="shared" si="16"/>
        <v>46247</v>
      </c>
      <c r="B228" s="42" t="str">
        <f t="shared" si="15"/>
        <v>ago/26</v>
      </c>
      <c r="C228" s="39">
        <v>1326.96</v>
      </c>
      <c r="D228" s="40">
        <v>879.36</v>
      </c>
      <c r="E228" s="42"/>
      <c r="F228" s="39">
        <v>2816.68</v>
      </c>
      <c r="G228" s="40">
        <v>2332.8000000000006</v>
      </c>
      <c r="H228" s="42"/>
      <c r="I228" s="39">
        <v>0</v>
      </c>
      <c r="J228" s="40">
        <v>0</v>
      </c>
      <c r="K228" s="5"/>
      <c r="L228" s="157">
        <v>1035.3</v>
      </c>
      <c r="M228" s="41"/>
      <c r="O228" s="29"/>
      <c r="P228" s="5"/>
      <c r="R228" s="5"/>
      <c r="S228" s="5"/>
      <c r="U228" s="5"/>
    </row>
    <row r="229" spans="1:21" x14ac:dyDescent="0.25">
      <c r="A229" s="49">
        <f t="shared" si="16"/>
        <v>46248</v>
      </c>
      <c r="B229" s="42" t="str">
        <f t="shared" si="15"/>
        <v>ago/26</v>
      </c>
      <c r="C229" s="39">
        <v>1114.3499999999999</v>
      </c>
      <c r="D229" s="40">
        <v>1058.28</v>
      </c>
      <c r="E229" s="42"/>
      <c r="F229" s="39">
        <v>2242.8000000000002</v>
      </c>
      <c r="G229" s="40">
        <v>2359.3599999999997</v>
      </c>
      <c r="H229" s="42"/>
      <c r="I229" s="39">
        <v>0</v>
      </c>
      <c r="J229" s="40">
        <v>0</v>
      </c>
      <c r="K229" s="5"/>
      <c r="L229" s="157">
        <v>6191.5</v>
      </c>
      <c r="M229" s="41"/>
      <c r="O229" s="29"/>
      <c r="P229" s="5"/>
      <c r="R229" s="5"/>
      <c r="S229" s="5"/>
      <c r="U229" s="5"/>
    </row>
    <row r="230" spans="1:21" x14ac:dyDescent="0.25">
      <c r="A230" s="49">
        <f t="shared" si="16"/>
        <v>46249</v>
      </c>
      <c r="B230" s="42" t="str">
        <f t="shared" si="15"/>
        <v>ago/26</v>
      </c>
      <c r="C230" s="39">
        <v>340.94</v>
      </c>
      <c r="D230" s="40">
        <v>656.56000000000006</v>
      </c>
      <c r="E230" s="42"/>
      <c r="F230" s="39">
        <v>1790.32</v>
      </c>
      <c r="G230" s="40">
        <v>1084.3799999999999</v>
      </c>
      <c r="H230" s="42"/>
      <c r="I230" s="39">
        <v>0</v>
      </c>
      <c r="J230" s="40">
        <v>0</v>
      </c>
      <c r="K230" s="5"/>
      <c r="L230" s="157">
        <v>0</v>
      </c>
      <c r="M230" s="41"/>
      <c r="O230" s="29"/>
      <c r="P230" s="5"/>
      <c r="R230" s="5"/>
      <c r="S230" s="5"/>
      <c r="U230" s="5"/>
    </row>
    <row r="231" spans="1:21" x14ac:dyDescent="0.25">
      <c r="A231" s="49">
        <f t="shared" si="16"/>
        <v>46250</v>
      </c>
      <c r="B231" s="42" t="str">
        <f t="shared" si="15"/>
        <v>ago/26</v>
      </c>
      <c r="C231" s="39">
        <v>363.38</v>
      </c>
      <c r="D231" s="40">
        <v>0</v>
      </c>
      <c r="E231" s="42"/>
      <c r="F231" s="39">
        <v>0</v>
      </c>
      <c r="G231" s="40">
        <v>0</v>
      </c>
      <c r="H231" s="42"/>
      <c r="I231" s="39">
        <v>0</v>
      </c>
      <c r="J231" s="40">
        <v>0</v>
      </c>
      <c r="K231" s="5"/>
      <c r="L231" s="157">
        <v>0</v>
      </c>
      <c r="M231" s="41"/>
      <c r="O231" s="29"/>
      <c r="P231" s="5"/>
      <c r="R231" s="5"/>
      <c r="S231" s="5"/>
      <c r="U231" s="5"/>
    </row>
    <row r="232" spans="1:21" x14ac:dyDescent="0.25">
      <c r="A232" s="49">
        <f t="shared" si="16"/>
        <v>46251</v>
      </c>
      <c r="B232" s="42" t="str">
        <f t="shared" si="15"/>
        <v>ago/26</v>
      </c>
      <c r="C232" s="39">
        <v>1319.51</v>
      </c>
      <c r="D232" s="40">
        <v>825.2199999999998</v>
      </c>
      <c r="E232" s="42"/>
      <c r="F232" s="39">
        <v>2243.0700000000002</v>
      </c>
      <c r="G232" s="40">
        <v>1573.1399999999999</v>
      </c>
      <c r="H232" s="42"/>
      <c r="I232" s="39">
        <v>0</v>
      </c>
      <c r="J232" s="40">
        <v>0</v>
      </c>
      <c r="K232" s="5"/>
      <c r="L232" s="157">
        <v>4378.95</v>
      </c>
      <c r="M232" s="41"/>
      <c r="O232" s="29"/>
      <c r="P232" s="5"/>
      <c r="R232" s="5"/>
      <c r="S232" s="5"/>
      <c r="U232" s="5"/>
    </row>
    <row r="233" spans="1:21" x14ac:dyDescent="0.25">
      <c r="A233" s="49">
        <f t="shared" si="16"/>
        <v>46252</v>
      </c>
      <c r="B233" s="42" t="str">
        <f t="shared" si="15"/>
        <v>ago/26</v>
      </c>
      <c r="C233" s="39">
        <v>1160.67</v>
      </c>
      <c r="D233" s="40">
        <v>1125.4599999999998</v>
      </c>
      <c r="E233" s="42"/>
      <c r="F233" s="39">
        <v>2091.39</v>
      </c>
      <c r="G233" s="40">
        <v>1986.4399999999994</v>
      </c>
      <c r="H233" s="42"/>
      <c r="I233" s="39">
        <v>0</v>
      </c>
      <c r="J233" s="40">
        <v>0</v>
      </c>
      <c r="K233" s="5"/>
      <c r="L233" s="157">
        <v>406</v>
      </c>
      <c r="M233" s="41"/>
      <c r="O233" s="29"/>
      <c r="P233" s="5"/>
      <c r="R233" s="5"/>
      <c r="S233" s="5"/>
      <c r="U233" s="5"/>
    </row>
    <row r="234" spans="1:21" x14ac:dyDescent="0.25">
      <c r="A234" s="49">
        <f t="shared" si="16"/>
        <v>46253</v>
      </c>
      <c r="B234" s="42" t="str">
        <f t="shared" si="15"/>
        <v>ago/26</v>
      </c>
      <c r="C234" s="39">
        <v>1224.3699999999999</v>
      </c>
      <c r="D234" s="40">
        <v>1099.7</v>
      </c>
      <c r="E234" s="42"/>
      <c r="F234" s="39">
        <v>1932.13</v>
      </c>
      <c r="G234" s="40">
        <v>2037.62</v>
      </c>
      <c r="H234" s="42"/>
      <c r="I234" s="39">
        <v>0</v>
      </c>
      <c r="J234" s="40">
        <v>0</v>
      </c>
      <c r="K234" s="5"/>
      <c r="L234" s="157">
        <v>5349.0499999999993</v>
      </c>
      <c r="M234" s="41"/>
      <c r="O234" s="29"/>
      <c r="P234" s="5"/>
      <c r="R234" s="5"/>
      <c r="S234" s="5"/>
      <c r="U234" s="5"/>
    </row>
    <row r="235" spans="1:21" x14ac:dyDescent="0.25">
      <c r="A235" s="49">
        <f t="shared" si="16"/>
        <v>46254</v>
      </c>
      <c r="B235" s="42" t="str">
        <f t="shared" si="15"/>
        <v>ago/26</v>
      </c>
      <c r="C235" s="39">
        <v>260.58999999999997</v>
      </c>
      <c r="D235" s="40">
        <v>690.92</v>
      </c>
      <c r="E235" s="42"/>
      <c r="F235" s="39">
        <v>2743.62</v>
      </c>
      <c r="G235" s="40">
        <v>2103.7400000000002</v>
      </c>
      <c r="H235" s="42"/>
      <c r="I235" s="39">
        <v>0</v>
      </c>
      <c r="J235" s="40">
        <v>0</v>
      </c>
      <c r="K235" s="5"/>
      <c r="L235" s="157">
        <v>598.85</v>
      </c>
      <c r="M235" s="41"/>
      <c r="O235" s="29"/>
      <c r="P235" s="5"/>
      <c r="R235" s="5"/>
      <c r="S235" s="5"/>
      <c r="U235" s="5"/>
    </row>
    <row r="236" spans="1:21" x14ac:dyDescent="0.25">
      <c r="A236" s="49">
        <f t="shared" si="16"/>
        <v>46255</v>
      </c>
      <c r="B236" s="42" t="str">
        <f t="shared" si="15"/>
        <v>ago/26</v>
      </c>
      <c r="C236" s="39">
        <v>1408.42</v>
      </c>
      <c r="D236" s="40">
        <v>674.4</v>
      </c>
      <c r="E236" s="42"/>
      <c r="F236" s="39">
        <v>2137.9299999999998</v>
      </c>
      <c r="G236" s="40">
        <v>2541.84</v>
      </c>
      <c r="H236" s="42"/>
      <c r="I236" s="39">
        <v>0</v>
      </c>
      <c r="J236" s="40">
        <v>0</v>
      </c>
      <c r="K236" s="5"/>
      <c r="L236" s="157">
        <v>4476.1499999999996</v>
      </c>
      <c r="M236" s="41"/>
      <c r="O236" s="29"/>
      <c r="P236" s="5"/>
      <c r="R236" s="5"/>
      <c r="S236" s="5"/>
      <c r="U236" s="5"/>
    </row>
    <row r="237" spans="1:21" x14ac:dyDescent="0.25">
      <c r="A237" s="49">
        <f t="shared" si="16"/>
        <v>46256</v>
      </c>
      <c r="B237" s="42" t="str">
        <f t="shared" si="15"/>
        <v>ago/26</v>
      </c>
      <c r="C237" s="39">
        <v>621.36</v>
      </c>
      <c r="D237" s="40">
        <v>439.79999999999995</v>
      </c>
      <c r="E237" s="42"/>
      <c r="F237" s="39">
        <v>1480.57</v>
      </c>
      <c r="G237" s="40">
        <v>1250.1199999999997</v>
      </c>
      <c r="H237" s="42"/>
      <c r="I237" s="39">
        <v>0</v>
      </c>
      <c r="J237" s="40">
        <v>0</v>
      </c>
      <c r="K237" s="5"/>
      <c r="L237" s="157">
        <v>0</v>
      </c>
      <c r="M237" s="41"/>
      <c r="O237" s="29"/>
      <c r="P237" s="5"/>
      <c r="R237" s="5"/>
      <c r="S237" s="5"/>
      <c r="U237" s="5"/>
    </row>
    <row r="238" spans="1:21" x14ac:dyDescent="0.25">
      <c r="A238" s="49">
        <f t="shared" si="16"/>
        <v>46257</v>
      </c>
      <c r="B238" s="42" t="str">
        <f t="shared" si="15"/>
        <v>ago/26</v>
      </c>
      <c r="C238" s="39">
        <v>0</v>
      </c>
      <c r="D238" s="40">
        <v>0</v>
      </c>
      <c r="E238" s="42"/>
      <c r="F238" s="39">
        <v>0</v>
      </c>
      <c r="G238" s="40">
        <v>0</v>
      </c>
      <c r="H238" s="42"/>
      <c r="I238" s="39">
        <v>0</v>
      </c>
      <c r="J238" s="40">
        <v>0</v>
      </c>
      <c r="K238" s="5"/>
      <c r="L238" s="157">
        <v>0</v>
      </c>
      <c r="M238" s="41"/>
      <c r="O238" s="29"/>
      <c r="P238" s="5"/>
      <c r="R238" s="5"/>
      <c r="S238" s="5"/>
      <c r="U238" s="5"/>
    </row>
    <row r="239" spans="1:21" x14ac:dyDescent="0.25">
      <c r="A239" s="49">
        <f t="shared" si="16"/>
        <v>46258</v>
      </c>
      <c r="B239" s="42" t="str">
        <f t="shared" si="15"/>
        <v>ago/26</v>
      </c>
      <c r="C239" s="39">
        <v>350.7</v>
      </c>
      <c r="D239" s="40">
        <v>959.11999999999978</v>
      </c>
      <c r="E239" s="42"/>
      <c r="F239" s="39">
        <v>1513.49</v>
      </c>
      <c r="G239" s="40">
        <v>1370.5199999999998</v>
      </c>
      <c r="H239" s="42"/>
      <c r="I239" s="39">
        <v>0</v>
      </c>
      <c r="J239" s="40">
        <v>0</v>
      </c>
      <c r="K239" s="5"/>
      <c r="L239" s="157">
        <v>5034.3999999999996</v>
      </c>
      <c r="M239" s="41"/>
      <c r="O239" s="29"/>
      <c r="P239" s="5"/>
      <c r="R239" s="5"/>
      <c r="S239" s="5"/>
      <c r="U239" s="5"/>
    </row>
    <row r="240" spans="1:21" x14ac:dyDescent="0.25">
      <c r="A240" s="49">
        <f t="shared" si="16"/>
        <v>46259</v>
      </c>
      <c r="B240" s="42" t="str">
        <f t="shared" si="15"/>
        <v>ago/26</v>
      </c>
      <c r="C240" s="39">
        <v>417.31</v>
      </c>
      <c r="D240" s="40">
        <v>994.46</v>
      </c>
      <c r="E240" s="42"/>
      <c r="F240" s="39">
        <v>1316.99</v>
      </c>
      <c r="G240" s="40">
        <v>2420.1000000000004</v>
      </c>
      <c r="H240" s="42"/>
      <c r="I240" s="39">
        <v>0</v>
      </c>
      <c r="J240" s="40">
        <v>0</v>
      </c>
      <c r="K240" s="5"/>
      <c r="L240" s="157">
        <v>203</v>
      </c>
      <c r="M240" s="41"/>
      <c r="O240" s="29"/>
      <c r="P240" s="5"/>
      <c r="R240" s="5"/>
      <c r="S240" s="5"/>
      <c r="U240" s="5"/>
    </row>
    <row r="241" spans="1:21" x14ac:dyDescent="0.25">
      <c r="A241" s="49">
        <f t="shared" si="16"/>
        <v>46260</v>
      </c>
      <c r="B241" s="42" t="str">
        <f t="shared" si="15"/>
        <v>ago/26</v>
      </c>
      <c r="C241" s="39">
        <v>830.48</v>
      </c>
      <c r="D241" s="40">
        <v>711.06000000000006</v>
      </c>
      <c r="E241" s="42"/>
      <c r="F241" s="39">
        <v>2913.46</v>
      </c>
      <c r="G241" s="40">
        <v>2427.8000000000002</v>
      </c>
      <c r="H241" s="42"/>
      <c r="I241" s="39">
        <v>0</v>
      </c>
      <c r="J241" s="40">
        <v>0</v>
      </c>
      <c r="K241" s="5"/>
      <c r="L241" s="157">
        <v>5663.7</v>
      </c>
      <c r="M241" s="41"/>
      <c r="O241" s="29"/>
      <c r="P241" s="5"/>
      <c r="R241" s="5"/>
      <c r="S241" s="5"/>
      <c r="U241" s="5"/>
    </row>
    <row r="242" spans="1:21" x14ac:dyDescent="0.25">
      <c r="A242" s="49">
        <f t="shared" si="16"/>
        <v>46261</v>
      </c>
      <c r="B242" s="42" t="str">
        <f t="shared" si="15"/>
        <v>ago/26</v>
      </c>
      <c r="C242" s="39">
        <v>1146.8399999999999</v>
      </c>
      <c r="D242" s="40">
        <v>1064.8799999999999</v>
      </c>
      <c r="E242" s="42"/>
      <c r="F242" s="39">
        <v>1709.55</v>
      </c>
      <c r="G242" s="40">
        <v>2560.0799999999995</v>
      </c>
      <c r="H242" s="42"/>
      <c r="I242" s="39">
        <v>368</v>
      </c>
      <c r="J242" s="40">
        <v>0</v>
      </c>
      <c r="K242" s="5"/>
      <c r="L242" s="157">
        <v>1827</v>
      </c>
      <c r="M242" s="41"/>
      <c r="O242" s="29"/>
      <c r="P242" s="5"/>
      <c r="R242" s="5"/>
      <c r="S242" s="5"/>
      <c r="U242" s="5"/>
    </row>
    <row r="243" spans="1:21" x14ac:dyDescent="0.25">
      <c r="A243" s="49">
        <f t="shared" si="16"/>
        <v>46262</v>
      </c>
      <c r="B243" s="42" t="str">
        <f t="shared" si="15"/>
        <v>ago/26</v>
      </c>
      <c r="C243" s="39">
        <v>1323.81</v>
      </c>
      <c r="D243" s="40">
        <v>605.1</v>
      </c>
      <c r="E243" s="42"/>
      <c r="F243" s="39">
        <v>2126.71</v>
      </c>
      <c r="G243" s="40">
        <v>1396.0600000000002</v>
      </c>
      <c r="H243" s="42"/>
      <c r="I243" s="39">
        <v>0</v>
      </c>
      <c r="J243" s="40">
        <v>0</v>
      </c>
      <c r="K243" s="5"/>
      <c r="L243" s="157">
        <v>3471.3</v>
      </c>
      <c r="M243" s="41"/>
      <c r="O243" s="29"/>
      <c r="P243" s="5"/>
      <c r="R243" s="5"/>
      <c r="S243" s="5"/>
      <c r="U243" s="5"/>
    </row>
    <row r="244" spans="1:21" x14ac:dyDescent="0.25">
      <c r="A244" s="49">
        <f t="shared" si="16"/>
        <v>46263</v>
      </c>
      <c r="B244" s="42" t="str">
        <f t="shared" si="15"/>
        <v>ago/26</v>
      </c>
      <c r="C244" s="39">
        <v>624.41999999999996</v>
      </c>
      <c r="D244" s="40">
        <v>1033.32</v>
      </c>
      <c r="E244" s="42"/>
      <c r="F244" s="39">
        <v>1087.01</v>
      </c>
      <c r="G244" s="40">
        <v>1285.02</v>
      </c>
      <c r="H244" s="42"/>
      <c r="I244" s="39">
        <v>0</v>
      </c>
      <c r="J244" s="40">
        <v>0</v>
      </c>
      <c r="K244" s="5"/>
      <c r="L244" s="157">
        <v>0</v>
      </c>
      <c r="M244" s="41"/>
      <c r="O244" s="29"/>
      <c r="P244" s="5"/>
      <c r="R244" s="5"/>
      <c r="S244" s="5"/>
      <c r="U244" s="5"/>
    </row>
    <row r="245" spans="1:21" x14ac:dyDescent="0.25">
      <c r="A245" s="49">
        <f t="shared" si="16"/>
        <v>46264</v>
      </c>
      <c r="B245" s="42" t="str">
        <f t="shared" si="15"/>
        <v>ago/26</v>
      </c>
      <c r="C245" s="39">
        <v>0</v>
      </c>
      <c r="D245" s="40">
        <v>0</v>
      </c>
      <c r="E245" s="42"/>
      <c r="F245" s="39">
        <v>0</v>
      </c>
      <c r="G245" s="40">
        <v>0</v>
      </c>
      <c r="H245" s="42"/>
      <c r="I245" s="39">
        <v>0</v>
      </c>
      <c r="J245" s="40">
        <v>0</v>
      </c>
      <c r="K245" s="5"/>
      <c r="L245" s="157">
        <v>0</v>
      </c>
      <c r="M245" s="41"/>
      <c r="O245" s="29"/>
      <c r="P245" s="5"/>
      <c r="R245" s="5"/>
      <c r="S245" s="5"/>
      <c r="U245" s="5"/>
    </row>
    <row r="246" spans="1:21" x14ac:dyDescent="0.25">
      <c r="A246" s="49">
        <f t="shared" si="16"/>
        <v>46265</v>
      </c>
      <c r="B246" s="42" t="str">
        <f t="shared" si="15"/>
        <v>ago/26</v>
      </c>
      <c r="C246" s="39">
        <v>1175.5999999999999</v>
      </c>
      <c r="D246" s="40">
        <v>534.42000000000007</v>
      </c>
      <c r="E246" s="42"/>
      <c r="F246" s="39">
        <v>2079.0100000000002</v>
      </c>
      <c r="G246" s="40">
        <v>1881.64</v>
      </c>
      <c r="H246" s="42"/>
      <c r="I246" s="39">
        <v>0</v>
      </c>
      <c r="J246" s="40">
        <v>0</v>
      </c>
      <c r="K246" s="5"/>
      <c r="L246" s="157">
        <v>5527.4</v>
      </c>
      <c r="M246" s="41"/>
      <c r="O246" s="29"/>
      <c r="P246" s="5"/>
      <c r="R246" s="5"/>
      <c r="S246" s="5"/>
      <c r="U246" s="5"/>
    </row>
    <row r="247" spans="1:21" x14ac:dyDescent="0.25">
      <c r="A247" s="49">
        <f t="shared" si="16"/>
        <v>46266</v>
      </c>
      <c r="B247" s="42" t="str">
        <f t="shared" si="15"/>
        <v>set/26</v>
      </c>
      <c r="C247" s="39">
        <v>850.85</v>
      </c>
      <c r="D247" s="40">
        <v>1188.3599999999999</v>
      </c>
      <c r="E247" s="42"/>
      <c r="F247" s="39">
        <v>1304.97</v>
      </c>
      <c r="G247" s="40">
        <v>1899.4199999999998</v>
      </c>
      <c r="H247" s="42"/>
      <c r="I247" s="39">
        <v>0</v>
      </c>
      <c r="J247" s="40">
        <v>0</v>
      </c>
      <c r="K247" s="5"/>
      <c r="L247" s="157">
        <v>913.5</v>
      </c>
      <c r="M247" s="41"/>
      <c r="O247" s="29"/>
      <c r="P247" s="5"/>
      <c r="R247" s="5"/>
      <c r="S247" s="5"/>
      <c r="U247" s="5"/>
    </row>
    <row r="248" spans="1:21" x14ac:dyDescent="0.25">
      <c r="A248" s="49">
        <f t="shared" si="16"/>
        <v>46267</v>
      </c>
      <c r="B248" s="42" t="str">
        <f t="shared" si="15"/>
        <v>set/26</v>
      </c>
      <c r="C248" s="39">
        <v>641.07000000000005</v>
      </c>
      <c r="D248" s="40">
        <v>1255.9600000000003</v>
      </c>
      <c r="E248" s="42"/>
      <c r="F248" s="39">
        <v>2084.8000000000002</v>
      </c>
      <c r="G248" s="40">
        <v>1655.9999999999998</v>
      </c>
      <c r="H248" s="42"/>
      <c r="I248" s="39">
        <v>0</v>
      </c>
      <c r="J248" s="40">
        <v>0</v>
      </c>
      <c r="K248" s="5"/>
      <c r="L248" s="157">
        <v>4750.2</v>
      </c>
      <c r="M248" s="41"/>
      <c r="O248" s="29"/>
      <c r="P248" s="5"/>
      <c r="R248" s="5"/>
      <c r="S248" s="5"/>
      <c r="U248" s="5"/>
    </row>
    <row r="249" spans="1:21" x14ac:dyDescent="0.25">
      <c r="A249" s="49">
        <f t="shared" si="16"/>
        <v>46268</v>
      </c>
      <c r="B249" s="42" t="str">
        <f t="shared" si="15"/>
        <v>set/26</v>
      </c>
      <c r="C249" s="39">
        <v>935.85</v>
      </c>
      <c r="D249" s="40">
        <v>1220.0600000000002</v>
      </c>
      <c r="E249" s="42"/>
      <c r="F249" s="39">
        <v>1819.3</v>
      </c>
      <c r="G249" s="40">
        <v>1760.9600000000003</v>
      </c>
      <c r="H249" s="42"/>
      <c r="I249" s="39">
        <v>558.4</v>
      </c>
      <c r="J249" s="40">
        <v>0</v>
      </c>
      <c r="K249" s="5"/>
      <c r="L249" s="157">
        <v>4273.1499999999996</v>
      </c>
      <c r="M249" s="41"/>
      <c r="O249" s="29"/>
      <c r="P249" s="5"/>
      <c r="R249" s="5"/>
      <c r="S249" s="5"/>
      <c r="U249" s="5"/>
    </row>
    <row r="250" spans="1:21" x14ac:dyDescent="0.25">
      <c r="A250" s="49">
        <f t="shared" si="16"/>
        <v>46269</v>
      </c>
      <c r="B250" s="42" t="str">
        <f t="shared" si="15"/>
        <v>set/26</v>
      </c>
      <c r="C250" s="39">
        <v>0</v>
      </c>
      <c r="D250" s="40">
        <v>1139.6799999999998</v>
      </c>
      <c r="E250" s="42"/>
      <c r="F250" s="39">
        <v>0</v>
      </c>
      <c r="G250" s="40">
        <v>1432.22</v>
      </c>
      <c r="H250" s="42"/>
      <c r="I250" s="39"/>
      <c r="J250" s="40"/>
      <c r="K250" s="5">
        <v>0</v>
      </c>
      <c r="L250" s="157">
        <v>2375.1</v>
      </c>
      <c r="M250" s="41"/>
      <c r="O250" s="29"/>
      <c r="P250" s="5"/>
      <c r="R250" s="5"/>
      <c r="S250" s="5"/>
      <c r="U250" s="5"/>
    </row>
    <row r="251" spans="1:21" x14ac:dyDescent="0.25">
      <c r="A251" s="49">
        <f t="shared" si="16"/>
        <v>46270</v>
      </c>
      <c r="B251" s="42" t="str">
        <f t="shared" si="15"/>
        <v>set/26</v>
      </c>
      <c r="C251" s="39">
        <v>0</v>
      </c>
      <c r="D251" s="40">
        <v>0</v>
      </c>
      <c r="E251" s="42"/>
      <c r="F251" s="39">
        <v>0</v>
      </c>
      <c r="G251" s="40">
        <v>999.26</v>
      </c>
      <c r="H251" s="42"/>
      <c r="I251" s="39"/>
      <c r="J251" s="40"/>
      <c r="K251" s="5">
        <v>0</v>
      </c>
      <c r="L251" s="157">
        <v>2101.6799999999998</v>
      </c>
      <c r="M251" s="41"/>
      <c r="O251" s="29"/>
      <c r="P251" s="5"/>
      <c r="R251" s="5"/>
      <c r="S251" s="5"/>
      <c r="U251" s="5"/>
    </row>
    <row r="252" spans="1:21" x14ac:dyDescent="0.25">
      <c r="A252" s="49">
        <f t="shared" si="16"/>
        <v>46271</v>
      </c>
      <c r="B252" s="42" t="str">
        <f t="shared" si="15"/>
        <v>set/26</v>
      </c>
      <c r="C252" s="39">
        <v>0</v>
      </c>
      <c r="D252" s="40">
        <v>0</v>
      </c>
      <c r="E252" s="42"/>
      <c r="F252" s="39">
        <v>0</v>
      </c>
      <c r="G252" s="40">
        <v>0</v>
      </c>
      <c r="H252" s="42"/>
      <c r="I252" s="39"/>
      <c r="J252" s="40"/>
      <c r="K252" s="5">
        <v>0</v>
      </c>
      <c r="L252" s="157"/>
      <c r="M252" s="41"/>
      <c r="O252" s="29"/>
      <c r="P252" s="5"/>
      <c r="R252" s="5"/>
      <c r="S252" s="5"/>
      <c r="U252" s="5"/>
    </row>
    <row r="253" spans="1:21" x14ac:dyDescent="0.25">
      <c r="A253" s="49">
        <f t="shared" si="16"/>
        <v>46272</v>
      </c>
      <c r="B253" s="42" t="str">
        <f t="shared" si="15"/>
        <v>set/26</v>
      </c>
      <c r="C253" s="39">
        <v>0</v>
      </c>
      <c r="D253" s="40">
        <v>0</v>
      </c>
      <c r="E253" s="42"/>
      <c r="F253" s="39">
        <v>0</v>
      </c>
      <c r="G253" s="40">
        <v>0</v>
      </c>
      <c r="H253" s="42"/>
      <c r="I253" s="39"/>
      <c r="J253" s="40"/>
      <c r="K253" s="5">
        <v>0</v>
      </c>
      <c r="L253" s="157">
        <v>0</v>
      </c>
      <c r="M253" s="41"/>
      <c r="O253" s="29"/>
      <c r="P253" s="5"/>
      <c r="R253" s="5"/>
      <c r="S253" s="5"/>
      <c r="U253" s="5"/>
    </row>
    <row r="254" spans="1:21" x14ac:dyDescent="0.25">
      <c r="A254" s="49">
        <f t="shared" si="16"/>
        <v>46273</v>
      </c>
      <c r="B254" s="42" t="str">
        <f t="shared" si="15"/>
        <v>set/26</v>
      </c>
      <c r="C254" s="39">
        <v>1197.92</v>
      </c>
      <c r="D254" s="40">
        <v>894.43999999999994</v>
      </c>
      <c r="E254" s="42"/>
      <c r="F254" s="39">
        <v>0</v>
      </c>
      <c r="G254" s="40">
        <v>253.85999999999999</v>
      </c>
      <c r="H254" s="42"/>
      <c r="I254" s="39"/>
      <c r="J254" s="40"/>
      <c r="K254" s="5">
        <v>0</v>
      </c>
      <c r="L254" s="157">
        <v>5359.8399999999992</v>
      </c>
      <c r="M254" s="41"/>
      <c r="O254" s="29"/>
      <c r="P254" s="5"/>
      <c r="R254" s="5"/>
      <c r="S254" s="5"/>
      <c r="U254" s="5"/>
    </row>
    <row r="255" spans="1:21" x14ac:dyDescent="0.25">
      <c r="A255" s="49">
        <f t="shared" si="16"/>
        <v>46274</v>
      </c>
      <c r="B255" s="42" t="str">
        <f t="shared" si="15"/>
        <v>set/26</v>
      </c>
      <c r="C255" s="39">
        <v>697.74</v>
      </c>
      <c r="D255" s="40">
        <v>1548.3200000000002</v>
      </c>
      <c r="E255" s="42"/>
      <c r="F255" s="39">
        <v>0</v>
      </c>
      <c r="G255" s="40">
        <v>0</v>
      </c>
      <c r="H255" s="42"/>
      <c r="I255" s="39"/>
      <c r="J255" s="40"/>
      <c r="K255" s="5">
        <v>0</v>
      </c>
      <c r="L255" s="157">
        <v>467.03999999999996</v>
      </c>
      <c r="M255" s="41"/>
      <c r="O255" s="29"/>
      <c r="P255" s="5"/>
      <c r="R255" s="5"/>
      <c r="S255" s="5"/>
      <c r="U255" s="5"/>
    </row>
    <row r="256" spans="1:21" x14ac:dyDescent="0.25">
      <c r="A256" s="49">
        <f t="shared" si="16"/>
        <v>46275</v>
      </c>
      <c r="B256" s="42" t="str">
        <f t="shared" si="15"/>
        <v>set/26</v>
      </c>
      <c r="C256" s="39">
        <v>1157.06</v>
      </c>
      <c r="D256" s="40">
        <v>1187.0599999999997</v>
      </c>
      <c r="E256" s="42"/>
      <c r="F256" s="39">
        <v>2089.86</v>
      </c>
      <c r="G256" s="40">
        <v>975.5200000000001</v>
      </c>
      <c r="H256" s="42"/>
      <c r="I256" s="39"/>
      <c r="J256" s="40"/>
      <c r="K256" s="5">
        <v>0</v>
      </c>
      <c r="L256" s="157">
        <v>2014.11</v>
      </c>
      <c r="M256" s="41"/>
      <c r="O256" s="29"/>
      <c r="P256" s="5"/>
      <c r="R256" s="5"/>
      <c r="S256" s="5"/>
      <c r="U256" s="5"/>
    </row>
    <row r="257" spans="1:21" x14ac:dyDescent="0.25">
      <c r="A257" s="49">
        <f t="shared" si="16"/>
        <v>46276</v>
      </c>
      <c r="B257" s="42" t="str">
        <f t="shared" si="15"/>
        <v>set/26</v>
      </c>
      <c r="C257" s="39">
        <v>936.45</v>
      </c>
      <c r="D257" s="40">
        <v>878.06</v>
      </c>
      <c r="E257" s="42"/>
      <c r="F257" s="39">
        <v>2475.69</v>
      </c>
      <c r="G257" s="40">
        <v>2297.2999999999997</v>
      </c>
      <c r="H257" s="42"/>
      <c r="I257" s="39"/>
      <c r="J257" s="40"/>
      <c r="K257" s="5">
        <v>0</v>
      </c>
      <c r="L257" s="157">
        <v>895.16</v>
      </c>
      <c r="M257" s="41"/>
      <c r="O257" s="29"/>
      <c r="P257" s="5"/>
      <c r="R257" s="5"/>
      <c r="S257" s="5"/>
      <c r="U257" s="5"/>
    </row>
    <row r="258" spans="1:21" x14ac:dyDescent="0.25">
      <c r="A258" s="49">
        <f t="shared" si="16"/>
        <v>46277</v>
      </c>
      <c r="B258" s="42" t="str">
        <f t="shared" si="15"/>
        <v>set/26</v>
      </c>
      <c r="C258" s="39">
        <v>482.85</v>
      </c>
      <c r="D258" s="40">
        <v>590.7600000000001</v>
      </c>
      <c r="E258" s="42"/>
      <c r="F258" s="39">
        <v>1358.96</v>
      </c>
      <c r="G258" s="40">
        <v>1931.56</v>
      </c>
      <c r="H258" s="42"/>
      <c r="I258" s="39"/>
      <c r="J258" s="40"/>
      <c r="K258" s="5">
        <v>0</v>
      </c>
      <c r="L258" s="157">
        <v>895.16</v>
      </c>
      <c r="M258" s="41"/>
      <c r="O258" s="29"/>
      <c r="P258" s="5"/>
      <c r="R258" s="5"/>
      <c r="S258" s="5"/>
      <c r="U258" s="5"/>
    </row>
    <row r="259" spans="1:21" x14ac:dyDescent="0.25">
      <c r="A259" s="49">
        <f t="shared" si="16"/>
        <v>46278</v>
      </c>
      <c r="B259" s="42" t="str">
        <f t="shared" si="15"/>
        <v>set/26</v>
      </c>
      <c r="C259" s="39">
        <v>0</v>
      </c>
      <c r="D259" s="40">
        <v>0</v>
      </c>
      <c r="E259" s="42"/>
      <c r="F259" s="39">
        <v>1040.1500000000001</v>
      </c>
      <c r="G259" s="40">
        <v>0</v>
      </c>
      <c r="H259" s="42"/>
      <c r="I259" s="39"/>
      <c r="J259" s="40"/>
      <c r="K259" s="5">
        <v>0</v>
      </c>
      <c r="L259" s="157"/>
      <c r="M259" s="41"/>
      <c r="O259" s="29"/>
      <c r="P259" s="5"/>
      <c r="R259" s="5"/>
      <c r="S259" s="5"/>
      <c r="U259" s="5"/>
    </row>
    <row r="260" spans="1:21" x14ac:dyDescent="0.25">
      <c r="A260" s="49">
        <f t="shared" si="16"/>
        <v>46279</v>
      </c>
      <c r="B260" s="42" t="str">
        <f t="shared" si="15"/>
        <v>set/26</v>
      </c>
      <c r="C260" s="39">
        <v>1488.4</v>
      </c>
      <c r="D260" s="40">
        <v>1345.3200000000004</v>
      </c>
      <c r="E260" s="42"/>
      <c r="F260" s="39">
        <v>2174.9</v>
      </c>
      <c r="G260" s="40">
        <v>1986.8200000000004</v>
      </c>
      <c r="H260" s="42"/>
      <c r="I260" s="39">
        <v>1210.6300000000001</v>
      </c>
      <c r="J260" s="40">
        <v>0</v>
      </c>
      <c r="K260" s="5">
        <v>0</v>
      </c>
      <c r="L260" s="157">
        <v>5176.3599999999997</v>
      </c>
      <c r="M260" s="41"/>
      <c r="O260" s="29"/>
      <c r="P260" s="5"/>
      <c r="R260" s="5"/>
      <c r="S260" s="5"/>
      <c r="U260" s="5"/>
    </row>
    <row r="261" spans="1:21" x14ac:dyDescent="0.25">
      <c r="A261" s="49">
        <f t="shared" si="16"/>
        <v>46280</v>
      </c>
      <c r="B261" s="42" t="str">
        <f t="shared" ref="B261:B324" si="17">TEXT(A261,"MMM/AA")</f>
        <v>set/26</v>
      </c>
      <c r="C261" s="39">
        <v>896.61</v>
      </c>
      <c r="D261" s="40">
        <v>1171.5799999999997</v>
      </c>
      <c r="E261" s="42"/>
      <c r="F261" s="39">
        <v>1620.7</v>
      </c>
      <c r="G261" s="40">
        <v>2013.1200000000003</v>
      </c>
      <c r="H261" s="42"/>
      <c r="I261" s="39">
        <v>537.63</v>
      </c>
      <c r="J261" s="40">
        <v>401.78</v>
      </c>
      <c r="K261" s="5">
        <v>0</v>
      </c>
      <c r="L261" s="157">
        <v>758.93999999999994</v>
      </c>
      <c r="M261" s="41"/>
      <c r="O261" s="29"/>
      <c r="P261" s="5"/>
      <c r="R261" s="5"/>
      <c r="S261" s="5"/>
      <c r="U261" s="5"/>
    </row>
    <row r="262" spans="1:21" x14ac:dyDescent="0.25">
      <c r="A262" s="49">
        <f t="shared" si="16"/>
        <v>46281</v>
      </c>
      <c r="B262" s="42" t="str">
        <f t="shared" si="17"/>
        <v>set/26</v>
      </c>
      <c r="C262" s="39">
        <v>637.30999999999995</v>
      </c>
      <c r="D262" s="40">
        <v>288.83999999999997</v>
      </c>
      <c r="E262" s="42"/>
      <c r="F262" s="39">
        <v>2073.8200000000002</v>
      </c>
      <c r="G262" s="40">
        <v>2534.7800000000007</v>
      </c>
      <c r="H262" s="42"/>
      <c r="I262" s="39">
        <v>814.63</v>
      </c>
      <c r="J262" s="40">
        <v>669.67598100000009</v>
      </c>
      <c r="K262" s="5">
        <v>0</v>
      </c>
      <c r="L262" s="157">
        <v>5409.8799999999992</v>
      </c>
      <c r="M262" s="41"/>
      <c r="O262" s="29"/>
      <c r="P262" s="5"/>
      <c r="R262" s="5"/>
      <c r="S262" s="5"/>
      <c r="U262" s="5"/>
    </row>
    <row r="263" spans="1:21" x14ac:dyDescent="0.25">
      <c r="A263" s="49">
        <f t="shared" si="16"/>
        <v>46282</v>
      </c>
      <c r="B263" s="42" t="str">
        <f t="shared" si="17"/>
        <v>set/26</v>
      </c>
      <c r="C263" s="39">
        <v>1224.8900000000001</v>
      </c>
      <c r="D263" s="40">
        <v>786.49999999999989</v>
      </c>
      <c r="E263" s="42"/>
      <c r="F263" s="39">
        <v>1905.64</v>
      </c>
      <c r="G263" s="40">
        <v>2315.7399999999998</v>
      </c>
      <c r="H263" s="42"/>
      <c r="I263" s="39">
        <v>1017.63</v>
      </c>
      <c r="J263" s="40">
        <v>987.55999999999983</v>
      </c>
      <c r="K263" s="5">
        <v>0</v>
      </c>
      <c r="L263" s="157">
        <v>914.61999999999989</v>
      </c>
      <c r="M263" s="41"/>
      <c r="O263" s="29"/>
      <c r="P263" s="5"/>
      <c r="R263" s="5"/>
      <c r="S263" s="5"/>
      <c r="U263" s="5"/>
    </row>
    <row r="264" spans="1:21" x14ac:dyDescent="0.25">
      <c r="A264" s="49">
        <f t="shared" si="16"/>
        <v>46283</v>
      </c>
      <c r="B264" s="42" t="str">
        <f t="shared" si="17"/>
        <v>set/26</v>
      </c>
      <c r="C264" s="39">
        <v>1223.3399999999999</v>
      </c>
      <c r="D264" s="40">
        <v>1092.96</v>
      </c>
      <c r="E264" s="42"/>
      <c r="F264" s="39">
        <v>2147.21</v>
      </c>
      <c r="G264" s="40">
        <v>1505.4199999999998</v>
      </c>
      <c r="H264" s="42"/>
      <c r="I264" s="39">
        <v>337.63</v>
      </c>
      <c r="J264" s="40">
        <v>771.46999999999991</v>
      </c>
      <c r="K264" s="5">
        <v>0</v>
      </c>
      <c r="L264" s="157">
        <v>3619.56</v>
      </c>
      <c r="M264" s="41"/>
      <c r="O264" s="29"/>
      <c r="P264" s="5"/>
      <c r="R264" s="5"/>
      <c r="S264" s="5"/>
      <c r="U264" s="5"/>
    </row>
    <row r="265" spans="1:21" x14ac:dyDescent="0.25">
      <c r="A265" s="49">
        <f t="shared" si="16"/>
        <v>46284</v>
      </c>
      <c r="B265" s="42" t="str">
        <f t="shared" si="17"/>
        <v>set/26</v>
      </c>
      <c r="C265" s="39">
        <v>326.87</v>
      </c>
      <c r="D265" s="40">
        <v>1257.7800000000002</v>
      </c>
      <c r="E265" s="42"/>
      <c r="F265" s="39">
        <v>1184.44</v>
      </c>
      <c r="G265" s="40">
        <v>1739.9200000000003</v>
      </c>
      <c r="H265" s="42"/>
      <c r="I265" s="39">
        <v>0</v>
      </c>
      <c r="J265" s="40">
        <v>386.03999999999996</v>
      </c>
      <c r="K265" s="5">
        <v>0</v>
      </c>
      <c r="L265" s="157">
        <v>3502.7999999999997</v>
      </c>
      <c r="M265" s="41"/>
      <c r="O265" s="29"/>
      <c r="P265" s="5"/>
      <c r="R265" s="5"/>
      <c r="S265" s="5"/>
      <c r="U265" s="5"/>
    </row>
    <row r="266" spans="1:21" x14ac:dyDescent="0.25">
      <c r="A266" s="49">
        <f t="shared" si="16"/>
        <v>46285</v>
      </c>
      <c r="B266" s="42" t="str">
        <f t="shared" si="17"/>
        <v>set/26</v>
      </c>
      <c r="C266" s="39">
        <v>579.52</v>
      </c>
      <c r="D266" s="40">
        <v>0</v>
      </c>
      <c r="E266" s="42"/>
      <c r="F266" s="39">
        <v>371.83</v>
      </c>
      <c r="G266" s="40">
        <v>0</v>
      </c>
      <c r="H266" s="42"/>
      <c r="I266" s="39">
        <v>0</v>
      </c>
      <c r="J266" s="40">
        <v>0</v>
      </c>
      <c r="K266" s="5">
        <v>0</v>
      </c>
      <c r="L266" s="157">
        <v>0</v>
      </c>
      <c r="M266" s="41"/>
      <c r="O266" s="29"/>
      <c r="P266" s="5"/>
      <c r="R266" s="5"/>
      <c r="S266" s="5"/>
      <c r="U266" s="5"/>
    </row>
    <row r="267" spans="1:21" x14ac:dyDescent="0.25">
      <c r="A267" s="49">
        <f t="shared" si="16"/>
        <v>46286</v>
      </c>
      <c r="B267" s="42" t="str">
        <f t="shared" si="17"/>
        <v>set/26</v>
      </c>
      <c r="C267" s="39">
        <v>1302.97</v>
      </c>
      <c r="D267" s="40">
        <v>1182</v>
      </c>
      <c r="E267" s="42"/>
      <c r="F267" s="39">
        <v>1303.3800000000001</v>
      </c>
      <c r="G267" s="40">
        <v>1587.7200000000003</v>
      </c>
      <c r="H267" s="42"/>
      <c r="I267" s="39">
        <v>793.63</v>
      </c>
      <c r="J267" s="40">
        <v>229.29000000000002</v>
      </c>
      <c r="K267" s="5">
        <v>0</v>
      </c>
      <c r="L267" s="157">
        <v>0</v>
      </c>
      <c r="M267" s="41"/>
      <c r="O267" s="29"/>
      <c r="P267" s="5"/>
      <c r="R267" s="5"/>
      <c r="S267" s="5"/>
      <c r="U267" s="5"/>
    </row>
    <row r="268" spans="1:21" x14ac:dyDescent="0.25">
      <c r="A268" s="49">
        <f t="shared" si="16"/>
        <v>46287</v>
      </c>
      <c r="B268" s="42" t="str">
        <f t="shared" si="17"/>
        <v>set/26</v>
      </c>
      <c r="C268" s="39">
        <v>1342.58</v>
      </c>
      <c r="D268" s="40">
        <v>1513.9599999999998</v>
      </c>
      <c r="E268" s="42"/>
      <c r="F268" s="39">
        <v>1002.13</v>
      </c>
      <c r="G268" s="40">
        <v>1205.3000000000002</v>
      </c>
      <c r="H268" s="42"/>
      <c r="I268" s="39">
        <v>421.63</v>
      </c>
      <c r="J268" s="40">
        <v>833.75000000000023</v>
      </c>
      <c r="K268" s="5">
        <v>0</v>
      </c>
      <c r="L268" s="157">
        <v>3502.7999999999997</v>
      </c>
      <c r="M268" s="41"/>
      <c r="O268" s="29"/>
      <c r="P268" s="5"/>
      <c r="R268" s="5"/>
      <c r="S268" s="5"/>
      <c r="U268" s="5"/>
    </row>
    <row r="269" spans="1:21" x14ac:dyDescent="0.25">
      <c r="A269" s="49">
        <f t="shared" si="16"/>
        <v>46288</v>
      </c>
      <c r="B269" s="42" t="str">
        <f t="shared" si="17"/>
        <v>set/26</v>
      </c>
      <c r="C269" s="39">
        <v>1259.99</v>
      </c>
      <c r="D269" s="40">
        <v>1340.1999999999996</v>
      </c>
      <c r="E269" s="42"/>
      <c r="F269" s="39">
        <v>1046.97</v>
      </c>
      <c r="G269" s="40">
        <v>933.30000000000007</v>
      </c>
      <c r="H269" s="42"/>
      <c r="I269" s="39">
        <v>1066.6300000000001</v>
      </c>
      <c r="J269" s="40">
        <v>910.9699999999998</v>
      </c>
      <c r="K269" s="5">
        <v>0</v>
      </c>
      <c r="L269" s="157">
        <v>0</v>
      </c>
      <c r="M269" s="41"/>
      <c r="O269" s="29"/>
      <c r="P269" s="5"/>
      <c r="R269" s="5"/>
      <c r="S269" s="5"/>
      <c r="U269" s="5"/>
    </row>
    <row r="270" spans="1:21" x14ac:dyDescent="0.25">
      <c r="A270" s="49">
        <f t="shared" si="16"/>
        <v>46289</v>
      </c>
      <c r="B270" s="42" t="str">
        <f t="shared" si="17"/>
        <v>set/26</v>
      </c>
      <c r="C270" s="39">
        <v>1408.16</v>
      </c>
      <c r="D270" s="40">
        <v>1520.3400000000001</v>
      </c>
      <c r="E270" s="42"/>
      <c r="F270" s="39">
        <v>1481.03</v>
      </c>
      <c r="G270" s="40">
        <v>1491.66</v>
      </c>
      <c r="H270" s="42"/>
      <c r="I270" s="39">
        <v>547.63</v>
      </c>
      <c r="J270" s="40">
        <v>1356.5700000000004</v>
      </c>
      <c r="K270" s="5">
        <v>0</v>
      </c>
      <c r="L270" s="157">
        <v>5059.5999999999995</v>
      </c>
      <c r="M270" s="41"/>
      <c r="O270" s="29"/>
      <c r="P270" s="5"/>
      <c r="R270" s="5"/>
      <c r="S270" s="5"/>
      <c r="U270" s="5"/>
    </row>
    <row r="271" spans="1:21" x14ac:dyDescent="0.25">
      <c r="A271" s="49">
        <f t="shared" si="16"/>
        <v>46290</v>
      </c>
      <c r="B271" s="42" t="str">
        <f t="shared" si="17"/>
        <v>set/26</v>
      </c>
      <c r="C271" s="39">
        <v>1289.48</v>
      </c>
      <c r="D271" s="40">
        <v>855.98000000000025</v>
      </c>
      <c r="E271" s="42"/>
      <c r="F271" s="39">
        <v>651.66999999999996</v>
      </c>
      <c r="G271" s="40">
        <v>924.04</v>
      </c>
      <c r="H271" s="42"/>
      <c r="I271" s="39">
        <v>659.83</v>
      </c>
      <c r="J271" s="40">
        <v>1490.87</v>
      </c>
      <c r="K271" s="5">
        <v>0</v>
      </c>
      <c r="L271" s="157">
        <v>0</v>
      </c>
      <c r="M271" s="41"/>
      <c r="O271" s="29"/>
      <c r="P271" s="5"/>
      <c r="R271" s="5"/>
      <c r="S271" s="5"/>
      <c r="U271" s="5"/>
    </row>
    <row r="272" spans="1:21" x14ac:dyDescent="0.25">
      <c r="A272" s="49">
        <f t="shared" si="16"/>
        <v>46291</v>
      </c>
      <c r="B272" s="42" t="str">
        <f t="shared" si="17"/>
        <v>set/26</v>
      </c>
      <c r="C272" s="39">
        <v>318.36</v>
      </c>
      <c r="D272" s="40">
        <v>1138.6199999999997</v>
      </c>
      <c r="E272" s="42"/>
      <c r="F272" s="39">
        <v>0</v>
      </c>
      <c r="G272" s="40">
        <v>242.66</v>
      </c>
      <c r="H272" s="42"/>
      <c r="I272" s="39">
        <v>599.63</v>
      </c>
      <c r="J272" s="40">
        <v>857.18999999999994</v>
      </c>
      <c r="K272" s="5">
        <v>0</v>
      </c>
      <c r="L272" s="157">
        <v>0</v>
      </c>
      <c r="M272" s="41"/>
      <c r="O272" s="29"/>
      <c r="P272" s="5"/>
      <c r="R272" s="5"/>
      <c r="S272" s="5"/>
      <c r="U272" s="5"/>
    </row>
    <row r="273" spans="1:21" x14ac:dyDescent="0.25">
      <c r="A273" s="49">
        <f t="shared" si="16"/>
        <v>46292</v>
      </c>
      <c r="B273" s="42" t="str">
        <f t="shared" si="17"/>
        <v>set/26</v>
      </c>
      <c r="C273" s="39">
        <v>236.09</v>
      </c>
      <c r="D273" s="40">
        <v>0</v>
      </c>
      <c r="E273" s="42"/>
      <c r="F273" s="39">
        <v>0</v>
      </c>
      <c r="G273" s="40">
        <v>0</v>
      </c>
      <c r="H273" s="42"/>
      <c r="I273" s="39">
        <v>0</v>
      </c>
      <c r="J273" s="40">
        <v>0</v>
      </c>
      <c r="K273" s="5">
        <v>0</v>
      </c>
      <c r="L273" s="157">
        <v>0</v>
      </c>
      <c r="M273" s="41"/>
      <c r="O273" s="29"/>
      <c r="P273" s="5"/>
      <c r="R273" s="5"/>
      <c r="S273" s="5"/>
      <c r="U273" s="5"/>
    </row>
    <row r="274" spans="1:21" x14ac:dyDescent="0.25">
      <c r="A274" s="49">
        <f t="shared" ref="A274:A310" si="18">A273+1</f>
        <v>46293</v>
      </c>
      <c r="B274" s="42" t="str">
        <f t="shared" si="17"/>
        <v>set/26</v>
      </c>
      <c r="C274" s="39">
        <v>1220.27</v>
      </c>
      <c r="D274" s="40">
        <v>1035.1200000000001</v>
      </c>
      <c r="E274" s="42"/>
      <c r="F274" s="39">
        <v>0</v>
      </c>
      <c r="G274" s="40">
        <v>0</v>
      </c>
      <c r="H274" s="42"/>
      <c r="I274" s="39">
        <v>874.63</v>
      </c>
      <c r="J274" s="40">
        <v>2330.4899999999993</v>
      </c>
      <c r="K274" s="5">
        <v>0</v>
      </c>
      <c r="L274" s="157">
        <v>4903.92</v>
      </c>
      <c r="M274" s="41"/>
      <c r="O274" s="29"/>
      <c r="P274" s="5"/>
      <c r="R274" s="5"/>
      <c r="S274" s="5"/>
      <c r="U274" s="5"/>
    </row>
    <row r="275" spans="1:21" x14ac:dyDescent="0.25">
      <c r="A275" s="49">
        <f t="shared" si="18"/>
        <v>46294</v>
      </c>
      <c r="B275" s="42" t="str">
        <f t="shared" si="17"/>
        <v>set/26</v>
      </c>
      <c r="C275" s="39">
        <v>285.36</v>
      </c>
      <c r="D275" s="40">
        <v>719.68</v>
      </c>
      <c r="E275" s="42"/>
      <c r="F275" s="39">
        <v>625.83000000000004</v>
      </c>
      <c r="G275" s="40">
        <v>153.63999999999999</v>
      </c>
      <c r="H275" s="42"/>
      <c r="I275" s="39">
        <v>1437.5300000000002</v>
      </c>
      <c r="J275" s="40">
        <v>1529.65</v>
      </c>
      <c r="K275" s="5">
        <v>0</v>
      </c>
      <c r="L275" s="157">
        <v>0</v>
      </c>
      <c r="M275" s="41"/>
      <c r="O275" s="29"/>
      <c r="P275" s="5"/>
      <c r="R275" s="5"/>
      <c r="S275" s="5"/>
      <c r="U275" s="5"/>
    </row>
    <row r="276" spans="1:21" x14ac:dyDescent="0.25">
      <c r="A276" s="49">
        <f t="shared" si="18"/>
        <v>46295</v>
      </c>
      <c r="B276" s="42" t="str">
        <f t="shared" si="17"/>
        <v>set/26</v>
      </c>
      <c r="C276" s="39">
        <v>921.29</v>
      </c>
      <c r="D276" s="40">
        <v>451</v>
      </c>
      <c r="E276" s="42"/>
      <c r="F276" s="39">
        <v>1358.18</v>
      </c>
      <c r="G276" s="40">
        <v>958.82000000000016</v>
      </c>
      <c r="H276" s="42"/>
      <c r="I276" s="39">
        <v>1015.33</v>
      </c>
      <c r="J276" s="40">
        <v>2097.17</v>
      </c>
      <c r="K276" s="5">
        <v>0</v>
      </c>
      <c r="L276" s="157">
        <v>2276.8197219999997</v>
      </c>
      <c r="M276" s="41"/>
      <c r="O276" s="29"/>
      <c r="P276" s="5"/>
      <c r="R276" s="5"/>
      <c r="S276" s="5"/>
      <c r="U276" s="5"/>
    </row>
    <row r="277" spans="1:21" x14ac:dyDescent="0.25">
      <c r="A277" s="49">
        <f t="shared" si="18"/>
        <v>46296</v>
      </c>
      <c r="B277" s="42" t="str">
        <f t="shared" si="17"/>
        <v>out/26</v>
      </c>
      <c r="C277" s="39">
        <v>1622.16</v>
      </c>
      <c r="D277" s="40">
        <v>1536.76</v>
      </c>
      <c r="E277" s="42"/>
      <c r="F277" s="39">
        <v>930.69</v>
      </c>
      <c r="G277" s="40">
        <v>1144.4999999999998</v>
      </c>
      <c r="H277" s="42"/>
      <c r="I277" s="39">
        <v>1026.8800000000001</v>
      </c>
      <c r="J277" s="40">
        <v>1286.47</v>
      </c>
      <c r="K277" s="5">
        <v>0</v>
      </c>
      <c r="L277" s="157">
        <v>4349.3099999999995</v>
      </c>
      <c r="M277" s="41"/>
      <c r="O277" s="29"/>
      <c r="P277" s="5"/>
      <c r="R277" s="5"/>
      <c r="S277" s="5"/>
      <c r="U277" s="5"/>
    </row>
    <row r="278" spans="1:21" x14ac:dyDescent="0.25">
      <c r="A278" s="49">
        <f t="shared" si="18"/>
        <v>46297</v>
      </c>
      <c r="B278" s="42" t="str">
        <f t="shared" si="17"/>
        <v>out/26</v>
      </c>
      <c r="C278" s="39">
        <v>1317.09</v>
      </c>
      <c r="D278" s="40">
        <v>1161.92</v>
      </c>
      <c r="E278" s="42"/>
      <c r="F278" s="39">
        <v>1437.93</v>
      </c>
      <c r="G278" s="40">
        <v>251.6</v>
      </c>
      <c r="H278" s="42"/>
      <c r="I278" s="39">
        <v>162.63</v>
      </c>
      <c r="J278" s="40">
        <v>654.12</v>
      </c>
      <c r="K278" s="5">
        <v>0</v>
      </c>
      <c r="L278" s="157">
        <v>330.82</v>
      </c>
      <c r="M278" s="41"/>
      <c r="O278" s="29"/>
      <c r="P278" s="5"/>
      <c r="R278" s="5"/>
      <c r="S278" s="5"/>
      <c r="U278" s="5"/>
    </row>
    <row r="279" spans="1:21" x14ac:dyDescent="0.25">
      <c r="A279" s="49">
        <f t="shared" si="18"/>
        <v>46298</v>
      </c>
      <c r="B279" s="42" t="str">
        <f t="shared" si="17"/>
        <v>out/26</v>
      </c>
      <c r="C279" s="39">
        <v>643.05999999999995</v>
      </c>
      <c r="D279" s="40">
        <v>702.59999999999991</v>
      </c>
      <c r="E279" s="42"/>
      <c r="F279" s="39">
        <v>688.12</v>
      </c>
      <c r="G279" s="40">
        <v>830.22</v>
      </c>
      <c r="H279" s="42"/>
      <c r="I279" s="39">
        <v>0</v>
      </c>
      <c r="J279" s="40">
        <v>0</v>
      </c>
      <c r="K279" s="5">
        <v>0</v>
      </c>
      <c r="L279" s="157">
        <v>6097.9299999999994</v>
      </c>
      <c r="M279" s="41"/>
      <c r="O279" s="29"/>
      <c r="P279" s="5"/>
      <c r="R279" s="5"/>
      <c r="S279" s="5"/>
      <c r="U279" s="5"/>
    </row>
    <row r="280" spans="1:21" x14ac:dyDescent="0.25">
      <c r="A280" s="49">
        <f t="shared" si="18"/>
        <v>46299</v>
      </c>
      <c r="B280" s="42" t="str">
        <f t="shared" si="17"/>
        <v>out/26</v>
      </c>
      <c r="C280" s="39">
        <v>0</v>
      </c>
      <c r="D280" s="40">
        <v>0</v>
      </c>
      <c r="E280" s="42"/>
      <c r="F280" s="39">
        <v>0</v>
      </c>
      <c r="G280" s="40">
        <v>0</v>
      </c>
      <c r="H280" s="42"/>
      <c r="I280" s="39">
        <v>0</v>
      </c>
      <c r="J280" s="40">
        <v>0</v>
      </c>
      <c r="K280" s="5">
        <v>0</v>
      </c>
      <c r="L280" s="157"/>
      <c r="M280" s="41"/>
      <c r="O280" s="29"/>
      <c r="P280" s="5"/>
      <c r="R280" s="5"/>
      <c r="S280" s="5"/>
      <c r="U280" s="5"/>
    </row>
    <row r="281" spans="1:21" x14ac:dyDescent="0.25">
      <c r="A281" s="49">
        <f t="shared" si="18"/>
        <v>46300</v>
      </c>
      <c r="B281" s="42" t="str">
        <f t="shared" si="17"/>
        <v>out/26</v>
      </c>
      <c r="C281" s="39">
        <v>516.64</v>
      </c>
      <c r="D281" s="40">
        <v>0</v>
      </c>
      <c r="E281" s="42"/>
      <c r="F281" s="39">
        <v>1106.2</v>
      </c>
      <c r="G281" s="40">
        <v>0</v>
      </c>
      <c r="H281" s="42"/>
      <c r="I281" s="39">
        <v>1014.6</v>
      </c>
      <c r="J281" s="40">
        <v>0</v>
      </c>
      <c r="K281" s="5">
        <v>0</v>
      </c>
      <c r="L281" s="157">
        <v>2032.1799999999998</v>
      </c>
      <c r="M281" s="41"/>
      <c r="O281" s="29"/>
      <c r="P281" s="5"/>
      <c r="R281" s="5"/>
      <c r="S281" s="5"/>
      <c r="U281" s="5"/>
    </row>
    <row r="282" spans="1:21" x14ac:dyDescent="0.25">
      <c r="A282" s="49">
        <f t="shared" si="18"/>
        <v>46301</v>
      </c>
      <c r="B282" s="42" t="str">
        <f t="shared" si="17"/>
        <v>out/26</v>
      </c>
      <c r="C282" s="39">
        <v>1424.12</v>
      </c>
      <c r="D282" s="40">
        <v>1135.1600000000001</v>
      </c>
      <c r="E282" s="42"/>
      <c r="F282" s="39">
        <v>762.54</v>
      </c>
      <c r="G282" s="40">
        <v>1122.8799999999999</v>
      </c>
      <c r="H282" s="42"/>
      <c r="I282" s="39">
        <v>479</v>
      </c>
      <c r="J282" s="40">
        <v>655.45000000000016</v>
      </c>
      <c r="K282" s="5">
        <v>0</v>
      </c>
      <c r="L282" s="157">
        <v>5231.96</v>
      </c>
      <c r="M282" s="41"/>
      <c r="O282" s="29"/>
      <c r="P282" s="5"/>
      <c r="R282" s="5"/>
      <c r="S282" s="5"/>
      <c r="U282" s="5"/>
    </row>
    <row r="283" spans="1:21" x14ac:dyDescent="0.25">
      <c r="A283" s="49">
        <f t="shared" si="18"/>
        <v>46302</v>
      </c>
      <c r="B283" s="42" t="str">
        <f t="shared" si="17"/>
        <v>out/26</v>
      </c>
      <c r="C283" s="39">
        <v>1847</v>
      </c>
      <c r="D283" s="40">
        <v>210.76</v>
      </c>
      <c r="E283" s="42"/>
      <c r="F283" s="39">
        <v>872.65</v>
      </c>
      <c r="G283" s="40">
        <v>1839.6199999999997</v>
      </c>
      <c r="H283" s="42"/>
      <c r="I283" s="39">
        <v>173.4</v>
      </c>
      <c r="J283" s="40">
        <v>1106.1799999999998</v>
      </c>
      <c r="K283" s="5">
        <v>0</v>
      </c>
      <c r="L283" s="157">
        <v>0</v>
      </c>
      <c r="M283" s="41"/>
      <c r="O283" s="29"/>
      <c r="P283" s="5"/>
      <c r="R283" s="5"/>
      <c r="S283" s="5"/>
      <c r="U283" s="5"/>
    </row>
    <row r="284" spans="1:21" x14ac:dyDescent="0.25">
      <c r="A284" s="49">
        <f t="shared" si="18"/>
        <v>46303</v>
      </c>
      <c r="B284" s="42" t="str">
        <f t="shared" si="17"/>
        <v>out/26</v>
      </c>
      <c r="C284" s="39">
        <v>557.92999999999995</v>
      </c>
      <c r="D284" s="40">
        <v>0</v>
      </c>
      <c r="E284" s="42"/>
      <c r="F284" s="39">
        <v>1658.45</v>
      </c>
      <c r="G284" s="40">
        <v>770.12000000000012</v>
      </c>
      <c r="H284" s="42"/>
      <c r="I284" s="39">
        <v>1006.27</v>
      </c>
      <c r="J284" s="40">
        <v>481.00000000000011</v>
      </c>
      <c r="K284" s="5">
        <v>0</v>
      </c>
      <c r="L284" s="157">
        <v>6780.4199999999992</v>
      </c>
      <c r="M284" s="41"/>
      <c r="O284" s="29"/>
      <c r="P284" s="5"/>
      <c r="R284" s="5"/>
      <c r="S284" s="5"/>
      <c r="U284" s="5"/>
    </row>
    <row r="285" spans="1:21" x14ac:dyDescent="0.25">
      <c r="A285" s="49">
        <f t="shared" si="18"/>
        <v>46304</v>
      </c>
      <c r="B285" s="42" t="str">
        <f t="shared" si="17"/>
        <v>out/26</v>
      </c>
      <c r="C285" s="39">
        <v>511.58</v>
      </c>
      <c r="D285" s="40">
        <v>0</v>
      </c>
      <c r="E285" s="42"/>
      <c r="F285" s="39">
        <v>1189.27</v>
      </c>
      <c r="G285" s="40">
        <v>700.99999999999989</v>
      </c>
      <c r="H285" s="42"/>
      <c r="I285" s="39">
        <v>679.1</v>
      </c>
      <c r="J285" s="40">
        <v>519.79000000000008</v>
      </c>
      <c r="K285" s="5">
        <v>0</v>
      </c>
      <c r="L285" s="157">
        <v>764.5</v>
      </c>
      <c r="M285" s="41"/>
      <c r="O285" s="29"/>
      <c r="P285" s="5"/>
      <c r="R285" s="5"/>
      <c r="S285" s="5"/>
      <c r="U285" s="5"/>
    </row>
    <row r="286" spans="1:21" x14ac:dyDescent="0.25">
      <c r="A286" s="49">
        <f t="shared" si="18"/>
        <v>46305</v>
      </c>
      <c r="B286" s="42" t="str">
        <f t="shared" si="17"/>
        <v>out/26</v>
      </c>
      <c r="C286" s="39">
        <v>636.79</v>
      </c>
      <c r="D286" s="40">
        <v>0</v>
      </c>
      <c r="E286" s="42"/>
      <c r="F286" s="39">
        <v>419.14</v>
      </c>
      <c r="G286" s="40">
        <v>921.04</v>
      </c>
      <c r="H286" s="42"/>
      <c r="I286" s="39">
        <v>498.42</v>
      </c>
      <c r="J286" s="40">
        <v>400.18000000000006</v>
      </c>
      <c r="K286" s="5">
        <v>0</v>
      </c>
      <c r="L286" s="157">
        <v>7822.9199999999992</v>
      </c>
      <c r="M286" s="41"/>
      <c r="O286" s="29"/>
      <c r="P286" s="5"/>
      <c r="R286" s="5"/>
      <c r="S286" s="5"/>
      <c r="U286" s="5"/>
    </row>
    <row r="287" spans="1:21" x14ac:dyDescent="0.25">
      <c r="A287" s="49">
        <f t="shared" si="18"/>
        <v>46306</v>
      </c>
      <c r="B287" s="42" t="str">
        <f t="shared" si="17"/>
        <v>out/26</v>
      </c>
      <c r="C287" s="39">
        <v>0</v>
      </c>
      <c r="D287" s="40">
        <v>0</v>
      </c>
      <c r="E287" s="42"/>
      <c r="F287" s="39">
        <v>259.38</v>
      </c>
      <c r="G287" s="40">
        <v>0</v>
      </c>
      <c r="H287" s="42"/>
      <c r="I287" s="39">
        <v>0</v>
      </c>
      <c r="J287" s="40">
        <v>0</v>
      </c>
      <c r="K287" s="5">
        <v>0</v>
      </c>
      <c r="L287" s="157">
        <v>0</v>
      </c>
      <c r="M287" s="41"/>
      <c r="O287" s="29"/>
      <c r="P287" s="5"/>
      <c r="R287" s="5"/>
      <c r="S287" s="5"/>
      <c r="U287" s="5"/>
    </row>
    <row r="288" spans="1:21" x14ac:dyDescent="0.25">
      <c r="A288" s="49">
        <f t="shared" si="18"/>
        <v>46307</v>
      </c>
      <c r="B288" s="42" t="str">
        <f t="shared" si="17"/>
        <v>out/26</v>
      </c>
      <c r="C288" s="39">
        <v>661.52</v>
      </c>
      <c r="D288" s="40">
        <v>0</v>
      </c>
      <c r="E288" s="42"/>
      <c r="F288" s="39">
        <v>447.92</v>
      </c>
      <c r="G288" s="40">
        <v>972.3</v>
      </c>
      <c r="H288" s="42"/>
      <c r="I288" s="39">
        <v>0</v>
      </c>
      <c r="J288" s="40">
        <v>0</v>
      </c>
      <c r="K288" s="5">
        <v>0</v>
      </c>
      <c r="L288" s="157">
        <v>764.5</v>
      </c>
      <c r="M288" s="41"/>
      <c r="O288" s="29"/>
      <c r="P288" s="5"/>
      <c r="R288" s="5"/>
      <c r="S288" s="5"/>
      <c r="U288" s="5"/>
    </row>
    <row r="289" spans="1:21" x14ac:dyDescent="0.25">
      <c r="A289" s="49">
        <f t="shared" si="18"/>
        <v>46308</v>
      </c>
      <c r="B289" s="42" t="str">
        <f t="shared" si="17"/>
        <v>out/26</v>
      </c>
      <c r="C289" s="39">
        <v>1321.81</v>
      </c>
      <c r="D289" s="40">
        <v>0</v>
      </c>
      <c r="E289" s="42"/>
      <c r="F289" s="39">
        <v>1916.98</v>
      </c>
      <c r="G289" s="40">
        <v>802.1400000000001</v>
      </c>
      <c r="H289" s="42"/>
      <c r="I289" s="39">
        <v>1313.4</v>
      </c>
      <c r="J289" s="40">
        <v>1356.25</v>
      </c>
      <c r="K289" s="5">
        <v>0</v>
      </c>
      <c r="L289" s="157">
        <v>6421.7999999999993</v>
      </c>
      <c r="M289" s="41"/>
      <c r="O289" s="29"/>
      <c r="P289" s="5"/>
      <c r="R289" s="5"/>
      <c r="S289" s="5"/>
      <c r="U289" s="5"/>
    </row>
    <row r="290" spans="1:21" x14ac:dyDescent="0.25">
      <c r="A290" s="49">
        <f t="shared" si="18"/>
        <v>46309</v>
      </c>
      <c r="B290" s="42" t="str">
        <f t="shared" si="17"/>
        <v>out/26</v>
      </c>
      <c r="C290" s="39">
        <v>1212.81</v>
      </c>
      <c r="D290" s="40">
        <v>155.33999999999997</v>
      </c>
      <c r="E290" s="42"/>
      <c r="F290" s="39">
        <v>1903.8</v>
      </c>
      <c r="G290" s="40">
        <v>1897.0200000000004</v>
      </c>
      <c r="H290" s="42"/>
      <c r="I290" s="39">
        <v>1379.3</v>
      </c>
      <c r="J290" s="40">
        <v>1630.1699999999998</v>
      </c>
      <c r="K290" s="5">
        <v>0</v>
      </c>
      <c r="L290" s="157">
        <v>1078.6399999999999</v>
      </c>
      <c r="M290" s="41"/>
      <c r="O290" s="29"/>
      <c r="P290" s="5"/>
      <c r="R290" s="5"/>
      <c r="S290" s="5"/>
      <c r="U290" s="5"/>
    </row>
    <row r="291" spans="1:21" x14ac:dyDescent="0.25">
      <c r="A291" s="49">
        <f t="shared" si="18"/>
        <v>46310</v>
      </c>
      <c r="B291" s="42" t="str">
        <f t="shared" si="17"/>
        <v>out/26</v>
      </c>
      <c r="C291" s="39">
        <v>759.55</v>
      </c>
      <c r="D291" s="40">
        <v>393.82</v>
      </c>
      <c r="E291" s="42"/>
      <c r="F291" s="39">
        <v>937.73</v>
      </c>
      <c r="G291" s="40">
        <v>996.12000000000012</v>
      </c>
      <c r="H291" s="42"/>
      <c r="I291" s="39">
        <v>1605.7</v>
      </c>
      <c r="J291" s="40">
        <v>1942.64</v>
      </c>
      <c r="K291" s="5">
        <v>0</v>
      </c>
      <c r="L291" s="157">
        <v>0</v>
      </c>
      <c r="M291" s="41"/>
      <c r="O291" s="29"/>
      <c r="P291" s="5"/>
      <c r="R291" s="5"/>
      <c r="S291" s="5"/>
      <c r="U291" s="5"/>
    </row>
    <row r="292" spans="1:21" x14ac:dyDescent="0.25">
      <c r="A292" s="49">
        <f t="shared" si="18"/>
        <v>46311</v>
      </c>
      <c r="B292" s="42" t="str">
        <f t="shared" si="17"/>
        <v>out/26</v>
      </c>
      <c r="C292" s="39">
        <v>1392.37</v>
      </c>
      <c r="D292" s="40">
        <v>1533.9599999999998</v>
      </c>
      <c r="E292" s="42"/>
      <c r="F292" s="39">
        <v>824.47</v>
      </c>
      <c r="G292" s="40">
        <v>850.65999999999985</v>
      </c>
      <c r="H292" s="42"/>
      <c r="I292" s="39">
        <v>735.2</v>
      </c>
      <c r="J292" s="40">
        <v>1092.6399999999999</v>
      </c>
      <c r="K292" s="5">
        <v>0</v>
      </c>
      <c r="L292" s="157">
        <v>6014.53</v>
      </c>
      <c r="M292" s="41"/>
      <c r="O292" s="29"/>
      <c r="P292" s="5"/>
      <c r="R292" s="5"/>
      <c r="S292" s="5"/>
      <c r="U292" s="5"/>
    </row>
    <row r="293" spans="1:21" x14ac:dyDescent="0.25">
      <c r="A293" s="49">
        <f t="shared" si="18"/>
        <v>46312</v>
      </c>
      <c r="B293" s="42" t="str">
        <f t="shared" si="17"/>
        <v>out/26</v>
      </c>
      <c r="C293" s="39">
        <v>484.82</v>
      </c>
      <c r="D293" s="40">
        <v>1247.9399999999998</v>
      </c>
      <c r="E293" s="42"/>
      <c r="F293" s="39">
        <v>528.71</v>
      </c>
      <c r="G293" s="40">
        <v>1028.28</v>
      </c>
      <c r="H293" s="42"/>
      <c r="I293" s="39">
        <v>601</v>
      </c>
      <c r="J293" s="40">
        <v>850.33999999999992</v>
      </c>
      <c r="K293" s="5">
        <v>0</v>
      </c>
      <c r="L293" s="157">
        <v>1926.54</v>
      </c>
      <c r="M293" s="41"/>
      <c r="O293" s="29"/>
      <c r="P293" s="5"/>
      <c r="R293" s="5"/>
      <c r="S293" s="5"/>
      <c r="U293" s="5"/>
    </row>
    <row r="294" spans="1:21" x14ac:dyDescent="0.25">
      <c r="A294" s="49">
        <f t="shared" si="18"/>
        <v>46313</v>
      </c>
      <c r="B294" s="42" t="str">
        <f t="shared" si="17"/>
        <v>out/26</v>
      </c>
      <c r="C294" s="39"/>
      <c r="D294" s="40"/>
      <c r="E294" s="182">
        <v>0</v>
      </c>
      <c r="F294" s="39"/>
      <c r="G294" s="40"/>
      <c r="H294" s="182">
        <v>0</v>
      </c>
      <c r="I294" s="39"/>
      <c r="J294" s="40"/>
      <c r="K294" s="5">
        <v>0</v>
      </c>
      <c r="L294" s="157"/>
      <c r="M294" s="41">
        <v>0</v>
      </c>
      <c r="O294" s="29"/>
      <c r="P294" s="5"/>
      <c r="R294" s="5"/>
      <c r="S294" s="5"/>
      <c r="U294" s="5"/>
    </row>
    <row r="295" spans="1:21" x14ac:dyDescent="0.25">
      <c r="A295" s="49">
        <f t="shared" si="18"/>
        <v>46314</v>
      </c>
      <c r="B295" s="42" t="str">
        <f t="shared" si="17"/>
        <v>out/26</v>
      </c>
      <c r="C295" s="39"/>
      <c r="D295" s="40"/>
      <c r="E295" s="182">
        <v>893.13692307692304</v>
      </c>
      <c r="F295" s="39"/>
      <c r="G295" s="40"/>
      <c r="H295" s="182">
        <v>0</v>
      </c>
      <c r="I295" s="39"/>
      <c r="J295" s="40"/>
      <c r="K295" s="5">
        <v>1296.2962962962963</v>
      </c>
      <c r="L295" s="157"/>
      <c r="M295" s="41">
        <v>2572.1538148148152</v>
      </c>
      <c r="O295" s="29"/>
      <c r="P295" s="5"/>
      <c r="R295" s="5"/>
      <c r="S295" s="5"/>
      <c r="U295" s="5"/>
    </row>
    <row r="296" spans="1:21" x14ac:dyDescent="0.25">
      <c r="A296" s="49">
        <f t="shared" si="18"/>
        <v>46315</v>
      </c>
      <c r="B296" s="42" t="str">
        <f t="shared" si="17"/>
        <v>out/26</v>
      </c>
      <c r="C296" s="39"/>
      <c r="D296" s="40"/>
      <c r="E296" s="182">
        <v>893.13692307692304</v>
      </c>
      <c r="F296" s="39"/>
      <c r="G296" s="40"/>
      <c r="H296" s="182">
        <v>0</v>
      </c>
      <c r="I296" s="39"/>
      <c r="J296" s="40"/>
      <c r="K296" s="5">
        <v>1296.2962962962963</v>
      </c>
      <c r="L296" s="157"/>
      <c r="M296" s="41">
        <v>2572.1538148148152</v>
      </c>
      <c r="O296" s="29"/>
      <c r="P296" s="5"/>
      <c r="R296" s="5"/>
      <c r="S296" s="5"/>
      <c r="U296" s="5"/>
    </row>
    <row r="297" spans="1:21" x14ac:dyDescent="0.25">
      <c r="A297" s="49">
        <f t="shared" si="18"/>
        <v>46316</v>
      </c>
      <c r="B297" s="42" t="str">
        <f t="shared" si="17"/>
        <v>out/26</v>
      </c>
      <c r="C297" s="39"/>
      <c r="D297" s="40"/>
      <c r="E297" s="182">
        <v>893.13692307692304</v>
      </c>
      <c r="F297" s="39"/>
      <c r="G297" s="40"/>
      <c r="H297" s="182">
        <v>0</v>
      </c>
      <c r="I297" s="39"/>
      <c r="J297" s="40"/>
      <c r="K297" s="5">
        <v>1296.2962962962963</v>
      </c>
      <c r="L297" s="157"/>
      <c r="M297" s="41">
        <v>2572.1538148148152</v>
      </c>
      <c r="O297" s="29"/>
      <c r="P297" s="5"/>
      <c r="R297" s="5"/>
      <c r="S297" s="5"/>
      <c r="U297" s="5"/>
    </row>
    <row r="298" spans="1:21" x14ac:dyDescent="0.25">
      <c r="A298" s="49">
        <f t="shared" si="18"/>
        <v>46317</v>
      </c>
      <c r="B298" s="42" t="str">
        <f t="shared" si="17"/>
        <v>out/26</v>
      </c>
      <c r="C298" s="39"/>
      <c r="D298" s="40"/>
      <c r="E298" s="182">
        <v>0</v>
      </c>
      <c r="F298" s="39"/>
      <c r="G298" s="40"/>
      <c r="H298" s="182">
        <v>0</v>
      </c>
      <c r="I298" s="39"/>
      <c r="J298" s="40"/>
      <c r="K298" s="5">
        <v>1296.2962962962963</v>
      </c>
      <c r="L298" s="157"/>
      <c r="M298" s="41">
        <v>2572.1538148148152</v>
      </c>
      <c r="O298" s="29"/>
      <c r="P298" s="5"/>
      <c r="R298" s="5"/>
      <c r="S298" s="5"/>
      <c r="U298" s="5"/>
    </row>
    <row r="299" spans="1:21" x14ac:dyDescent="0.25">
      <c r="A299" s="49">
        <f t="shared" si="18"/>
        <v>46318</v>
      </c>
      <c r="B299" s="42" t="str">
        <f t="shared" si="17"/>
        <v>out/26</v>
      </c>
      <c r="C299" s="39"/>
      <c r="D299" s="40"/>
      <c r="E299" s="182">
        <v>0</v>
      </c>
      <c r="F299" s="39"/>
      <c r="G299" s="40"/>
      <c r="H299" s="182">
        <v>0</v>
      </c>
      <c r="I299" s="39"/>
      <c r="J299" s="40"/>
      <c r="K299" s="5">
        <v>1296.2962962962963</v>
      </c>
      <c r="L299" s="157"/>
      <c r="M299" s="41">
        <v>2572.1538148148152</v>
      </c>
      <c r="O299" s="29"/>
      <c r="P299" s="5"/>
      <c r="R299" s="5"/>
      <c r="S299" s="5"/>
      <c r="U299" s="5"/>
    </row>
    <row r="300" spans="1:21" x14ac:dyDescent="0.25">
      <c r="A300" s="49">
        <f t="shared" si="18"/>
        <v>46319</v>
      </c>
      <c r="B300" s="42" t="str">
        <f t="shared" si="17"/>
        <v>out/26</v>
      </c>
      <c r="C300" s="39"/>
      <c r="D300" s="40"/>
      <c r="E300" s="182">
        <v>0</v>
      </c>
      <c r="F300" s="39"/>
      <c r="G300" s="40"/>
      <c r="H300" s="182">
        <v>0</v>
      </c>
      <c r="I300" s="39"/>
      <c r="J300" s="40"/>
      <c r="K300" s="5">
        <v>1296.2962962962963</v>
      </c>
      <c r="L300" s="157"/>
      <c r="M300" s="41">
        <v>2572.1538148148152</v>
      </c>
      <c r="O300" s="29"/>
      <c r="P300" s="5"/>
      <c r="R300" s="5"/>
      <c r="S300" s="5"/>
      <c r="U300" s="5"/>
    </row>
    <row r="301" spans="1:21" x14ac:dyDescent="0.25">
      <c r="A301" s="49">
        <f t="shared" si="18"/>
        <v>46320</v>
      </c>
      <c r="B301" s="42" t="str">
        <f t="shared" si="17"/>
        <v>out/26</v>
      </c>
      <c r="C301" s="39"/>
      <c r="D301" s="40"/>
      <c r="E301" s="182">
        <v>0</v>
      </c>
      <c r="F301" s="39"/>
      <c r="G301" s="40"/>
      <c r="H301" s="182">
        <v>0</v>
      </c>
      <c r="I301" s="39"/>
      <c r="J301" s="40"/>
      <c r="K301" s="5">
        <v>0</v>
      </c>
      <c r="L301" s="157"/>
      <c r="M301" s="41">
        <v>0</v>
      </c>
      <c r="O301" s="29"/>
      <c r="P301" s="5"/>
      <c r="R301" s="5"/>
      <c r="S301" s="5"/>
      <c r="U301" s="5"/>
    </row>
    <row r="302" spans="1:21" x14ac:dyDescent="0.25">
      <c r="A302" s="49">
        <f t="shared" si="18"/>
        <v>46321</v>
      </c>
      <c r="B302" s="42" t="str">
        <f t="shared" si="17"/>
        <v>out/26</v>
      </c>
      <c r="C302" s="39"/>
      <c r="D302" s="40"/>
      <c r="E302" s="182">
        <v>0</v>
      </c>
      <c r="F302" s="39"/>
      <c r="G302" s="40"/>
      <c r="H302" s="182">
        <v>0</v>
      </c>
      <c r="I302" s="39"/>
      <c r="J302" s="40"/>
      <c r="K302" s="5">
        <v>1296.2962962962963</v>
      </c>
      <c r="L302" s="157"/>
      <c r="M302" s="41">
        <v>2572.1538148148152</v>
      </c>
      <c r="O302" s="29"/>
      <c r="P302" s="5"/>
      <c r="R302" s="5"/>
      <c r="S302" s="5"/>
      <c r="U302" s="5"/>
    </row>
    <row r="303" spans="1:21" x14ac:dyDescent="0.25">
      <c r="A303" s="49">
        <f t="shared" si="18"/>
        <v>46322</v>
      </c>
      <c r="B303" s="42" t="str">
        <f t="shared" si="17"/>
        <v>out/26</v>
      </c>
      <c r="C303" s="39"/>
      <c r="D303" s="40"/>
      <c r="E303" s="182">
        <v>0</v>
      </c>
      <c r="F303" s="39"/>
      <c r="G303" s="40"/>
      <c r="H303" s="182">
        <v>0</v>
      </c>
      <c r="I303" s="39"/>
      <c r="J303" s="40"/>
      <c r="K303" s="5">
        <v>1296.2962962962963</v>
      </c>
      <c r="L303" s="157"/>
      <c r="M303" s="41">
        <v>2572.1538148148152</v>
      </c>
      <c r="O303" s="29"/>
      <c r="P303" s="5"/>
      <c r="R303" s="5"/>
      <c r="S303" s="5"/>
      <c r="U303" s="5"/>
    </row>
    <row r="304" spans="1:21" x14ac:dyDescent="0.25">
      <c r="A304" s="49">
        <f t="shared" si="18"/>
        <v>46323</v>
      </c>
      <c r="B304" s="42" t="str">
        <f t="shared" si="17"/>
        <v>out/26</v>
      </c>
      <c r="C304" s="39"/>
      <c r="D304" s="40"/>
      <c r="E304" s="182">
        <v>0</v>
      </c>
      <c r="F304" s="39"/>
      <c r="G304" s="40"/>
      <c r="H304" s="182">
        <v>0</v>
      </c>
      <c r="I304" s="39"/>
      <c r="J304" s="40"/>
      <c r="K304" s="5">
        <v>1296.2962962962963</v>
      </c>
      <c r="L304" s="157"/>
      <c r="M304" s="41">
        <v>2572.1538148148152</v>
      </c>
      <c r="O304" s="29"/>
      <c r="P304" s="5"/>
      <c r="R304" s="5"/>
      <c r="S304" s="5"/>
      <c r="U304" s="5"/>
    </row>
    <row r="305" spans="1:21" x14ac:dyDescent="0.25">
      <c r="A305" s="49">
        <f t="shared" si="18"/>
        <v>46324</v>
      </c>
      <c r="B305" s="42" t="str">
        <f t="shared" si="17"/>
        <v>out/26</v>
      </c>
      <c r="C305" s="39"/>
      <c r="D305" s="40"/>
      <c r="E305" s="182">
        <v>0</v>
      </c>
      <c r="F305" s="39"/>
      <c r="G305" s="40"/>
      <c r="H305" s="182">
        <v>0</v>
      </c>
      <c r="I305" s="39"/>
      <c r="J305" s="40"/>
      <c r="K305" s="5">
        <v>1296.2962962962963</v>
      </c>
      <c r="L305" s="157"/>
      <c r="M305" s="41">
        <v>2572.1538148148152</v>
      </c>
      <c r="O305" s="29"/>
      <c r="P305" s="5"/>
      <c r="R305" s="5"/>
      <c r="S305" s="5"/>
      <c r="U305" s="5"/>
    </row>
    <row r="306" spans="1:21" x14ac:dyDescent="0.25">
      <c r="A306" s="49">
        <f t="shared" si="18"/>
        <v>46325</v>
      </c>
      <c r="B306" s="42" t="str">
        <f t="shared" si="17"/>
        <v>out/26</v>
      </c>
      <c r="C306" s="39"/>
      <c r="D306" s="40"/>
      <c r="E306" s="182">
        <v>0</v>
      </c>
      <c r="F306" s="39"/>
      <c r="G306" s="40"/>
      <c r="H306" s="182">
        <v>0</v>
      </c>
      <c r="I306" s="39"/>
      <c r="J306" s="40"/>
      <c r="K306" s="5">
        <v>1296.2962962962963</v>
      </c>
      <c r="L306" s="157"/>
      <c r="M306" s="41">
        <v>2572.1538148148152</v>
      </c>
      <c r="O306" s="29"/>
      <c r="P306" s="5"/>
      <c r="R306" s="5"/>
      <c r="S306" s="5"/>
      <c r="U306" s="5"/>
    </row>
    <row r="307" spans="1:21" x14ac:dyDescent="0.25">
      <c r="A307" s="49">
        <f t="shared" si="18"/>
        <v>46326</v>
      </c>
      <c r="B307" s="42" t="str">
        <f t="shared" si="17"/>
        <v>out/26</v>
      </c>
      <c r="C307" s="39"/>
      <c r="D307" s="40"/>
      <c r="E307" s="182">
        <v>0</v>
      </c>
      <c r="F307" s="39"/>
      <c r="G307" s="40"/>
      <c r="H307" s="182">
        <v>0</v>
      </c>
      <c r="I307" s="39"/>
      <c r="J307" s="40"/>
      <c r="K307" s="5">
        <v>1296.2962962962963</v>
      </c>
      <c r="L307" s="157"/>
      <c r="M307" s="41">
        <v>2572.1538148148152</v>
      </c>
      <c r="O307" s="29"/>
      <c r="P307" s="5"/>
      <c r="R307" s="5"/>
      <c r="S307" s="5"/>
      <c r="U307" s="5"/>
    </row>
    <row r="308" spans="1:21" x14ac:dyDescent="0.25">
      <c r="A308" s="49">
        <f t="shared" si="18"/>
        <v>46327</v>
      </c>
      <c r="B308" s="42" t="str">
        <f t="shared" si="17"/>
        <v>nov/26</v>
      </c>
      <c r="C308" s="39"/>
      <c r="D308" s="40"/>
      <c r="E308" s="182">
        <v>0</v>
      </c>
      <c r="F308" s="39"/>
      <c r="G308" s="40"/>
      <c r="H308" s="182">
        <v>0</v>
      </c>
      <c r="I308" s="39"/>
      <c r="J308" s="40"/>
      <c r="K308" s="5">
        <v>0</v>
      </c>
      <c r="L308" s="157"/>
      <c r="M308" s="41">
        <v>0</v>
      </c>
      <c r="O308" s="29"/>
      <c r="P308" s="5"/>
      <c r="R308" s="5"/>
      <c r="S308" s="5"/>
      <c r="U308" s="5"/>
    </row>
    <row r="309" spans="1:21" x14ac:dyDescent="0.25">
      <c r="A309" s="49">
        <f t="shared" si="18"/>
        <v>46328</v>
      </c>
      <c r="B309" s="42" t="str">
        <f t="shared" si="17"/>
        <v>nov/26</v>
      </c>
      <c r="C309" s="39"/>
      <c r="D309" s="40"/>
      <c r="E309" s="182">
        <v>0</v>
      </c>
      <c r="F309" s="39"/>
      <c r="G309" s="40"/>
      <c r="H309" s="182">
        <v>0</v>
      </c>
      <c r="I309" s="39"/>
      <c r="J309" s="40"/>
      <c r="K309" s="5">
        <v>2000</v>
      </c>
      <c r="L309" s="157"/>
      <c r="M309" s="41">
        <v>2692.2353999999996</v>
      </c>
      <c r="O309" s="29"/>
      <c r="P309" s="5"/>
      <c r="R309" s="5"/>
      <c r="S309" s="5"/>
      <c r="U309" s="5"/>
    </row>
    <row r="310" spans="1:21" x14ac:dyDescent="0.25">
      <c r="A310" s="49">
        <f t="shared" si="18"/>
        <v>46329</v>
      </c>
      <c r="B310" s="42" t="str">
        <f t="shared" si="17"/>
        <v>nov/26</v>
      </c>
      <c r="C310" s="39"/>
      <c r="D310" s="40"/>
      <c r="E310" s="182">
        <v>0</v>
      </c>
      <c r="F310" s="39"/>
      <c r="G310" s="40"/>
      <c r="H310" s="182">
        <v>0</v>
      </c>
      <c r="I310" s="39"/>
      <c r="J310" s="40"/>
      <c r="K310" s="5">
        <v>2000</v>
      </c>
      <c r="L310" s="157"/>
      <c r="M310" s="41">
        <v>2692.2353999999996</v>
      </c>
      <c r="O310" s="29"/>
      <c r="P310" s="5"/>
      <c r="R310" s="5"/>
      <c r="S310" s="5"/>
      <c r="U310" s="5"/>
    </row>
    <row r="311" spans="1:21" x14ac:dyDescent="0.25">
      <c r="A311" s="49">
        <f>A310+1</f>
        <v>46330</v>
      </c>
      <c r="B311" s="42" t="str">
        <f t="shared" si="17"/>
        <v>nov/26</v>
      </c>
      <c r="C311" s="39"/>
      <c r="D311" s="40"/>
      <c r="E311" s="182">
        <v>0</v>
      </c>
      <c r="F311" s="39"/>
      <c r="G311" s="40"/>
      <c r="H311" s="182">
        <v>0</v>
      </c>
      <c r="I311" s="39"/>
      <c r="J311" s="40"/>
      <c r="K311" s="5">
        <v>2000</v>
      </c>
      <c r="L311" s="157"/>
      <c r="M311" s="41">
        <v>2692.2353999999996</v>
      </c>
      <c r="O311" s="29"/>
      <c r="P311" s="5"/>
      <c r="R311" s="5"/>
      <c r="S311" s="5"/>
      <c r="U311" s="5"/>
    </row>
    <row r="312" spans="1:21" x14ac:dyDescent="0.25">
      <c r="A312" s="49">
        <f t="shared" ref="A312:A375" si="19">A311+1</f>
        <v>46331</v>
      </c>
      <c r="B312" s="42" t="str">
        <f t="shared" si="17"/>
        <v>nov/26</v>
      </c>
      <c r="C312" s="39"/>
      <c r="D312" s="40"/>
      <c r="E312" s="182">
        <v>0</v>
      </c>
      <c r="F312" s="39"/>
      <c r="G312" s="40"/>
      <c r="H312" s="182">
        <v>0</v>
      </c>
      <c r="I312" s="39"/>
      <c r="J312" s="40"/>
      <c r="K312" s="5">
        <v>2000</v>
      </c>
      <c r="L312" s="157"/>
      <c r="M312" s="41">
        <v>2692.2353999999996</v>
      </c>
      <c r="O312" s="29"/>
      <c r="P312" s="5"/>
      <c r="R312" s="5"/>
      <c r="S312" s="5"/>
      <c r="U312" s="5"/>
    </row>
    <row r="313" spans="1:21" x14ac:dyDescent="0.25">
      <c r="A313" s="49">
        <f t="shared" si="19"/>
        <v>46332</v>
      </c>
      <c r="B313" s="42" t="str">
        <f t="shared" si="17"/>
        <v>nov/26</v>
      </c>
      <c r="C313" s="39"/>
      <c r="D313" s="40"/>
      <c r="E313" s="182">
        <v>0</v>
      </c>
      <c r="F313" s="39"/>
      <c r="G313" s="40"/>
      <c r="H313" s="182">
        <v>0</v>
      </c>
      <c r="I313" s="39"/>
      <c r="J313" s="40"/>
      <c r="K313" s="5">
        <v>2000</v>
      </c>
      <c r="L313" s="157"/>
      <c r="M313" s="41">
        <v>2692.2353999999996</v>
      </c>
      <c r="O313" s="29"/>
      <c r="P313" s="5"/>
      <c r="R313" s="5"/>
      <c r="S313" s="5"/>
      <c r="U313" s="5"/>
    </row>
    <row r="314" spans="1:21" x14ac:dyDescent="0.25">
      <c r="A314" s="49">
        <f t="shared" si="19"/>
        <v>46333</v>
      </c>
      <c r="B314" s="42" t="str">
        <f t="shared" si="17"/>
        <v>nov/26</v>
      </c>
      <c r="C314" s="39"/>
      <c r="D314" s="40"/>
      <c r="E314" s="182">
        <v>0</v>
      </c>
      <c r="F314" s="39"/>
      <c r="G314" s="40"/>
      <c r="H314" s="182">
        <v>0</v>
      </c>
      <c r="I314" s="39"/>
      <c r="J314" s="40"/>
      <c r="K314" s="5">
        <v>2000</v>
      </c>
      <c r="L314" s="157"/>
      <c r="M314" s="41">
        <v>2692.2353999999996</v>
      </c>
      <c r="O314" s="29"/>
      <c r="P314" s="5"/>
      <c r="R314" s="5"/>
      <c r="S314" s="5"/>
      <c r="U314" s="5"/>
    </row>
    <row r="315" spans="1:21" x14ac:dyDescent="0.25">
      <c r="A315" s="49">
        <f t="shared" si="19"/>
        <v>46334</v>
      </c>
      <c r="B315" s="42" t="str">
        <f t="shared" si="17"/>
        <v>nov/26</v>
      </c>
      <c r="C315" s="39"/>
      <c r="D315" s="40"/>
      <c r="E315" s="182">
        <v>0</v>
      </c>
      <c r="F315" s="39"/>
      <c r="G315" s="40"/>
      <c r="H315" s="182">
        <v>0</v>
      </c>
      <c r="I315" s="39"/>
      <c r="J315" s="40"/>
      <c r="K315" s="5">
        <v>0</v>
      </c>
      <c r="L315" s="157"/>
      <c r="M315" s="41">
        <v>0</v>
      </c>
      <c r="O315" s="29"/>
      <c r="P315" s="5"/>
      <c r="R315" s="5"/>
      <c r="S315" s="5"/>
      <c r="U315" s="5"/>
    </row>
    <row r="316" spans="1:21" x14ac:dyDescent="0.25">
      <c r="A316" s="49">
        <f t="shared" si="19"/>
        <v>46335</v>
      </c>
      <c r="B316" s="42" t="str">
        <f t="shared" si="17"/>
        <v>nov/26</v>
      </c>
      <c r="C316" s="39"/>
      <c r="D316" s="40"/>
      <c r="E316" s="182">
        <v>0</v>
      </c>
      <c r="F316" s="39"/>
      <c r="G316" s="40"/>
      <c r="H316" s="182">
        <v>0</v>
      </c>
      <c r="I316" s="39"/>
      <c r="J316" s="40"/>
      <c r="K316" s="5">
        <v>2000</v>
      </c>
      <c r="L316" s="157"/>
      <c r="M316" s="41">
        <v>2692.2353999999996</v>
      </c>
      <c r="O316" s="29"/>
      <c r="P316" s="5"/>
      <c r="R316" s="5"/>
      <c r="S316" s="5"/>
      <c r="U316" s="5"/>
    </row>
    <row r="317" spans="1:21" x14ac:dyDescent="0.25">
      <c r="A317" s="49">
        <f t="shared" si="19"/>
        <v>46336</v>
      </c>
      <c r="B317" s="42" t="str">
        <f t="shared" si="17"/>
        <v>nov/26</v>
      </c>
      <c r="C317" s="39"/>
      <c r="D317" s="40"/>
      <c r="E317" s="182">
        <v>0</v>
      </c>
      <c r="F317" s="39"/>
      <c r="G317" s="40"/>
      <c r="H317" s="182">
        <v>0</v>
      </c>
      <c r="I317" s="39"/>
      <c r="J317" s="40"/>
      <c r="K317" s="5">
        <v>2000</v>
      </c>
      <c r="L317" s="157"/>
      <c r="M317" s="41">
        <v>2692.2353999999996</v>
      </c>
      <c r="O317" s="29"/>
      <c r="P317" s="5"/>
      <c r="R317" s="5"/>
      <c r="S317" s="5"/>
      <c r="U317" s="5"/>
    </row>
    <row r="318" spans="1:21" x14ac:dyDescent="0.25">
      <c r="A318" s="49">
        <f t="shared" si="19"/>
        <v>46337</v>
      </c>
      <c r="B318" s="42" t="str">
        <f t="shared" si="17"/>
        <v>nov/26</v>
      </c>
      <c r="C318" s="39"/>
      <c r="D318" s="40"/>
      <c r="E318" s="182">
        <v>0</v>
      </c>
      <c r="F318" s="39"/>
      <c r="G318" s="40"/>
      <c r="H318" s="182">
        <v>0</v>
      </c>
      <c r="I318" s="39"/>
      <c r="J318" s="40"/>
      <c r="K318" s="5">
        <v>2000</v>
      </c>
      <c r="L318" s="157"/>
      <c r="M318" s="41">
        <v>2692.2353999999996</v>
      </c>
      <c r="O318" s="29"/>
      <c r="P318" s="5"/>
      <c r="R318" s="5"/>
      <c r="S318" s="5"/>
      <c r="U318" s="5"/>
    </row>
    <row r="319" spans="1:21" x14ac:dyDescent="0.25">
      <c r="A319" s="49">
        <f t="shared" si="19"/>
        <v>46338</v>
      </c>
      <c r="B319" s="42" t="str">
        <f t="shared" si="17"/>
        <v>nov/26</v>
      </c>
      <c r="C319" s="39"/>
      <c r="D319" s="40"/>
      <c r="E319" s="182">
        <v>0</v>
      </c>
      <c r="F319" s="39"/>
      <c r="G319" s="40"/>
      <c r="H319" s="182">
        <v>0</v>
      </c>
      <c r="I319" s="39"/>
      <c r="J319" s="40"/>
      <c r="K319" s="5">
        <v>2000</v>
      </c>
      <c r="L319" s="157"/>
      <c r="M319" s="41">
        <v>2692.2353999999996</v>
      </c>
      <c r="O319" s="29"/>
      <c r="P319" s="5"/>
      <c r="R319" s="5"/>
      <c r="S319" s="5"/>
      <c r="U319" s="5"/>
    </row>
    <row r="320" spans="1:21" x14ac:dyDescent="0.25">
      <c r="A320" s="49">
        <f t="shared" si="19"/>
        <v>46339</v>
      </c>
      <c r="B320" s="42" t="str">
        <f t="shared" si="17"/>
        <v>nov/26</v>
      </c>
      <c r="C320" s="39"/>
      <c r="D320" s="40"/>
      <c r="E320" s="182">
        <v>0</v>
      </c>
      <c r="F320" s="39"/>
      <c r="G320" s="40"/>
      <c r="H320" s="182">
        <v>0</v>
      </c>
      <c r="I320" s="39"/>
      <c r="J320" s="40"/>
      <c r="K320" s="5">
        <v>2000</v>
      </c>
      <c r="L320" s="157"/>
      <c r="M320" s="41">
        <v>2692.2353999999996</v>
      </c>
      <c r="O320" s="29"/>
      <c r="P320" s="5"/>
      <c r="R320" s="5"/>
      <c r="S320" s="5"/>
      <c r="U320" s="5"/>
    </row>
    <row r="321" spans="1:21" x14ac:dyDescent="0.25">
      <c r="A321" s="49">
        <f t="shared" si="19"/>
        <v>46340</v>
      </c>
      <c r="B321" s="42" t="str">
        <f t="shared" si="17"/>
        <v>nov/26</v>
      </c>
      <c r="C321" s="39"/>
      <c r="D321" s="40"/>
      <c r="E321" s="182">
        <v>0</v>
      </c>
      <c r="F321" s="39"/>
      <c r="G321" s="40"/>
      <c r="H321" s="182">
        <v>0</v>
      </c>
      <c r="I321" s="39"/>
      <c r="J321" s="40"/>
      <c r="K321" s="5">
        <v>2000</v>
      </c>
      <c r="L321" s="157"/>
      <c r="M321" s="41">
        <v>2692.2353999999996</v>
      </c>
      <c r="O321" s="29"/>
      <c r="P321" s="5"/>
      <c r="R321" s="5"/>
      <c r="S321" s="5"/>
      <c r="U321" s="5"/>
    </row>
    <row r="322" spans="1:21" x14ac:dyDescent="0.25">
      <c r="A322" s="49">
        <f t="shared" si="19"/>
        <v>46341</v>
      </c>
      <c r="B322" s="42" t="str">
        <f t="shared" si="17"/>
        <v>nov/26</v>
      </c>
      <c r="C322" s="39"/>
      <c r="D322" s="40"/>
      <c r="E322" s="182">
        <v>0</v>
      </c>
      <c r="F322" s="39"/>
      <c r="G322" s="40"/>
      <c r="H322" s="182">
        <v>0</v>
      </c>
      <c r="I322" s="39"/>
      <c r="J322" s="40"/>
      <c r="K322" s="5">
        <v>0</v>
      </c>
      <c r="L322" s="157"/>
      <c r="M322" s="41">
        <v>0</v>
      </c>
      <c r="O322" s="29"/>
      <c r="P322" s="5"/>
      <c r="R322" s="5"/>
      <c r="S322" s="5"/>
      <c r="U322" s="5"/>
    </row>
    <row r="323" spans="1:21" x14ac:dyDescent="0.25">
      <c r="A323" s="49">
        <f t="shared" si="19"/>
        <v>46342</v>
      </c>
      <c r="B323" s="42" t="str">
        <f t="shared" si="17"/>
        <v>nov/26</v>
      </c>
      <c r="C323" s="39"/>
      <c r="D323" s="40"/>
      <c r="E323" s="182">
        <v>0</v>
      </c>
      <c r="F323" s="39"/>
      <c r="G323" s="40"/>
      <c r="H323" s="182">
        <v>0</v>
      </c>
      <c r="I323" s="39"/>
      <c r="J323" s="40"/>
      <c r="K323" s="5">
        <v>2000</v>
      </c>
      <c r="L323" s="157"/>
      <c r="M323" s="41">
        <v>2692.2353999999996</v>
      </c>
      <c r="O323" s="29"/>
      <c r="P323" s="5"/>
      <c r="R323" s="5"/>
      <c r="S323" s="5"/>
      <c r="U323" s="5"/>
    </row>
    <row r="324" spans="1:21" x14ac:dyDescent="0.25">
      <c r="A324" s="49">
        <f t="shared" si="19"/>
        <v>46343</v>
      </c>
      <c r="B324" s="42" t="str">
        <f t="shared" si="17"/>
        <v>nov/26</v>
      </c>
      <c r="C324" s="39"/>
      <c r="D324" s="40"/>
      <c r="E324" s="182">
        <v>0</v>
      </c>
      <c r="F324" s="39"/>
      <c r="G324" s="40"/>
      <c r="H324" s="182">
        <v>0</v>
      </c>
      <c r="I324" s="39"/>
      <c r="J324" s="40"/>
      <c r="K324" s="5">
        <v>2000</v>
      </c>
      <c r="L324" s="157"/>
      <c r="M324" s="41">
        <v>2692.2353999999996</v>
      </c>
      <c r="O324" s="29"/>
      <c r="P324" s="5"/>
      <c r="R324" s="5"/>
      <c r="S324" s="5"/>
      <c r="U324" s="5"/>
    </row>
    <row r="325" spans="1:21" x14ac:dyDescent="0.25">
      <c r="A325" s="49">
        <f t="shared" si="19"/>
        <v>46344</v>
      </c>
      <c r="B325" s="42" t="str">
        <f t="shared" ref="B325:B388" si="20">TEXT(A325,"MMM/AA")</f>
        <v>nov/26</v>
      </c>
      <c r="C325" s="39"/>
      <c r="D325" s="40"/>
      <c r="E325" s="182">
        <v>0</v>
      </c>
      <c r="F325" s="39"/>
      <c r="G325" s="40"/>
      <c r="H325" s="182">
        <v>0</v>
      </c>
      <c r="I325" s="39"/>
      <c r="J325" s="40"/>
      <c r="K325" s="5">
        <v>2000</v>
      </c>
      <c r="L325" s="157"/>
      <c r="M325" s="41">
        <v>2692.2353999999996</v>
      </c>
      <c r="O325" s="29"/>
      <c r="P325" s="5"/>
      <c r="R325" s="5"/>
      <c r="S325" s="5"/>
      <c r="U325" s="5"/>
    </row>
    <row r="326" spans="1:21" x14ac:dyDescent="0.25">
      <c r="A326" s="49">
        <f t="shared" si="19"/>
        <v>46345</v>
      </c>
      <c r="B326" s="42" t="str">
        <f t="shared" si="20"/>
        <v>nov/26</v>
      </c>
      <c r="C326" s="39"/>
      <c r="D326" s="40"/>
      <c r="E326" s="182">
        <v>0</v>
      </c>
      <c r="F326" s="39"/>
      <c r="G326" s="40"/>
      <c r="H326" s="182">
        <v>0</v>
      </c>
      <c r="I326" s="39"/>
      <c r="J326" s="40"/>
      <c r="K326" s="5">
        <v>2000</v>
      </c>
      <c r="L326" s="157"/>
      <c r="M326" s="41">
        <v>2692.2353999999996</v>
      </c>
      <c r="O326" s="29"/>
      <c r="P326" s="5"/>
      <c r="R326" s="5"/>
      <c r="S326" s="5"/>
      <c r="U326" s="5"/>
    </row>
    <row r="327" spans="1:21" x14ac:dyDescent="0.25">
      <c r="A327" s="49">
        <f t="shared" si="19"/>
        <v>46346</v>
      </c>
      <c r="B327" s="42" t="str">
        <f t="shared" si="20"/>
        <v>nov/26</v>
      </c>
      <c r="C327" s="39"/>
      <c r="D327" s="40"/>
      <c r="E327" s="182">
        <v>0</v>
      </c>
      <c r="F327" s="39"/>
      <c r="G327" s="40"/>
      <c r="H327" s="182">
        <v>0</v>
      </c>
      <c r="I327" s="39"/>
      <c r="J327" s="40"/>
      <c r="K327" s="5">
        <v>2000</v>
      </c>
      <c r="L327" s="157"/>
      <c r="M327" s="41">
        <v>2692.2353999999996</v>
      </c>
      <c r="O327" s="29"/>
      <c r="P327" s="5"/>
      <c r="R327" s="5"/>
      <c r="S327" s="5"/>
      <c r="U327" s="5"/>
    </row>
    <row r="328" spans="1:21" x14ac:dyDescent="0.25">
      <c r="A328" s="49">
        <f t="shared" si="19"/>
        <v>46347</v>
      </c>
      <c r="B328" s="42" t="str">
        <f t="shared" si="20"/>
        <v>nov/26</v>
      </c>
      <c r="C328" s="39"/>
      <c r="D328" s="40"/>
      <c r="E328" s="182">
        <v>0</v>
      </c>
      <c r="F328" s="39"/>
      <c r="G328" s="40"/>
      <c r="H328" s="182">
        <v>0</v>
      </c>
      <c r="I328" s="39"/>
      <c r="J328" s="40"/>
      <c r="K328" s="5">
        <v>2000</v>
      </c>
      <c r="L328" s="157"/>
      <c r="M328" s="41">
        <v>2692.2353999999996</v>
      </c>
      <c r="O328" s="29"/>
      <c r="P328" s="5"/>
      <c r="R328" s="5"/>
      <c r="S328" s="5"/>
      <c r="U328" s="5"/>
    </row>
    <row r="329" spans="1:21" x14ac:dyDescent="0.25">
      <c r="A329" s="49">
        <f t="shared" si="19"/>
        <v>46348</v>
      </c>
      <c r="B329" s="42" t="str">
        <f t="shared" si="20"/>
        <v>nov/26</v>
      </c>
      <c r="C329" s="39"/>
      <c r="D329" s="40"/>
      <c r="E329" s="182">
        <v>0</v>
      </c>
      <c r="F329" s="39"/>
      <c r="G329" s="40"/>
      <c r="H329" s="182">
        <v>0</v>
      </c>
      <c r="I329" s="39"/>
      <c r="J329" s="40"/>
      <c r="K329" s="5">
        <v>0</v>
      </c>
      <c r="L329" s="157"/>
      <c r="M329" s="41">
        <v>0</v>
      </c>
      <c r="O329" s="29"/>
      <c r="P329" s="5"/>
      <c r="R329" s="5"/>
      <c r="S329" s="5"/>
      <c r="U329" s="5"/>
    </row>
    <row r="330" spans="1:21" x14ac:dyDescent="0.25">
      <c r="A330" s="49">
        <f t="shared" si="19"/>
        <v>46349</v>
      </c>
      <c r="B330" s="42" t="str">
        <f t="shared" si="20"/>
        <v>nov/26</v>
      </c>
      <c r="C330" s="39"/>
      <c r="D330" s="40"/>
      <c r="E330" s="182">
        <v>0</v>
      </c>
      <c r="F330" s="39"/>
      <c r="G330" s="40"/>
      <c r="H330" s="182">
        <v>0</v>
      </c>
      <c r="I330" s="39"/>
      <c r="J330" s="40"/>
      <c r="K330" s="5">
        <v>2000</v>
      </c>
      <c r="L330" s="157"/>
      <c r="M330" s="41">
        <v>2692.2353999999996</v>
      </c>
      <c r="O330" s="29"/>
      <c r="P330" s="5"/>
      <c r="R330" s="5"/>
      <c r="S330" s="5"/>
      <c r="U330" s="5"/>
    </row>
    <row r="331" spans="1:21" x14ac:dyDescent="0.25">
      <c r="A331" s="49">
        <f t="shared" si="19"/>
        <v>46350</v>
      </c>
      <c r="B331" s="42" t="str">
        <f t="shared" si="20"/>
        <v>nov/26</v>
      </c>
      <c r="C331" s="39"/>
      <c r="D331" s="40"/>
      <c r="E331" s="182">
        <v>0</v>
      </c>
      <c r="F331" s="39"/>
      <c r="G331" s="40"/>
      <c r="H331" s="182">
        <v>0</v>
      </c>
      <c r="I331" s="39"/>
      <c r="J331" s="40"/>
      <c r="K331" s="5">
        <v>2000</v>
      </c>
      <c r="L331" s="157"/>
      <c r="M331" s="41">
        <v>2692.2353999999996</v>
      </c>
      <c r="O331" s="29"/>
      <c r="P331" s="5"/>
      <c r="R331" s="5"/>
      <c r="S331" s="5"/>
      <c r="U331" s="5"/>
    </row>
    <row r="332" spans="1:21" x14ac:dyDescent="0.25">
      <c r="A332" s="49">
        <f t="shared" si="19"/>
        <v>46351</v>
      </c>
      <c r="B332" s="42" t="str">
        <f t="shared" si="20"/>
        <v>nov/26</v>
      </c>
      <c r="C332" s="39"/>
      <c r="D332" s="40"/>
      <c r="E332" s="182">
        <v>0</v>
      </c>
      <c r="F332" s="39"/>
      <c r="G332" s="40"/>
      <c r="H332" s="182">
        <v>0</v>
      </c>
      <c r="I332" s="39"/>
      <c r="J332" s="40"/>
      <c r="K332" s="5">
        <v>2000</v>
      </c>
      <c r="L332" s="157"/>
      <c r="M332" s="41">
        <v>2692.2353999999996</v>
      </c>
      <c r="O332" s="29"/>
      <c r="P332" s="5"/>
      <c r="R332" s="5"/>
      <c r="S332" s="5"/>
      <c r="U332" s="5"/>
    </row>
    <row r="333" spans="1:21" x14ac:dyDescent="0.25">
      <c r="A333" s="49">
        <f t="shared" si="19"/>
        <v>46352</v>
      </c>
      <c r="B333" s="42" t="str">
        <f t="shared" si="20"/>
        <v>nov/26</v>
      </c>
      <c r="C333" s="39"/>
      <c r="D333" s="40"/>
      <c r="E333" s="182">
        <v>0</v>
      </c>
      <c r="F333" s="39"/>
      <c r="G333" s="40"/>
      <c r="H333" s="182">
        <v>0</v>
      </c>
      <c r="I333" s="39"/>
      <c r="J333" s="40"/>
      <c r="K333" s="5">
        <v>2000</v>
      </c>
      <c r="L333" s="157"/>
      <c r="M333" s="41">
        <v>2692.2353999999996</v>
      </c>
      <c r="O333" s="29"/>
      <c r="P333" s="5"/>
      <c r="R333" s="5"/>
      <c r="S333" s="5"/>
      <c r="U333" s="5"/>
    </row>
    <row r="334" spans="1:21" x14ac:dyDescent="0.25">
      <c r="A334" s="49">
        <f t="shared" si="19"/>
        <v>46353</v>
      </c>
      <c r="B334" s="42" t="str">
        <f t="shared" si="20"/>
        <v>nov/26</v>
      </c>
      <c r="C334" s="39"/>
      <c r="D334" s="40"/>
      <c r="E334" s="182">
        <v>0</v>
      </c>
      <c r="F334" s="39"/>
      <c r="G334" s="40"/>
      <c r="H334" s="182">
        <v>0</v>
      </c>
      <c r="I334" s="39"/>
      <c r="J334" s="40"/>
      <c r="K334" s="5">
        <v>2000</v>
      </c>
      <c r="L334" s="157"/>
      <c r="M334" s="41">
        <v>2692.2353999999996</v>
      </c>
      <c r="O334" s="29"/>
      <c r="P334" s="5"/>
      <c r="R334" s="5"/>
      <c r="S334" s="5"/>
      <c r="U334" s="5"/>
    </row>
    <row r="335" spans="1:21" x14ac:dyDescent="0.25">
      <c r="A335" s="49">
        <f t="shared" si="19"/>
        <v>46354</v>
      </c>
      <c r="B335" s="42" t="str">
        <f t="shared" si="20"/>
        <v>nov/26</v>
      </c>
      <c r="C335" s="39"/>
      <c r="D335" s="40"/>
      <c r="E335" s="182">
        <v>0</v>
      </c>
      <c r="F335" s="39"/>
      <c r="G335" s="40"/>
      <c r="H335" s="182">
        <v>0</v>
      </c>
      <c r="I335" s="39"/>
      <c r="J335" s="40"/>
      <c r="K335" s="5">
        <v>2000</v>
      </c>
      <c r="L335" s="157"/>
      <c r="M335" s="41">
        <v>2692.2353999999996</v>
      </c>
      <c r="O335" s="29"/>
      <c r="P335" s="5"/>
      <c r="R335" s="5"/>
      <c r="S335" s="5"/>
      <c r="U335" s="5"/>
    </row>
    <row r="336" spans="1:21" x14ac:dyDescent="0.25">
      <c r="A336" s="49">
        <f t="shared" si="19"/>
        <v>46355</v>
      </c>
      <c r="B336" s="42" t="str">
        <f t="shared" si="20"/>
        <v>nov/26</v>
      </c>
      <c r="C336" s="39"/>
      <c r="D336" s="40"/>
      <c r="E336" s="182">
        <v>0</v>
      </c>
      <c r="F336" s="39"/>
      <c r="G336" s="40"/>
      <c r="H336" s="182">
        <v>0</v>
      </c>
      <c r="I336" s="39"/>
      <c r="J336" s="40"/>
      <c r="K336" s="5">
        <v>0</v>
      </c>
      <c r="L336" s="157"/>
      <c r="M336" s="41">
        <v>0</v>
      </c>
      <c r="O336" s="29"/>
      <c r="P336" s="5"/>
      <c r="R336" s="5"/>
      <c r="S336" s="5"/>
      <c r="U336" s="5"/>
    </row>
    <row r="337" spans="1:21" x14ac:dyDescent="0.25">
      <c r="A337" s="49">
        <f t="shared" si="19"/>
        <v>46356</v>
      </c>
      <c r="B337" s="42" t="str">
        <f t="shared" si="20"/>
        <v>nov/26</v>
      </c>
      <c r="C337" s="39"/>
      <c r="D337" s="40"/>
      <c r="E337" s="182">
        <v>0</v>
      </c>
      <c r="F337" s="39"/>
      <c r="G337" s="40"/>
      <c r="H337" s="182">
        <v>0</v>
      </c>
      <c r="I337" s="39"/>
      <c r="J337" s="40"/>
      <c r="K337" s="5">
        <v>2000</v>
      </c>
      <c r="L337" s="157"/>
      <c r="M337" s="41">
        <v>2692.2353999999996</v>
      </c>
      <c r="O337" s="29"/>
      <c r="P337" s="5"/>
      <c r="R337" s="5"/>
      <c r="S337" s="5"/>
      <c r="U337" s="5"/>
    </row>
    <row r="338" spans="1:21" x14ac:dyDescent="0.25">
      <c r="A338" s="49">
        <f t="shared" si="19"/>
        <v>46357</v>
      </c>
      <c r="B338" s="42" t="str">
        <f t="shared" si="20"/>
        <v>dez/26</v>
      </c>
      <c r="C338" s="39"/>
      <c r="D338" s="40"/>
      <c r="E338" s="182">
        <v>0</v>
      </c>
      <c r="F338" s="39"/>
      <c r="G338" s="40"/>
      <c r="H338" s="182">
        <v>0</v>
      </c>
      <c r="I338" s="39"/>
      <c r="J338" s="40"/>
      <c r="K338" s="5">
        <v>1851.851851851852</v>
      </c>
      <c r="L338" s="157"/>
      <c r="M338" s="41">
        <v>1342.4568518518518</v>
      </c>
      <c r="O338" s="29"/>
      <c r="P338" s="5"/>
      <c r="R338" s="5"/>
      <c r="S338" s="5"/>
      <c r="U338" s="5"/>
    </row>
    <row r="339" spans="1:21" x14ac:dyDescent="0.25">
      <c r="A339" s="49">
        <f t="shared" si="19"/>
        <v>46358</v>
      </c>
      <c r="B339" s="42" t="str">
        <f t="shared" si="20"/>
        <v>dez/26</v>
      </c>
      <c r="C339" s="39"/>
      <c r="D339" s="40"/>
      <c r="E339" s="182">
        <v>0</v>
      </c>
      <c r="F339" s="39"/>
      <c r="G339" s="40"/>
      <c r="H339" s="182">
        <v>0</v>
      </c>
      <c r="I339" s="39"/>
      <c r="J339" s="40"/>
      <c r="K339" s="5">
        <v>1851.851851851852</v>
      </c>
      <c r="L339" s="157"/>
      <c r="M339" s="41">
        <v>1342.4568518518518</v>
      </c>
      <c r="O339" s="29"/>
      <c r="P339" s="5"/>
      <c r="R339" s="5"/>
      <c r="S339" s="5"/>
      <c r="U339" s="5"/>
    </row>
    <row r="340" spans="1:21" x14ac:dyDescent="0.25">
      <c r="A340" s="49">
        <f t="shared" si="19"/>
        <v>46359</v>
      </c>
      <c r="B340" s="42" t="str">
        <f t="shared" si="20"/>
        <v>dez/26</v>
      </c>
      <c r="C340" s="39"/>
      <c r="D340" s="40"/>
      <c r="E340" s="182">
        <v>0</v>
      </c>
      <c r="F340" s="39"/>
      <c r="G340" s="40"/>
      <c r="H340" s="182">
        <v>0</v>
      </c>
      <c r="I340" s="39"/>
      <c r="J340" s="40"/>
      <c r="K340" s="5">
        <v>1851.851851851852</v>
      </c>
      <c r="L340" s="157"/>
      <c r="M340" s="41">
        <v>1342.4568518518518</v>
      </c>
      <c r="O340" s="29"/>
      <c r="P340" s="5"/>
      <c r="R340" s="5"/>
      <c r="S340" s="5"/>
      <c r="U340" s="5"/>
    </row>
    <row r="341" spans="1:21" x14ac:dyDescent="0.25">
      <c r="A341" s="49">
        <f t="shared" si="19"/>
        <v>46360</v>
      </c>
      <c r="B341" s="42" t="str">
        <f t="shared" si="20"/>
        <v>dez/26</v>
      </c>
      <c r="C341" s="39"/>
      <c r="D341" s="40"/>
      <c r="E341" s="182">
        <v>0</v>
      </c>
      <c r="F341" s="39"/>
      <c r="G341" s="40"/>
      <c r="H341" s="182">
        <v>0</v>
      </c>
      <c r="I341" s="39"/>
      <c r="J341" s="40"/>
      <c r="K341" s="5">
        <v>1851.851851851852</v>
      </c>
      <c r="L341" s="157"/>
      <c r="M341" s="41">
        <v>1342.4568518518518</v>
      </c>
      <c r="O341" s="29"/>
      <c r="P341" s="5"/>
      <c r="R341" s="5"/>
      <c r="S341" s="5"/>
      <c r="U341" s="5"/>
    </row>
    <row r="342" spans="1:21" x14ac:dyDescent="0.25">
      <c r="A342" s="49">
        <f t="shared" si="19"/>
        <v>46361</v>
      </c>
      <c r="B342" s="42" t="str">
        <f t="shared" si="20"/>
        <v>dez/26</v>
      </c>
      <c r="C342" s="39"/>
      <c r="D342" s="40"/>
      <c r="E342" s="182">
        <v>0</v>
      </c>
      <c r="F342" s="39"/>
      <c r="G342" s="40"/>
      <c r="H342" s="182">
        <v>0</v>
      </c>
      <c r="I342" s="39"/>
      <c r="J342" s="40"/>
      <c r="K342" s="5">
        <v>1851.851851851852</v>
      </c>
      <c r="L342" s="157"/>
      <c r="M342" s="41">
        <v>1342.4568518518518</v>
      </c>
      <c r="O342" s="29"/>
      <c r="P342" s="5"/>
      <c r="R342" s="5"/>
      <c r="S342" s="5"/>
      <c r="U342" s="5"/>
    </row>
    <row r="343" spans="1:21" x14ac:dyDescent="0.25">
      <c r="A343" s="49">
        <f t="shared" si="19"/>
        <v>46362</v>
      </c>
      <c r="B343" s="42" t="str">
        <f t="shared" si="20"/>
        <v>dez/26</v>
      </c>
      <c r="C343" s="39"/>
      <c r="D343" s="40"/>
      <c r="E343" s="182">
        <v>0</v>
      </c>
      <c r="F343" s="39"/>
      <c r="G343" s="40"/>
      <c r="H343" s="182">
        <v>0</v>
      </c>
      <c r="I343" s="39"/>
      <c r="J343" s="40"/>
      <c r="K343" s="5">
        <v>0</v>
      </c>
      <c r="L343" s="157"/>
      <c r="M343" s="41">
        <v>0</v>
      </c>
      <c r="O343" s="29"/>
      <c r="P343" s="5"/>
      <c r="R343" s="5"/>
      <c r="S343" s="5"/>
      <c r="U343" s="5"/>
    </row>
    <row r="344" spans="1:21" x14ac:dyDescent="0.25">
      <c r="A344" s="49">
        <f t="shared" si="19"/>
        <v>46363</v>
      </c>
      <c r="B344" s="42" t="str">
        <f t="shared" si="20"/>
        <v>dez/26</v>
      </c>
      <c r="C344" s="39"/>
      <c r="D344" s="40"/>
      <c r="E344" s="182">
        <v>0</v>
      </c>
      <c r="F344" s="39"/>
      <c r="G344" s="40"/>
      <c r="H344" s="182">
        <v>0</v>
      </c>
      <c r="I344" s="39"/>
      <c r="J344" s="40"/>
      <c r="K344" s="5">
        <v>1851.851851851852</v>
      </c>
      <c r="L344" s="157"/>
      <c r="M344" s="41">
        <v>1342.4568518518518</v>
      </c>
      <c r="O344" s="29"/>
      <c r="P344" s="5"/>
      <c r="R344" s="5"/>
      <c r="S344" s="5"/>
      <c r="U344" s="5"/>
    </row>
    <row r="345" spans="1:21" x14ac:dyDescent="0.25">
      <c r="A345" s="49">
        <f t="shared" si="19"/>
        <v>46364</v>
      </c>
      <c r="B345" s="42" t="str">
        <f t="shared" si="20"/>
        <v>dez/26</v>
      </c>
      <c r="C345" s="39"/>
      <c r="D345" s="40"/>
      <c r="E345" s="182">
        <v>0</v>
      </c>
      <c r="F345" s="39"/>
      <c r="G345" s="40"/>
      <c r="H345" s="182">
        <v>0</v>
      </c>
      <c r="I345" s="39"/>
      <c r="J345" s="40"/>
      <c r="K345" s="5">
        <v>1851.851851851852</v>
      </c>
      <c r="L345" s="157"/>
      <c r="M345" s="41">
        <v>1342.4568518518518</v>
      </c>
      <c r="O345" s="29"/>
      <c r="P345" s="5"/>
      <c r="R345" s="5"/>
      <c r="S345" s="5"/>
      <c r="U345" s="5"/>
    </row>
    <row r="346" spans="1:21" x14ac:dyDescent="0.25">
      <c r="A346" s="49">
        <f t="shared" si="19"/>
        <v>46365</v>
      </c>
      <c r="B346" s="42" t="str">
        <f t="shared" si="20"/>
        <v>dez/26</v>
      </c>
      <c r="C346" s="39"/>
      <c r="D346" s="40"/>
      <c r="E346" s="182">
        <v>0</v>
      </c>
      <c r="F346" s="39"/>
      <c r="G346" s="40"/>
      <c r="H346" s="182">
        <v>0</v>
      </c>
      <c r="I346" s="39"/>
      <c r="J346" s="40"/>
      <c r="K346" s="5">
        <v>1851.851851851852</v>
      </c>
      <c r="L346" s="157"/>
      <c r="M346" s="41">
        <v>1342.4568518518518</v>
      </c>
      <c r="O346" s="29"/>
      <c r="P346" s="5"/>
      <c r="R346" s="5"/>
      <c r="S346" s="5"/>
      <c r="U346" s="5"/>
    </row>
    <row r="347" spans="1:21" x14ac:dyDescent="0.25">
      <c r="A347" s="49">
        <f t="shared" si="19"/>
        <v>46366</v>
      </c>
      <c r="B347" s="42" t="str">
        <f t="shared" si="20"/>
        <v>dez/26</v>
      </c>
      <c r="C347" s="39"/>
      <c r="D347" s="40"/>
      <c r="E347" s="182">
        <v>0</v>
      </c>
      <c r="F347" s="39"/>
      <c r="G347" s="40"/>
      <c r="H347" s="182">
        <v>0</v>
      </c>
      <c r="I347" s="39"/>
      <c r="J347" s="40"/>
      <c r="K347" s="5">
        <v>1851.851851851852</v>
      </c>
      <c r="L347" s="157"/>
      <c r="M347" s="41">
        <v>1342.4568518518518</v>
      </c>
      <c r="O347" s="29"/>
      <c r="P347" s="5"/>
      <c r="R347" s="5"/>
      <c r="S347" s="5"/>
      <c r="U347" s="5"/>
    </row>
    <row r="348" spans="1:21" x14ac:dyDescent="0.25">
      <c r="A348" s="49">
        <f t="shared" si="19"/>
        <v>46367</v>
      </c>
      <c r="B348" s="42" t="str">
        <f t="shared" si="20"/>
        <v>dez/26</v>
      </c>
      <c r="C348" s="39"/>
      <c r="D348" s="40"/>
      <c r="E348" s="182">
        <v>0</v>
      </c>
      <c r="F348" s="39"/>
      <c r="G348" s="40"/>
      <c r="H348" s="182">
        <v>0</v>
      </c>
      <c r="I348" s="39"/>
      <c r="J348" s="40"/>
      <c r="K348" s="5">
        <v>1851.851851851852</v>
      </c>
      <c r="L348" s="157"/>
      <c r="M348" s="41">
        <v>1342.4568518518518</v>
      </c>
      <c r="O348" s="29"/>
      <c r="P348" s="5"/>
      <c r="R348" s="5"/>
      <c r="S348" s="5"/>
      <c r="U348" s="5"/>
    </row>
    <row r="349" spans="1:21" x14ac:dyDescent="0.25">
      <c r="A349" s="49">
        <f t="shared" si="19"/>
        <v>46368</v>
      </c>
      <c r="B349" s="42" t="str">
        <f t="shared" si="20"/>
        <v>dez/26</v>
      </c>
      <c r="C349" s="39"/>
      <c r="D349" s="40"/>
      <c r="E349" s="182">
        <v>0</v>
      </c>
      <c r="F349" s="39"/>
      <c r="G349" s="40"/>
      <c r="H349" s="182">
        <v>0</v>
      </c>
      <c r="I349" s="39"/>
      <c r="J349" s="40"/>
      <c r="K349" s="5">
        <v>1851.851851851852</v>
      </c>
      <c r="L349" s="157"/>
      <c r="M349" s="41">
        <v>1342.4568518518518</v>
      </c>
      <c r="O349" s="29"/>
      <c r="P349" s="5"/>
      <c r="R349" s="5"/>
      <c r="S349" s="5"/>
      <c r="U349" s="5"/>
    </row>
    <row r="350" spans="1:21" x14ac:dyDescent="0.25">
      <c r="A350" s="49">
        <f t="shared" si="19"/>
        <v>46369</v>
      </c>
      <c r="B350" s="42" t="str">
        <f t="shared" si="20"/>
        <v>dez/26</v>
      </c>
      <c r="C350" s="39"/>
      <c r="D350" s="40"/>
      <c r="E350" s="182">
        <v>0</v>
      </c>
      <c r="F350" s="39"/>
      <c r="G350" s="40"/>
      <c r="H350" s="182">
        <v>0</v>
      </c>
      <c r="I350" s="39"/>
      <c r="J350" s="40"/>
      <c r="K350" s="5">
        <v>0</v>
      </c>
      <c r="L350" s="157"/>
      <c r="M350" s="41">
        <v>0</v>
      </c>
      <c r="O350" s="29"/>
      <c r="P350" s="5"/>
      <c r="R350" s="5"/>
      <c r="S350" s="5"/>
      <c r="U350" s="5"/>
    </row>
    <row r="351" spans="1:21" x14ac:dyDescent="0.25">
      <c r="A351" s="49">
        <f t="shared" si="19"/>
        <v>46370</v>
      </c>
      <c r="B351" s="42" t="str">
        <f t="shared" si="20"/>
        <v>dez/26</v>
      </c>
      <c r="C351" s="39"/>
      <c r="D351" s="40"/>
      <c r="E351" s="182">
        <v>0</v>
      </c>
      <c r="F351" s="39"/>
      <c r="G351" s="40"/>
      <c r="H351" s="182">
        <v>0</v>
      </c>
      <c r="I351" s="39"/>
      <c r="J351" s="40"/>
      <c r="K351" s="5">
        <v>1851.851851851852</v>
      </c>
      <c r="L351" s="157"/>
      <c r="M351" s="41">
        <v>1342.4568518518518</v>
      </c>
      <c r="O351" s="29"/>
      <c r="P351" s="5"/>
      <c r="R351" s="5"/>
      <c r="S351" s="5"/>
      <c r="U351" s="5"/>
    </row>
    <row r="352" spans="1:21" x14ac:dyDescent="0.25">
      <c r="A352" s="49">
        <f t="shared" si="19"/>
        <v>46371</v>
      </c>
      <c r="B352" s="42" t="str">
        <f t="shared" si="20"/>
        <v>dez/26</v>
      </c>
      <c r="C352" s="39"/>
      <c r="D352" s="40"/>
      <c r="E352" s="182">
        <v>0</v>
      </c>
      <c r="F352" s="39"/>
      <c r="G352" s="40"/>
      <c r="H352" s="182">
        <v>0</v>
      </c>
      <c r="I352" s="39"/>
      <c r="J352" s="40"/>
      <c r="K352" s="5">
        <v>1851.851851851852</v>
      </c>
      <c r="L352" s="157"/>
      <c r="M352" s="41">
        <v>1342.4568518518518</v>
      </c>
      <c r="O352" s="29"/>
      <c r="P352" s="5"/>
      <c r="R352" s="5"/>
      <c r="S352" s="5"/>
      <c r="U352" s="5"/>
    </row>
    <row r="353" spans="1:21" x14ac:dyDescent="0.25">
      <c r="A353" s="49">
        <f t="shared" si="19"/>
        <v>46372</v>
      </c>
      <c r="B353" s="42" t="str">
        <f t="shared" si="20"/>
        <v>dez/26</v>
      </c>
      <c r="C353" s="39"/>
      <c r="D353" s="40"/>
      <c r="E353" s="182">
        <v>0</v>
      </c>
      <c r="F353" s="39"/>
      <c r="G353" s="40"/>
      <c r="H353" s="182">
        <v>0</v>
      </c>
      <c r="I353" s="39"/>
      <c r="J353" s="40"/>
      <c r="K353" s="5">
        <v>1851.851851851852</v>
      </c>
      <c r="L353" s="157"/>
      <c r="M353" s="41">
        <v>1342.4568518518518</v>
      </c>
      <c r="O353" s="29"/>
      <c r="P353" s="5"/>
      <c r="R353" s="5"/>
      <c r="S353" s="5"/>
      <c r="U353" s="5"/>
    </row>
    <row r="354" spans="1:21" x14ac:dyDescent="0.25">
      <c r="A354" s="49">
        <f t="shared" si="19"/>
        <v>46373</v>
      </c>
      <c r="B354" s="42" t="str">
        <f t="shared" si="20"/>
        <v>dez/26</v>
      </c>
      <c r="C354" s="39"/>
      <c r="D354" s="40"/>
      <c r="E354" s="182">
        <v>0</v>
      </c>
      <c r="F354" s="39"/>
      <c r="G354" s="40"/>
      <c r="H354" s="182">
        <v>0</v>
      </c>
      <c r="I354" s="39"/>
      <c r="J354" s="40"/>
      <c r="K354" s="5">
        <v>1851.851851851852</v>
      </c>
      <c r="L354" s="157"/>
      <c r="M354" s="41">
        <v>1342.4568518518518</v>
      </c>
      <c r="O354" s="29"/>
      <c r="P354" s="5"/>
      <c r="R354" s="5"/>
      <c r="S354" s="5"/>
      <c r="U354" s="5"/>
    </row>
    <row r="355" spans="1:21" x14ac:dyDescent="0.25">
      <c r="A355" s="49">
        <f t="shared" si="19"/>
        <v>46374</v>
      </c>
      <c r="B355" s="42" t="str">
        <f t="shared" si="20"/>
        <v>dez/26</v>
      </c>
      <c r="C355" s="39"/>
      <c r="D355" s="40"/>
      <c r="E355" s="182">
        <v>0</v>
      </c>
      <c r="F355" s="39"/>
      <c r="G355" s="40"/>
      <c r="H355" s="182">
        <v>0</v>
      </c>
      <c r="I355" s="39"/>
      <c r="J355" s="40"/>
      <c r="K355" s="5">
        <v>1851.851851851852</v>
      </c>
      <c r="L355" s="157"/>
      <c r="M355" s="41">
        <v>1342.4568518518518</v>
      </c>
      <c r="O355" s="29"/>
      <c r="P355" s="5"/>
      <c r="R355" s="5"/>
      <c r="S355" s="5"/>
      <c r="U355" s="5"/>
    </row>
    <row r="356" spans="1:21" x14ac:dyDescent="0.25">
      <c r="A356" s="49">
        <f t="shared" si="19"/>
        <v>46375</v>
      </c>
      <c r="B356" s="42" t="str">
        <f t="shared" si="20"/>
        <v>dez/26</v>
      </c>
      <c r="C356" s="39"/>
      <c r="D356" s="40"/>
      <c r="E356" s="182">
        <v>0</v>
      </c>
      <c r="F356" s="39"/>
      <c r="G356" s="40"/>
      <c r="H356" s="182">
        <v>0</v>
      </c>
      <c r="I356" s="39"/>
      <c r="J356" s="40"/>
      <c r="K356" s="5">
        <v>1851.851851851852</v>
      </c>
      <c r="L356" s="157"/>
      <c r="M356" s="41">
        <v>1342.4568518518518</v>
      </c>
      <c r="O356" s="29"/>
      <c r="P356" s="5"/>
      <c r="R356" s="5"/>
      <c r="S356" s="5"/>
      <c r="U356" s="5"/>
    </row>
    <row r="357" spans="1:21" x14ac:dyDescent="0.25">
      <c r="A357" s="49">
        <f t="shared" si="19"/>
        <v>46376</v>
      </c>
      <c r="B357" s="42" t="str">
        <f t="shared" si="20"/>
        <v>dez/26</v>
      </c>
      <c r="C357" s="39"/>
      <c r="D357" s="40"/>
      <c r="E357" s="182">
        <v>0</v>
      </c>
      <c r="F357" s="39"/>
      <c r="G357" s="40"/>
      <c r="H357" s="182">
        <v>0</v>
      </c>
      <c r="I357" s="39"/>
      <c r="J357" s="40"/>
      <c r="K357" s="5">
        <v>0</v>
      </c>
      <c r="L357" s="157"/>
      <c r="M357" s="41">
        <v>0</v>
      </c>
      <c r="O357" s="29"/>
      <c r="P357" s="5"/>
      <c r="R357" s="5"/>
      <c r="S357" s="5"/>
      <c r="U357" s="5"/>
    </row>
    <row r="358" spans="1:21" x14ac:dyDescent="0.25">
      <c r="A358" s="49">
        <f t="shared" si="19"/>
        <v>46377</v>
      </c>
      <c r="B358" s="42" t="str">
        <f t="shared" si="20"/>
        <v>dez/26</v>
      </c>
      <c r="C358" s="39"/>
      <c r="D358" s="40"/>
      <c r="E358" s="182">
        <v>0</v>
      </c>
      <c r="F358" s="39"/>
      <c r="G358" s="40"/>
      <c r="H358" s="182">
        <v>0</v>
      </c>
      <c r="I358" s="39"/>
      <c r="J358" s="40"/>
      <c r="K358" s="5">
        <v>1851.851851851852</v>
      </c>
      <c r="L358" s="157"/>
      <c r="M358" s="41">
        <v>1342.4568518518518</v>
      </c>
      <c r="O358" s="29"/>
      <c r="P358" s="5"/>
      <c r="R358" s="5"/>
      <c r="S358" s="5"/>
      <c r="U358" s="5"/>
    </row>
    <row r="359" spans="1:21" x14ac:dyDescent="0.25">
      <c r="A359" s="49">
        <f t="shared" si="19"/>
        <v>46378</v>
      </c>
      <c r="B359" s="42" t="str">
        <f t="shared" si="20"/>
        <v>dez/26</v>
      </c>
      <c r="C359" s="39"/>
      <c r="D359" s="40"/>
      <c r="E359" s="182">
        <v>0</v>
      </c>
      <c r="F359" s="39"/>
      <c r="G359" s="40"/>
      <c r="H359" s="182">
        <v>0</v>
      </c>
      <c r="I359" s="39"/>
      <c r="J359" s="40"/>
      <c r="K359" s="5">
        <v>1851.851851851852</v>
      </c>
      <c r="L359" s="157"/>
      <c r="M359" s="41">
        <v>1342.4568518518518</v>
      </c>
      <c r="O359" s="29"/>
      <c r="P359" s="5"/>
      <c r="R359" s="5"/>
      <c r="S359" s="5"/>
      <c r="U359" s="5"/>
    </row>
    <row r="360" spans="1:21" x14ac:dyDescent="0.25">
      <c r="A360" s="49">
        <f t="shared" si="19"/>
        <v>46379</v>
      </c>
      <c r="B360" s="42" t="str">
        <f t="shared" si="20"/>
        <v>dez/26</v>
      </c>
      <c r="C360" s="39"/>
      <c r="D360" s="40"/>
      <c r="E360" s="182">
        <v>0</v>
      </c>
      <c r="F360" s="39"/>
      <c r="G360" s="40"/>
      <c r="H360" s="182">
        <v>0</v>
      </c>
      <c r="I360" s="39"/>
      <c r="J360" s="40"/>
      <c r="K360" s="5">
        <v>1851.851851851852</v>
      </c>
      <c r="L360" s="157"/>
      <c r="M360" s="41">
        <v>1342.4568518518518</v>
      </c>
      <c r="O360" s="29"/>
      <c r="P360" s="5"/>
      <c r="R360" s="5"/>
      <c r="S360" s="5"/>
      <c r="U360" s="5"/>
    </row>
    <row r="361" spans="1:21" x14ac:dyDescent="0.25">
      <c r="A361" s="49">
        <f t="shared" si="19"/>
        <v>46380</v>
      </c>
      <c r="B361" s="42" t="str">
        <f t="shared" si="20"/>
        <v>dez/26</v>
      </c>
      <c r="C361" s="39"/>
      <c r="D361" s="40"/>
      <c r="E361" s="182">
        <v>0</v>
      </c>
      <c r="F361" s="39"/>
      <c r="G361" s="40"/>
      <c r="H361" s="182">
        <v>0</v>
      </c>
      <c r="I361" s="39"/>
      <c r="J361" s="40"/>
      <c r="K361" s="5">
        <v>1851.851851851852</v>
      </c>
      <c r="L361" s="157"/>
      <c r="M361" s="41">
        <v>1342.4568518518518</v>
      </c>
      <c r="O361" s="29"/>
      <c r="P361" s="5"/>
      <c r="R361" s="5"/>
      <c r="S361" s="5"/>
      <c r="U361" s="5"/>
    </row>
    <row r="362" spans="1:21" x14ac:dyDescent="0.25">
      <c r="A362" s="49">
        <f t="shared" si="19"/>
        <v>46381</v>
      </c>
      <c r="B362" s="42" t="str">
        <f t="shared" si="20"/>
        <v>dez/26</v>
      </c>
      <c r="C362" s="39"/>
      <c r="D362" s="40"/>
      <c r="E362" s="182">
        <v>0</v>
      </c>
      <c r="F362" s="39"/>
      <c r="G362" s="40"/>
      <c r="H362" s="182">
        <v>0</v>
      </c>
      <c r="I362" s="39"/>
      <c r="J362" s="40"/>
      <c r="K362" s="5">
        <v>1851.851851851852</v>
      </c>
      <c r="L362" s="157"/>
      <c r="M362" s="41">
        <v>1342.4568518518518</v>
      </c>
      <c r="O362" s="29"/>
      <c r="P362" s="5"/>
      <c r="R362" s="5"/>
      <c r="S362" s="5"/>
      <c r="U362" s="5"/>
    </row>
    <row r="363" spans="1:21" x14ac:dyDescent="0.25">
      <c r="A363" s="49">
        <f t="shared" si="19"/>
        <v>46382</v>
      </c>
      <c r="B363" s="42" t="str">
        <f t="shared" si="20"/>
        <v>dez/26</v>
      </c>
      <c r="C363" s="39"/>
      <c r="D363" s="40"/>
      <c r="E363" s="182">
        <v>0</v>
      </c>
      <c r="F363" s="39"/>
      <c r="G363" s="40"/>
      <c r="H363" s="182">
        <v>0</v>
      </c>
      <c r="I363" s="39"/>
      <c r="J363" s="40"/>
      <c r="K363" s="5">
        <v>1851.851851851852</v>
      </c>
      <c r="L363" s="157"/>
      <c r="M363" s="41">
        <v>1342.4568518518518</v>
      </c>
      <c r="O363" s="29"/>
      <c r="P363" s="5"/>
      <c r="R363" s="5"/>
      <c r="S363" s="5"/>
      <c r="U363" s="5"/>
    </row>
    <row r="364" spans="1:21" x14ac:dyDescent="0.25">
      <c r="A364" s="49">
        <f t="shared" si="19"/>
        <v>46383</v>
      </c>
      <c r="B364" s="42" t="str">
        <f t="shared" si="20"/>
        <v>dez/26</v>
      </c>
      <c r="C364" s="39"/>
      <c r="D364" s="40"/>
      <c r="E364" s="182">
        <v>0</v>
      </c>
      <c r="F364" s="39"/>
      <c r="G364" s="40"/>
      <c r="H364" s="182">
        <v>0</v>
      </c>
      <c r="I364" s="39"/>
      <c r="J364" s="40"/>
      <c r="K364" s="5">
        <v>0</v>
      </c>
      <c r="L364" s="157"/>
      <c r="M364" s="41">
        <v>0</v>
      </c>
      <c r="O364" s="29"/>
      <c r="P364" s="5"/>
      <c r="R364" s="5"/>
      <c r="S364" s="5"/>
      <c r="U364" s="5"/>
    </row>
    <row r="365" spans="1:21" x14ac:dyDescent="0.25">
      <c r="A365" s="49">
        <f t="shared" si="19"/>
        <v>46384</v>
      </c>
      <c r="B365" s="42" t="str">
        <f t="shared" si="20"/>
        <v>dez/26</v>
      </c>
      <c r="C365" s="39"/>
      <c r="D365" s="40"/>
      <c r="E365" s="182">
        <v>0</v>
      </c>
      <c r="F365" s="39"/>
      <c r="G365" s="40"/>
      <c r="H365" s="182">
        <v>0</v>
      </c>
      <c r="I365" s="39"/>
      <c r="J365" s="40"/>
      <c r="K365" s="5">
        <v>1851.851851851852</v>
      </c>
      <c r="L365" s="157"/>
      <c r="M365" s="41">
        <v>1342.4568518518518</v>
      </c>
      <c r="O365" s="29"/>
      <c r="P365" s="5"/>
      <c r="R365" s="5"/>
      <c r="S365" s="5"/>
      <c r="U365" s="5"/>
    </row>
    <row r="366" spans="1:21" x14ac:dyDescent="0.25">
      <c r="A366" s="49">
        <f t="shared" si="19"/>
        <v>46385</v>
      </c>
      <c r="B366" s="42" t="str">
        <f t="shared" si="20"/>
        <v>dez/26</v>
      </c>
      <c r="C366" s="39"/>
      <c r="D366" s="40"/>
      <c r="E366" s="182">
        <v>0</v>
      </c>
      <c r="F366" s="39"/>
      <c r="G366" s="40"/>
      <c r="H366" s="182">
        <v>0</v>
      </c>
      <c r="I366" s="39"/>
      <c r="J366" s="40"/>
      <c r="K366" s="5">
        <v>1851.851851851852</v>
      </c>
      <c r="L366" s="157"/>
      <c r="M366" s="41">
        <v>1342.4568518518518</v>
      </c>
      <c r="O366" s="29"/>
      <c r="P366" s="5"/>
      <c r="R366" s="5"/>
      <c r="S366" s="5"/>
      <c r="U366" s="5"/>
    </row>
    <row r="367" spans="1:21" x14ac:dyDescent="0.25">
      <c r="A367" s="49">
        <f t="shared" si="19"/>
        <v>46386</v>
      </c>
      <c r="B367" s="42" t="str">
        <f t="shared" si="20"/>
        <v>dez/26</v>
      </c>
      <c r="C367" s="39"/>
      <c r="D367" s="40"/>
      <c r="E367" s="182">
        <v>0</v>
      </c>
      <c r="F367" s="39"/>
      <c r="G367" s="40"/>
      <c r="H367" s="182">
        <v>0</v>
      </c>
      <c r="I367" s="39"/>
      <c r="J367" s="40"/>
      <c r="K367" s="5">
        <v>1851.851851851852</v>
      </c>
      <c r="L367" s="157"/>
      <c r="M367" s="41">
        <v>1342.4568518518518</v>
      </c>
      <c r="O367" s="29"/>
      <c r="P367" s="5"/>
      <c r="R367" s="5"/>
      <c r="S367" s="5"/>
      <c r="U367" s="5"/>
    </row>
    <row r="368" spans="1:21" x14ac:dyDescent="0.25">
      <c r="A368" s="49">
        <f t="shared" si="19"/>
        <v>46387</v>
      </c>
      <c r="B368" s="42" t="str">
        <f t="shared" si="20"/>
        <v>dez/26</v>
      </c>
      <c r="C368" s="39"/>
      <c r="D368" s="40"/>
      <c r="E368" s="182">
        <v>0</v>
      </c>
      <c r="F368" s="39"/>
      <c r="G368" s="40"/>
      <c r="H368" s="182">
        <v>0</v>
      </c>
      <c r="I368" s="39"/>
      <c r="J368" s="40"/>
      <c r="K368" s="5">
        <v>1851.851851851852</v>
      </c>
      <c r="L368" s="157"/>
      <c r="M368" s="41">
        <v>1342.4568518518518</v>
      </c>
      <c r="O368" s="29"/>
      <c r="P368" s="5"/>
      <c r="R368" s="5"/>
      <c r="S368" s="5"/>
      <c r="U368" s="5"/>
    </row>
    <row r="369" spans="1:21" x14ac:dyDescent="0.25">
      <c r="A369" s="49">
        <f t="shared" si="19"/>
        <v>46388</v>
      </c>
      <c r="B369" s="42" t="str">
        <f t="shared" si="20"/>
        <v>jan/27</v>
      </c>
      <c r="C369" s="39"/>
      <c r="D369" s="40"/>
      <c r="E369" s="182">
        <v>0</v>
      </c>
      <c r="F369" s="39"/>
      <c r="G369" s="40"/>
      <c r="H369" s="182">
        <v>0</v>
      </c>
      <c r="I369" s="39"/>
      <c r="J369" s="40"/>
      <c r="K369" s="5">
        <v>1923.0769230769231</v>
      </c>
      <c r="L369" s="157"/>
      <c r="M369" s="41">
        <v>2690.1097692307676</v>
      </c>
      <c r="O369" s="29"/>
      <c r="P369" s="5"/>
      <c r="R369" s="5"/>
      <c r="S369" s="5"/>
      <c r="U369" s="5"/>
    </row>
    <row r="370" spans="1:21" x14ac:dyDescent="0.25">
      <c r="A370" s="49">
        <f t="shared" si="19"/>
        <v>46389</v>
      </c>
      <c r="B370" s="42" t="str">
        <f t="shared" si="20"/>
        <v>jan/27</v>
      </c>
      <c r="C370" s="39"/>
      <c r="D370" s="40"/>
      <c r="E370" s="182">
        <v>0</v>
      </c>
      <c r="F370" s="39"/>
      <c r="G370" s="40"/>
      <c r="H370" s="182">
        <v>0</v>
      </c>
      <c r="I370" s="39"/>
      <c r="J370" s="40"/>
      <c r="K370" s="5">
        <v>1923.0769230769231</v>
      </c>
      <c r="L370" s="157"/>
      <c r="M370" s="41">
        <v>2690.1097692307676</v>
      </c>
      <c r="O370" s="29"/>
      <c r="P370" s="5"/>
      <c r="R370" s="5"/>
      <c r="S370" s="5"/>
      <c r="U370" s="5"/>
    </row>
    <row r="371" spans="1:21" x14ac:dyDescent="0.25">
      <c r="A371" s="49">
        <f t="shared" si="19"/>
        <v>46390</v>
      </c>
      <c r="B371" s="42" t="str">
        <f t="shared" si="20"/>
        <v>jan/27</v>
      </c>
      <c r="C371" s="39"/>
      <c r="D371" s="40"/>
      <c r="E371" s="182">
        <v>0</v>
      </c>
      <c r="F371" s="39"/>
      <c r="G371" s="40"/>
      <c r="H371" s="182">
        <v>0</v>
      </c>
      <c r="I371" s="39"/>
      <c r="J371" s="40"/>
      <c r="K371" s="5">
        <v>0</v>
      </c>
      <c r="L371" s="157"/>
      <c r="M371" s="41">
        <v>0</v>
      </c>
      <c r="O371" s="29"/>
      <c r="P371" s="5"/>
      <c r="R371" s="5"/>
      <c r="S371" s="5"/>
      <c r="U371" s="5"/>
    </row>
    <row r="372" spans="1:21" x14ac:dyDescent="0.25">
      <c r="A372" s="49">
        <f t="shared" si="19"/>
        <v>46391</v>
      </c>
      <c r="B372" s="42" t="str">
        <f t="shared" si="20"/>
        <v>jan/27</v>
      </c>
      <c r="C372" s="39"/>
      <c r="D372" s="40"/>
      <c r="E372" s="182">
        <v>0</v>
      </c>
      <c r="F372" s="39"/>
      <c r="G372" s="40"/>
      <c r="H372" s="182">
        <v>0</v>
      </c>
      <c r="I372" s="39"/>
      <c r="J372" s="40"/>
      <c r="K372" s="5">
        <v>1923.0769230769231</v>
      </c>
      <c r="L372" s="157"/>
      <c r="M372" s="41">
        <v>2690.1097692307676</v>
      </c>
      <c r="O372" s="29"/>
      <c r="P372" s="5"/>
      <c r="R372" s="5"/>
      <c r="S372" s="5"/>
      <c r="U372" s="5"/>
    </row>
    <row r="373" spans="1:21" x14ac:dyDescent="0.25">
      <c r="A373" s="49">
        <f t="shared" si="19"/>
        <v>46392</v>
      </c>
      <c r="B373" s="42" t="str">
        <f t="shared" si="20"/>
        <v>jan/27</v>
      </c>
      <c r="C373" s="39"/>
      <c r="D373" s="40"/>
      <c r="E373" s="182">
        <v>0</v>
      </c>
      <c r="F373" s="39"/>
      <c r="G373" s="40"/>
      <c r="H373" s="182">
        <v>0</v>
      </c>
      <c r="I373" s="39"/>
      <c r="J373" s="40"/>
      <c r="K373" s="5">
        <v>1923.0769230769231</v>
      </c>
      <c r="L373" s="157"/>
      <c r="M373" s="41">
        <v>2690.1097692307676</v>
      </c>
      <c r="O373" s="29"/>
      <c r="P373" s="5"/>
      <c r="R373" s="5"/>
      <c r="S373" s="5"/>
      <c r="U373" s="5"/>
    </row>
    <row r="374" spans="1:21" x14ac:dyDescent="0.25">
      <c r="A374" s="49">
        <f t="shared" si="19"/>
        <v>46393</v>
      </c>
      <c r="B374" s="42" t="str">
        <f t="shared" si="20"/>
        <v>jan/27</v>
      </c>
      <c r="C374" s="39"/>
      <c r="D374" s="40"/>
      <c r="E374" s="182">
        <v>0</v>
      </c>
      <c r="F374" s="39"/>
      <c r="G374" s="40"/>
      <c r="H374" s="182">
        <v>0</v>
      </c>
      <c r="I374" s="39"/>
      <c r="J374" s="40"/>
      <c r="K374" s="5">
        <v>1923.0769230769231</v>
      </c>
      <c r="L374" s="157"/>
      <c r="M374" s="41">
        <v>2690.1097692307676</v>
      </c>
      <c r="O374" s="29"/>
      <c r="P374" s="5"/>
      <c r="R374" s="5"/>
      <c r="S374" s="5"/>
      <c r="U374" s="5"/>
    </row>
    <row r="375" spans="1:21" x14ac:dyDescent="0.25">
      <c r="A375" s="49">
        <f t="shared" si="19"/>
        <v>46394</v>
      </c>
      <c r="B375" s="42" t="str">
        <f t="shared" si="20"/>
        <v>jan/27</v>
      </c>
      <c r="C375" s="39"/>
      <c r="D375" s="40"/>
      <c r="E375" s="182">
        <v>0</v>
      </c>
      <c r="F375" s="39"/>
      <c r="G375" s="40"/>
      <c r="H375" s="182">
        <v>0</v>
      </c>
      <c r="I375" s="39"/>
      <c r="J375" s="40"/>
      <c r="K375" s="5">
        <v>1923.0769230769231</v>
      </c>
      <c r="L375" s="157"/>
      <c r="M375" s="41">
        <v>2690.1097692307676</v>
      </c>
      <c r="O375" s="29"/>
      <c r="P375" s="5"/>
      <c r="R375" s="5"/>
      <c r="S375" s="5"/>
      <c r="U375" s="5"/>
    </row>
    <row r="376" spans="1:21" x14ac:dyDescent="0.25">
      <c r="A376" s="49">
        <f t="shared" ref="A376:A439" si="21">A375+1</f>
        <v>46395</v>
      </c>
      <c r="B376" s="42" t="str">
        <f t="shared" si="20"/>
        <v>jan/27</v>
      </c>
      <c r="C376" s="39"/>
      <c r="D376" s="40"/>
      <c r="E376" s="182">
        <v>0</v>
      </c>
      <c r="F376" s="39"/>
      <c r="G376" s="40"/>
      <c r="H376" s="182">
        <v>0</v>
      </c>
      <c r="I376" s="39"/>
      <c r="J376" s="40"/>
      <c r="K376" s="5">
        <v>1923.0769230769231</v>
      </c>
      <c r="L376" s="157"/>
      <c r="M376" s="41">
        <v>2690.1097692307676</v>
      </c>
      <c r="O376" s="29"/>
      <c r="P376" s="5"/>
      <c r="R376" s="5"/>
      <c r="S376" s="5"/>
      <c r="U376" s="5"/>
    </row>
    <row r="377" spans="1:21" x14ac:dyDescent="0.25">
      <c r="A377" s="49">
        <f t="shared" si="21"/>
        <v>46396</v>
      </c>
      <c r="B377" s="42" t="str">
        <f t="shared" si="20"/>
        <v>jan/27</v>
      </c>
      <c r="C377" s="39"/>
      <c r="D377" s="40"/>
      <c r="E377" s="182">
        <v>0</v>
      </c>
      <c r="F377" s="39"/>
      <c r="G377" s="40"/>
      <c r="H377" s="182">
        <v>0</v>
      </c>
      <c r="I377" s="39"/>
      <c r="J377" s="40"/>
      <c r="K377" s="5">
        <v>1923.0769230769231</v>
      </c>
      <c r="L377" s="157"/>
      <c r="M377" s="41">
        <v>2690.1097692307676</v>
      </c>
      <c r="O377" s="29"/>
      <c r="P377" s="5"/>
      <c r="R377" s="5"/>
      <c r="S377" s="5"/>
      <c r="U377" s="5"/>
    </row>
    <row r="378" spans="1:21" x14ac:dyDescent="0.25">
      <c r="A378" s="49">
        <f t="shared" si="21"/>
        <v>46397</v>
      </c>
      <c r="B378" s="42" t="str">
        <f t="shared" si="20"/>
        <v>jan/27</v>
      </c>
      <c r="C378" s="39"/>
      <c r="D378" s="40"/>
      <c r="E378" s="182">
        <v>0</v>
      </c>
      <c r="F378" s="39"/>
      <c r="G378" s="40"/>
      <c r="H378" s="182">
        <v>0</v>
      </c>
      <c r="I378" s="39"/>
      <c r="J378" s="40"/>
      <c r="K378" s="5">
        <v>0</v>
      </c>
      <c r="L378" s="157"/>
      <c r="M378" s="41">
        <v>0</v>
      </c>
      <c r="O378" s="29"/>
      <c r="P378" s="5"/>
      <c r="R378" s="5"/>
      <c r="S378" s="5"/>
      <c r="U378" s="5"/>
    </row>
    <row r="379" spans="1:21" x14ac:dyDescent="0.25">
      <c r="A379" s="49">
        <f t="shared" si="21"/>
        <v>46398</v>
      </c>
      <c r="B379" s="42" t="str">
        <f t="shared" si="20"/>
        <v>jan/27</v>
      </c>
      <c r="C379" s="39"/>
      <c r="D379" s="40"/>
      <c r="E379" s="182">
        <v>0</v>
      </c>
      <c r="F379" s="39"/>
      <c r="G379" s="40"/>
      <c r="H379" s="182">
        <v>0</v>
      </c>
      <c r="I379" s="39"/>
      <c r="J379" s="40"/>
      <c r="K379" s="5">
        <v>1923.0769230769231</v>
      </c>
      <c r="L379" s="157"/>
      <c r="M379" s="41">
        <v>2690.1097692307676</v>
      </c>
      <c r="O379" s="29"/>
      <c r="P379" s="5"/>
      <c r="R379" s="5"/>
      <c r="S379" s="5"/>
      <c r="U379" s="5"/>
    </row>
    <row r="380" spans="1:21" x14ac:dyDescent="0.25">
      <c r="A380" s="49">
        <f t="shared" si="21"/>
        <v>46399</v>
      </c>
      <c r="B380" s="42" t="str">
        <f t="shared" si="20"/>
        <v>jan/27</v>
      </c>
      <c r="C380" s="39"/>
      <c r="D380" s="40"/>
      <c r="E380" s="182">
        <v>0</v>
      </c>
      <c r="F380" s="39"/>
      <c r="G380" s="40"/>
      <c r="H380" s="182">
        <v>0</v>
      </c>
      <c r="I380" s="39"/>
      <c r="J380" s="40"/>
      <c r="K380" s="5">
        <v>1923.0769230769231</v>
      </c>
      <c r="L380" s="157"/>
      <c r="M380" s="41">
        <v>2690.1097692307676</v>
      </c>
      <c r="O380" s="29"/>
      <c r="P380" s="5"/>
      <c r="R380" s="5"/>
      <c r="S380" s="5"/>
      <c r="U380" s="5"/>
    </row>
    <row r="381" spans="1:21" x14ac:dyDescent="0.25">
      <c r="A381" s="49">
        <f t="shared" si="21"/>
        <v>46400</v>
      </c>
      <c r="B381" s="42" t="str">
        <f t="shared" si="20"/>
        <v>jan/27</v>
      </c>
      <c r="C381" s="39"/>
      <c r="D381" s="40"/>
      <c r="E381" s="182">
        <v>0</v>
      </c>
      <c r="F381" s="39"/>
      <c r="G381" s="40"/>
      <c r="H381" s="182">
        <v>0</v>
      </c>
      <c r="I381" s="39"/>
      <c r="J381" s="40"/>
      <c r="K381" s="5">
        <v>1923.0769230769231</v>
      </c>
      <c r="L381" s="157"/>
      <c r="M381" s="41">
        <v>2690.1097692307676</v>
      </c>
      <c r="O381" s="29"/>
      <c r="P381" s="5"/>
      <c r="R381" s="5"/>
      <c r="S381" s="5"/>
      <c r="U381" s="5"/>
    </row>
    <row r="382" spans="1:21" x14ac:dyDescent="0.25">
      <c r="A382" s="49">
        <f t="shared" si="21"/>
        <v>46401</v>
      </c>
      <c r="B382" s="42" t="str">
        <f t="shared" si="20"/>
        <v>jan/27</v>
      </c>
      <c r="C382" s="39"/>
      <c r="D382" s="40"/>
      <c r="E382" s="182">
        <v>0</v>
      </c>
      <c r="F382" s="39"/>
      <c r="G382" s="40"/>
      <c r="H382" s="182">
        <v>0</v>
      </c>
      <c r="I382" s="39"/>
      <c r="J382" s="40"/>
      <c r="K382" s="5">
        <v>1923.0769230769231</v>
      </c>
      <c r="L382" s="157"/>
      <c r="M382" s="41">
        <v>2690.1097692307676</v>
      </c>
      <c r="O382" s="29"/>
      <c r="P382" s="5"/>
      <c r="R382" s="5"/>
      <c r="S382" s="5"/>
      <c r="U382" s="5"/>
    </row>
    <row r="383" spans="1:21" x14ac:dyDescent="0.25">
      <c r="A383" s="49">
        <f t="shared" si="21"/>
        <v>46402</v>
      </c>
      <c r="B383" s="42" t="str">
        <f t="shared" si="20"/>
        <v>jan/27</v>
      </c>
      <c r="C383" s="39"/>
      <c r="D383" s="40"/>
      <c r="E383" s="182">
        <v>0</v>
      </c>
      <c r="F383" s="39"/>
      <c r="G383" s="40"/>
      <c r="H383" s="182">
        <v>0</v>
      </c>
      <c r="I383" s="39"/>
      <c r="J383" s="40"/>
      <c r="K383" s="5">
        <v>1923.0769230769231</v>
      </c>
      <c r="L383" s="157"/>
      <c r="M383" s="41">
        <v>2690.1097692307676</v>
      </c>
      <c r="O383" s="29"/>
      <c r="P383" s="5"/>
      <c r="R383" s="5"/>
      <c r="S383" s="5"/>
      <c r="U383" s="5"/>
    </row>
    <row r="384" spans="1:21" x14ac:dyDescent="0.25">
      <c r="A384" s="49">
        <f t="shared" si="21"/>
        <v>46403</v>
      </c>
      <c r="B384" s="42" t="str">
        <f t="shared" si="20"/>
        <v>jan/27</v>
      </c>
      <c r="C384" s="39"/>
      <c r="D384" s="40"/>
      <c r="E384" s="182">
        <v>0</v>
      </c>
      <c r="F384" s="39"/>
      <c r="G384" s="40"/>
      <c r="H384" s="182">
        <v>0</v>
      </c>
      <c r="I384" s="39"/>
      <c r="J384" s="40"/>
      <c r="K384" s="5">
        <v>1923.0769230769231</v>
      </c>
      <c r="L384" s="157"/>
      <c r="M384" s="41">
        <v>2690.1097692307676</v>
      </c>
      <c r="O384" s="29"/>
      <c r="P384" s="5"/>
      <c r="R384" s="5"/>
      <c r="S384" s="5"/>
      <c r="U384" s="5"/>
    </row>
    <row r="385" spans="1:21" x14ac:dyDescent="0.25">
      <c r="A385" s="49">
        <f t="shared" si="21"/>
        <v>46404</v>
      </c>
      <c r="B385" s="42" t="str">
        <f t="shared" si="20"/>
        <v>jan/27</v>
      </c>
      <c r="C385" s="39"/>
      <c r="D385" s="40"/>
      <c r="E385" s="182">
        <v>0</v>
      </c>
      <c r="F385" s="39"/>
      <c r="G385" s="40"/>
      <c r="H385" s="182">
        <v>0</v>
      </c>
      <c r="I385" s="39"/>
      <c r="J385" s="40"/>
      <c r="K385" s="5">
        <v>0</v>
      </c>
      <c r="L385" s="157"/>
      <c r="M385" s="41">
        <v>0</v>
      </c>
      <c r="O385" s="29"/>
      <c r="P385" s="5"/>
      <c r="R385" s="5"/>
      <c r="S385" s="5"/>
      <c r="U385" s="5"/>
    </row>
    <row r="386" spans="1:21" x14ac:dyDescent="0.25">
      <c r="A386" s="49">
        <f t="shared" si="21"/>
        <v>46405</v>
      </c>
      <c r="B386" s="42" t="str">
        <f t="shared" si="20"/>
        <v>jan/27</v>
      </c>
      <c r="C386" s="39"/>
      <c r="D386" s="40"/>
      <c r="E386" s="182">
        <v>0</v>
      </c>
      <c r="F386" s="39"/>
      <c r="G386" s="40"/>
      <c r="H386" s="182">
        <v>0</v>
      </c>
      <c r="I386" s="39"/>
      <c r="J386" s="40"/>
      <c r="K386" s="5">
        <v>1923.0769230769231</v>
      </c>
      <c r="L386" s="157"/>
      <c r="M386" s="41">
        <v>2690.1097692307676</v>
      </c>
      <c r="O386" s="29"/>
      <c r="P386" s="5"/>
      <c r="R386" s="5"/>
      <c r="S386" s="5"/>
      <c r="U386" s="5"/>
    </row>
    <row r="387" spans="1:21" x14ac:dyDescent="0.25">
      <c r="A387" s="49">
        <f t="shared" si="21"/>
        <v>46406</v>
      </c>
      <c r="B387" s="42" t="str">
        <f t="shared" si="20"/>
        <v>jan/27</v>
      </c>
      <c r="C387" s="39"/>
      <c r="D387" s="40"/>
      <c r="E387" s="182">
        <v>0</v>
      </c>
      <c r="F387" s="39"/>
      <c r="G387" s="40"/>
      <c r="H387" s="182">
        <v>0</v>
      </c>
      <c r="I387" s="39"/>
      <c r="J387" s="40"/>
      <c r="K387" s="5">
        <v>1923.0769230769231</v>
      </c>
      <c r="L387" s="157"/>
      <c r="M387" s="41">
        <v>2690.1097692307676</v>
      </c>
      <c r="O387" s="29"/>
      <c r="P387" s="5"/>
      <c r="R387" s="5"/>
      <c r="S387" s="5"/>
      <c r="U387" s="5"/>
    </row>
    <row r="388" spans="1:21" x14ac:dyDescent="0.25">
      <c r="A388" s="49">
        <f t="shared" si="21"/>
        <v>46407</v>
      </c>
      <c r="B388" s="42" t="str">
        <f t="shared" si="20"/>
        <v>jan/27</v>
      </c>
      <c r="C388" s="39"/>
      <c r="D388" s="40"/>
      <c r="E388" s="182">
        <v>0</v>
      </c>
      <c r="F388" s="39"/>
      <c r="G388" s="40"/>
      <c r="H388" s="182">
        <v>0</v>
      </c>
      <c r="I388" s="39"/>
      <c r="J388" s="40"/>
      <c r="K388" s="5">
        <v>1923.0769230769231</v>
      </c>
      <c r="L388" s="157"/>
      <c r="M388" s="41">
        <v>2690.1097692307676</v>
      </c>
      <c r="O388" s="29"/>
      <c r="P388" s="5"/>
      <c r="R388" s="5"/>
      <c r="S388" s="5"/>
      <c r="U388" s="5"/>
    </row>
    <row r="389" spans="1:21" x14ac:dyDescent="0.25">
      <c r="A389" s="49">
        <f t="shared" si="21"/>
        <v>46408</v>
      </c>
      <c r="B389" s="42" t="str">
        <f t="shared" ref="B389:B452" si="22">TEXT(A389,"MMM/AA")</f>
        <v>jan/27</v>
      </c>
      <c r="C389" s="39"/>
      <c r="D389" s="40"/>
      <c r="E389" s="182">
        <v>0</v>
      </c>
      <c r="F389" s="39"/>
      <c r="G389" s="40"/>
      <c r="H389" s="182">
        <v>0</v>
      </c>
      <c r="I389" s="39"/>
      <c r="J389" s="40"/>
      <c r="K389" s="5">
        <v>1923.0769230769231</v>
      </c>
      <c r="L389" s="157"/>
      <c r="M389" s="41">
        <v>2690.1097692307676</v>
      </c>
      <c r="O389" s="29"/>
      <c r="P389" s="5"/>
      <c r="R389" s="5"/>
      <c r="S389" s="5"/>
      <c r="U389" s="5"/>
    </row>
    <row r="390" spans="1:21" x14ac:dyDescent="0.25">
      <c r="A390" s="49">
        <f t="shared" si="21"/>
        <v>46409</v>
      </c>
      <c r="B390" s="42" t="str">
        <f t="shared" si="22"/>
        <v>jan/27</v>
      </c>
      <c r="C390" s="39"/>
      <c r="D390" s="40"/>
      <c r="E390" s="182">
        <v>0</v>
      </c>
      <c r="F390" s="39"/>
      <c r="G390" s="40"/>
      <c r="H390" s="182">
        <v>0</v>
      </c>
      <c r="I390" s="39"/>
      <c r="J390" s="40"/>
      <c r="K390" s="5">
        <v>1923.0769230769231</v>
      </c>
      <c r="L390" s="157"/>
      <c r="M390" s="41">
        <v>2690.1097692307676</v>
      </c>
      <c r="O390" s="29"/>
      <c r="P390" s="5"/>
      <c r="R390" s="5"/>
      <c r="S390" s="5"/>
      <c r="U390" s="5"/>
    </row>
    <row r="391" spans="1:21" x14ac:dyDescent="0.25">
      <c r="A391" s="49">
        <f t="shared" si="21"/>
        <v>46410</v>
      </c>
      <c r="B391" s="42" t="str">
        <f t="shared" si="22"/>
        <v>jan/27</v>
      </c>
      <c r="C391" s="39"/>
      <c r="D391" s="40"/>
      <c r="E391" s="182">
        <v>0</v>
      </c>
      <c r="F391" s="39"/>
      <c r="G391" s="40"/>
      <c r="H391" s="182">
        <v>0</v>
      </c>
      <c r="I391" s="39"/>
      <c r="J391" s="40"/>
      <c r="K391" s="5">
        <v>1923.0769230769231</v>
      </c>
      <c r="L391" s="157"/>
      <c r="M391" s="41">
        <v>2690.1097692307676</v>
      </c>
      <c r="O391" s="29"/>
      <c r="P391" s="5"/>
      <c r="R391" s="5"/>
      <c r="S391" s="5"/>
      <c r="U391" s="5"/>
    </row>
    <row r="392" spans="1:21" x14ac:dyDescent="0.25">
      <c r="A392" s="49">
        <f t="shared" si="21"/>
        <v>46411</v>
      </c>
      <c r="B392" s="42" t="str">
        <f t="shared" si="22"/>
        <v>jan/27</v>
      </c>
      <c r="C392" s="39"/>
      <c r="D392" s="40"/>
      <c r="E392" s="182">
        <v>0</v>
      </c>
      <c r="F392" s="39"/>
      <c r="G392" s="40"/>
      <c r="H392" s="182">
        <v>0</v>
      </c>
      <c r="I392" s="39"/>
      <c r="J392" s="40"/>
      <c r="K392" s="5">
        <v>0</v>
      </c>
      <c r="L392" s="157"/>
      <c r="M392" s="41">
        <v>0</v>
      </c>
      <c r="O392" s="29"/>
      <c r="P392" s="5"/>
      <c r="R392" s="5"/>
      <c r="S392" s="5"/>
      <c r="U392" s="5"/>
    </row>
    <row r="393" spans="1:21" x14ac:dyDescent="0.25">
      <c r="A393" s="49">
        <f t="shared" si="21"/>
        <v>46412</v>
      </c>
      <c r="B393" s="42" t="str">
        <f t="shared" si="22"/>
        <v>jan/27</v>
      </c>
      <c r="C393" s="39"/>
      <c r="D393" s="40"/>
      <c r="E393" s="182">
        <v>0</v>
      </c>
      <c r="F393" s="39"/>
      <c r="G393" s="40"/>
      <c r="H393" s="182">
        <v>0</v>
      </c>
      <c r="I393" s="39"/>
      <c r="J393" s="40"/>
      <c r="K393" s="5">
        <v>1923.0769230769231</v>
      </c>
      <c r="L393" s="157"/>
      <c r="M393" s="41">
        <v>2690.1097692307676</v>
      </c>
      <c r="O393" s="29"/>
      <c r="P393" s="5"/>
      <c r="R393" s="5"/>
      <c r="S393" s="5"/>
      <c r="U393" s="5"/>
    </row>
    <row r="394" spans="1:21" x14ac:dyDescent="0.25">
      <c r="A394" s="49">
        <f t="shared" si="21"/>
        <v>46413</v>
      </c>
      <c r="B394" s="42" t="str">
        <f t="shared" si="22"/>
        <v>jan/27</v>
      </c>
      <c r="C394" s="39"/>
      <c r="D394" s="40"/>
      <c r="E394" s="182">
        <v>0</v>
      </c>
      <c r="F394" s="39"/>
      <c r="G394" s="40"/>
      <c r="H394" s="182">
        <v>0</v>
      </c>
      <c r="I394" s="39"/>
      <c r="J394" s="40"/>
      <c r="K394" s="5">
        <v>1923.0769230769231</v>
      </c>
      <c r="L394" s="157"/>
      <c r="M394" s="41">
        <v>2690.1097692307676</v>
      </c>
      <c r="O394" s="29"/>
      <c r="P394" s="5"/>
      <c r="R394" s="5"/>
      <c r="S394" s="5"/>
      <c r="U394" s="5"/>
    </row>
    <row r="395" spans="1:21" x14ac:dyDescent="0.25">
      <c r="A395" s="49">
        <f t="shared" si="21"/>
        <v>46414</v>
      </c>
      <c r="B395" s="42" t="str">
        <f t="shared" si="22"/>
        <v>jan/27</v>
      </c>
      <c r="C395" s="39"/>
      <c r="D395" s="40"/>
      <c r="E395" s="182">
        <v>0</v>
      </c>
      <c r="F395" s="39"/>
      <c r="G395" s="40"/>
      <c r="H395" s="182">
        <v>0</v>
      </c>
      <c r="I395" s="39"/>
      <c r="J395" s="40"/>
      <c r="K395" s="5">
        <v>1923.0769230769231</v>
      </c>
      <c r="L395" s="157"/>
      <c r="M395" s="41">
        <v>2690.1097692307676</v>
      </c>
      <c r="O395" s="29"/>
      <c r="P395" s="5"/>
      <c r="R395" s="5"/>
      <c r="S395" s="5"/>
      <c r="U395" s="5"/>
    </row>
    <row r="396" spans="1:21" x14ac:dyDescent="0.25">
      <c r="A396" s="49">
        <f t="shared" si="21"/>
        <v>46415</v>
      </c>
      <c r="B396" s="42" t="str">
        <f t="shared" si="22"/>
        <v>jan/27</v>
      </c>
      <c r="C396" s="39"/>
      <c r="D396" s="40"/>
      <c r="E396" s="182">
        <v>0</v>
      </c>
      <c r="F396" s="39"/>
      <c r="G396" s="40"/>
      <c r="H396" s="182">
        <v>0</v>
      </c>
      <c r="I396" s="39"/>
      <c r="J396" s="40"/>
      <c r="K396" s="5">
        <v>1923.0769230769231</v>
      </c>
      <c r="L396" s="157"/>
      <c r="M396" s="41">
        <v>2690.1097692307676</v>
      </c>
      <c r="O396" s="29"/>
      <c r="P396" s="5"/>
      <c r="R396" s="5"/>
      <c r="S396" s="5"/>
      <c r="U396" s="5"/>
    </row>
    <row r="397" spans="1:21" x14ac:dyDescent="0.25">
      <c r="A397" s="49">
        <f t="shared" si="21"/>
        <v>46416</v>
      </c>
      <c r="B397" s="42" t="str">
        <f t="shared" si="22"/>
        <v>jan/27</v>
      </c>
      <c r="C397" s="39"/>
      <c r="D397" s="40"/>
      <c r="E397" s="182">
        <v>0</v>
      </c>
      <c r="F397" s="39"/>
      <c r="G397" s="40"/>
      <c r="H397" s="182">
        <v>0</v>
      </c>
      <c r="I397" s="39"/>
      <c r="J397" s="40"/>
      <c r="K397" s="5">
        <v>1923.0769230769231</v>
      </c>
      <c r="L397" s="157"/>
      <c r="M397" s="41">
        <v>2690.1097692307676</v>
      </c>
      <c r="O397" s="29"/>
      <c r="P397" s="5"/>
      <c r="R397" s="5"/>
      <c r="S397" s="5"/>
      <c r="U397" s="5"/>
    </row>
    <row r="398" spans="1:21" x14ac:dyDescent="0.25">
      <c r="A398" s="49">
        <f t="shared" si="21"/>
        <v>46417</v>
      </c>
      <c r="B398" s="42" t="str">
        <f t="shared" si="22"/>
        <v>jan/27</v>
      </c>
      <c r="C398" s="39"/>
      <c r="D398" s="40"/>
      <c r="E398" s="182">
        <v>0</v>
      </c>
      <c r="F398" s="39"/>
      <c r="G398" s="40"/>
      <c r="H398" s="182">
        <v>0</v>
      </c>
      <c r="I398" s="39"/>
      <c r="J398" s="40"/>
      <c r="K398" s="5">
        <v>1923.0769230769231</v>
      </c>
      <c r="L398" s="157"/>
      <c r="M398" s="41">
        <v>2690.1097692307676</v>
      </c>
      <c r="O398" s="29"/>
      <c r="P398" s="5"/>
      <c r="R398" s="5"/>
      <c r="S398" s="5"/>
      <c r="U398" s="5"/>
    </row>
    <row r="399" spans="1:21" x14ac:dyDescent="0.25">
      <c r="A399" s="49">
        <f t="shared" si="21"/>
        <v>46418</v>
      </c>
      <c r="B399" s="42" t="str">
        <f t="shared" si="22"/>
        <v>jan/27</v>
      </c>
      <c r="C399" s="39"/>
      <c r="D399" s="40"/>
      <c r="E399" s="182">
        <v>0</v>
      </c>
      <c r="F399" s="39"/>
      <c r="G399" s="40"/>
      <c r="H399" s="182">
        <v>0</v>
      </c>
      <c r="I399" s="39"/>
      <c r="J399" s="40"/>
      <c r="K399" s="5">
        <v>0</v>
      </c>
      <c r="L399" s="157"/>
      <c r="M399" s="41">
        <v>0</v>
      </c>
      <c r="O399" s="29"/>
      <c r="P399" s="5"/>
      <c r="R399" s="5"/>
      <c r="S399" s="5"/>
      <c r="U399" s="5"/>
    </row>
    <row r="400" spans="1:21" x14ac:dyDescent="0.25">
      <c r="A400" s="49">
        <f t="shared" si="21"/>
        <v>46419</v>
      </c>
      <c r="B400" s="42" t="str">
        <f t="shared" si="22"/>
        <v>fev/27</v>
      </c>
      <c r="C400" s="39"/>
      <c r="D400" s="40"/>
      <c r="E400" s="182">
        <v>0</v>
      </c>
      <c r="F400" s="39"/>
      <c r="G400" s="40"/>
      <c r="H400" s="182">
        <v>0</v>
      </c>
      <c r="I400" s="39"/>
      <c r="J400" s="40"/>
      <c r="K400" s="5">
        <v>2083.3333333333335</v>
      </c>
      <c r="L400" s="157"/>
      <c r="M400" s="41">
        <v>1374.820041666668</v>
      </c>
      <c r="O400" s="29"/>
      <c r="P400" s="5"/>
      <c r="R400" s="5"/>
      <c r="S400" s="5"/>
      <c r="U400" s="5"/>
    </row>
    <row r="401" spans="1:21" x14ac:dyDescent="0.25">
      <c r="A401" s="49">
        <f t="shared" si="21"/>
        <v>46420</v>
      </c>
      <c r="B401" s="42" t="str">
        <f t="shared" si="22"/>
        <v>fev/27</v>
      </c>
      <c r="C401" s="39"/>
      <c r="D401" s="40"/>
      <c r="E401" s="182">
        <v>0</v>
      </c>
      <c r="F401" s="39"/>
      <c r="G401" s="40"/>
      <c r="H401" s="182">
        <v>0</v>
      </c>
      <c r="I401" s="39"/>
      <c r="J401" s="40"/>
      <c r="K401" s="5">
        <v>2083.3333333333335</v>
      </c>
      <c r="L401" s="157"/>
      <c r="M401" s="41">
        <v>1374.820041666668</v>
      </c>
      <c r="O401" s="29"/>
      <c r="P401" s="5"/>
      <c r="R401" s="5"/>
      <c r="S401" s="5"/>
      <c r="U401" s="5"/>
    </row>
    <row r="402" spans="1:21" x14ac:dyDescent="0.25">
      <c r="A402" s="49">
        <f t="shared" si="21"/>
        <v>46421</v>
      </c>
      <c r="B402" s="42" t="str">
        <f t="shared" si="22"/>
        <v>fev/27</v>
      </c>
      <c r="C402" s="39"/>
      <c r="D402" s="40"/>
      <c r="E402" s="182">
        <v>0</v>
      </c>
      <c r="F402" s="39"/>
      <c r="G402" s="40"/>
      <c r="H402" s="182">
        <v>0</v>
      </c>
      <c r="I402" s="39"/>
      <c r="J402" s="40"/>
      <c r="K402" s="5">
        <v>2083.3333333333335</v>
      </c>
      <c r="L402" s="157"/>
      <c r="M402" s="41">
        <v>1374.820041666668</v>
      </c>
      <c r="O402" s="29"/>
      <c r="P402" s="5"/>
      <c r="R402" s="5"/>
      <c r="S402" s="5"/>
      <c r="U402" s="5"/>
    </row>
    <row r="403" spans="1:21" x14ac:dyDescent="0.25">
      <c r="A403" s="49">
        <f t="shared" si="21"/>
        <v>46422</v>
      </c>
      <c r="B403" s="42" t="str">
        <f t="shared" si="22"/>
        <v>fev/27</v>
      </c>
      <c r="C403" s="39"/>
      <c r="D403" s="40"/>
      <c r="E403" s="182">
        <v>0</v>
      </c>
      <c r="F403" s="39"/>
      <c r="G403" s="40"/>
      <c r="H403" s="182">
        <v>0</v>
      </c>
      <c r="I403" s="39"/>
      <c r="J403" s="40"/>
      <c r="K403" s="5">
        <v>2083.3333333333335</v>
      </c>
      <c r="L403" s="157"/>
      <c r="M403" s="41">
        <v>1374.820041666668</v>
      </c>
      <c r="O403" s="29"/>
      <c r="P403" s="5"/>
      <c r="R403" s="5"/>
      <c r="S403" s="5"/>
      <c r="U403" s="5"/>
    </row>
    <row r="404" spans="1:21" x14ac:dyDescent="0.25">
      <c r="A404" s="49">
        <f t="shared" si="21"/>
        <v>46423</v>
      </c>
      <c r="B404" s="42" t="str">
        <f t="shared" si="22"/>
        <v>fev/27</v>
      </c>
      <c r="C404" s="39"/>
      <c r="D404" s="40"/>
      <c r="E404" s="182">
        <v>0</v>
      </c>
      <c r="F404" s="39"/>
      <c r="G404" s="40"/>
      <c r="H404" s="182">
        <v>0</v>
      </c>
      <c r="I404" s="39"/>
      <c r="J404" s="40"/>
      <c r="K404" s="5">
        <v>2083.3333333333335</v>
      </c>
      <c r="L404" s="157"/>
      <c r="M404" s="41">
        <v>1374.820041666668</v>
      </c>
      <c r="O404" s="29"/>
      <c r="P404" s="5"/>
      <c r="R404" s="5"/>
      <c r="S404" s="5"/>
      <c r="U404" s="5"/>
    </row>
    <row r="405" spans="1:21" x14ac:dyDescent="0.25">
      <c r="A405" s="49">
        <f t="shared" si="21"/>
        <v>46424</v>
      </c>
      <c r="B405" s="42" t="str">
        <f t="shared" si="22"/>
        <v>fev/27</v>
      </c>
      <c r="C405" s="39"/>
      <c r="D405" s="40"/>
      <c r="E405" s="182">
        <v>0</v>
      </c>
      <c r="F405" s="39"/>
      <c r="G405" s="40"/>
      <c r="H405" s="182">
        <v>0</v>
      </c>
      <c r="I405" s="39"/>
      <c r="J405" s="40"/>
      <c r="K405" s="5">
        <v>2083.3333333333335</v>
      </c>
      <c r="L405" s="157"/>
      <c r="M405" s="41">
        <v>1374.820041666668</v>
      </c>
      <c r="O405" s="29"/>
      <c r="P405" s="5"/>
      <c r="R405" s="5"/>
      <c r="S405" s="5"/>
      <c r="U405" s="5"/>
    </row>
    <row r="406" spans="1:21" x14ac:dyDescent="0.25">
      <c r="A406" s="49">
        <f t="shared" si="21"/>
        <v>46425</v>
      </c>
      <c r="B406" s="42" t="str">
        <f t="shared" si="22"/>
        <v>fev/27</v>
      </c>
      <c r="C406" s="39"/>
      <c r="D406" s="40"/>
      <c r="E406" s="182">
        <v>0</v>
      </c>
      <c r="F406" s="39"/>
      <c r="G406" s="40"/>
      <c r="H406" s="182">
        <v>0</v>
      </c>
      <c r="I406" s="39"/>
      <c r="J406" s="40"/>
      <c r="K406" s="5">
        <v>0</v>
      </c>
      <c r="L406" s="157"/>
      <c r="M406" s="41">
        <v>0</v>
      </c>
      <c r="O406" s="29"/>
      <c r="P406" s="5"/>
      <c r="R406" s="5"/>
      <c r="S406" s="5"/>
      <c r="U406" s="5"/>
    </row>
    <row r="407" spans="1:21" x14ac:dyDescent="0.25">
      <c r="A407" s="49">
        <f t="shared" si="21"/>
        <v>46426</v>
      </c>
      <c r="B407" s="42" t="str">
        <f t="shared" si="22"/>
        <v>fev/27</v>
      </c>
      <c r="C407" s="39"/>
      <c r="D407" s="40"/>
      <c r="E407" s="182">
        <v>0</v>
      </c>
      <c r="F407" s="39"/>
      <c r="G407" s="40"/>
      <c r="H407" s="182">
        <v>0</v>
      </c>
      <c r="I407" s="39"/>
      <c r="J407" s="40"/>
      <c r="K407" s="5">
        <v>2083.3333333333335</v>
      </c>
      <c r="L407" s="157"/>
      <c r="M407" s="41">
        <v>1374.820041666668</v>
      </c>
      <c r="O407" s="29"/>
      <c r="P407" s="5"/>
      <c r="R407" s="5"/>
      <c r="S407" s="5"/>
      <c r="U407" s="5"/>
    </row>
    <row r="408" spans="1:21" x14ac:dyDescent="0.25">
      <c r="A408" s="49">
        <f t="shared" si="21"/>
        <v>46427</v>
      </c>
      <c r="B408" s="42" t="str">
        <f t="shared" si="22"/>
        <v>fev/27</v>
      </c>
      <c r="C408" s="39"/>
      <c r="D408" s="40"/>
      <c r="E408" s="182">
        <v>0</v>
      </c>
      <c r="F408" s="39"/>
      <c r="G408" s="40"/>
      <c r="H408" s="182">
        <v>0</v>
      </c>
      <c r="I408" s="39"/>
      <c r="J408" s="40"/>
      <c r="K408" s="5">
        <v>2083.3333333333335</v>
      </c>
      <c r="L408" s="157"/>
      <c r="M408" s="41">
        <v>1374.820041666668</v>
      </c>
      <c r="O408" s="29"/>
      <c r="P408" s="5"/>
      <c r="R408" s="5"/>
      <c r="S408" s="5"/>
      <c r="U408" s="5"/>
    </row>
    <row r="409" spans="1:21" x14ac:dyDescent="0.25">
      <c r="A409" s="49">
        <f t="shared" si="21"/>
        <v>46428</v>
      </c>
      <c r="B409" s="42" t="str">
        <f t="shared" si="22"/>
        <v>fev/27</v>
      </c>
      <c r="C409" s="39"/>
      <c r="D409" s="40"/>
      <c r="E409" s="182">
        <v>0</v>
      </c>
      <c r="F409" s="39"/>
      <c r="G409" s="40"/>
      <c r="H409" s="182">
        <v>0</v>
      </c>
      <c r="I409" s="39"/>
      <c r="J409" s="40"/>
      <c r="K409" s="5">
        <v>2083.3333333333335</v>
      </c>
      <c r="L409" s="157"/>
      <c r="M409" s="41">
        <v>1374.820041666668</v>
      </c>
      <c r="O409" s="29"/>
      <c r="P409" s="5"/>
      <c r="R409" s="5"/>
      <c r="S409" s="5"/>
      <c r="U409" s="5"/>
    </row>
    <row r="410" spans="1:21" x14ac:dyDescent="0.25">
      <c r="A410" s="49">
        <f t="shared" si="21"/>
        <v>46429</v>
      </c>
      <c r="B410" s="42" t="str">
        <f t="shared" si="22"/>
        <v>fev/27</v>
      </c>
      <c r="C410" s="39"/>
      <c r="D410" s="40"/>
      <c r="E410" s="182">
        <v>0</v>
      </c>
      <c r="F410" s="39"/>
      <c r="G410" s="40"/>
      <c r="H410" s="182">
        <v>0</v>
      </c>
      <c r="I410" s="39"/>
      <c r="J410" s="40"/>
      <c r="K410" s="5">
        <v>2083.3333333333335</v>
      </c>
      <c r="L410" s="157"/>
      <c r="M410" s="41">
        <v>1374.820041666668</v>
      </c>
      <c r="O410" s="29"/>
      <c r="P410" s="5"/>
      <c r="R410" s="5"/>
      <c r="S410" s="5"/>
      <c r="U410" s="5"/>
    </row>
    <row r="411" spans="1:21" x14ac:dyDescent="0.25">
      <c r="A411" s="49">
        <f t="shared" si="21"/>
        <v>46430</v>
      </c>
      <c r="B411" s="42" t="str">
        <f t="shared" si="22"/>
        <v>fev/27</v>
      </c>
      <c r="C411" s="39"/>
      <c r="D411" s="40"/>
      <c r="E411" s="182">
        <v>0</v>
      </c>
      <c r="F411" s="39"/>
      <c r="G411" s="40"/>
      <c r="H411" s="182">
        <v>0</v>
      </c>
      <c r="I411" s="39"/>
      <c r="J411" s="40"/>
      <c r="K411" s="5">
        <v>2083.3333333333335</v>
      </c>
      <c r="L411" s="157"/>
      <c r="M411" s="41">
        <v>1374.820041666668</v>
      </c>
      <c r="O411" s="29"/>
      <c r="P411" s="5"/>
      <c r="R411" s="5"/>
      <c r="S411" s="5"/>
      <c r="U411" s="5"/>
    </row>
    <row r="412" spans="1:21" x14ac:dyDescent="0.25">
      <c r="A412" s="49">
        <f t="shared" si="21"/>
        <v>46431</v>
      </c>
      <c r="B412" s="42" t="str">
        <f t="shared" si="22"/>
        <v>fev/27</v>
      </c>
      <c r="C412" s="39"/>
      <c r="D412" s="40"/>
      <c r="E412" s="182">
        <v>0</v>
      </c>
      <c r="F412" s="39"/>
      <c r="G412" s="40"/>
      <c r="H412" s="182">
        <v>0</v>
      </c>
      <c r="I412" s="39"/>
      <c r="J412" s="40"/>
      <c r="K412" s="5">
        <v>2083.3333333333335</v>
      </c>
      <c r="L412" s="157"/>
      <c r="M412" s="41">
        <v>1374.820041666668</v>
      </c>
      <c r="O412" s="29"/>
      <c r="P412" s="5"/>
      <c r="R412" s="5"/>
      <c r="S412" s="5"/>
      <c r="U412" s="5"/>
    </row>
    <row r="413" spans="1:21" x14ac:dyDescent="0.25">
      <c r="A413" s="49">
        <f t="shared" si="21"/>
        <v>46432</v>
      </c>
      <c r="B413" s="42" t="str">
        <f t="shared" si="22"/>
        <v>fev/27</v>
      </c>
      <c r="C413" s="39"/>
      <c r="D413" s="40"/>
      <c r="E413" s="182">
        <v>0</v>
      </c>
      <c r="F413" s="39"/>
      <c r="G413" s="40"/>
      <c r="H413" s="182">
        <v>0</v>
      </c>
      <c r="I413" s="39"/>
      <c r="J413" s="40"/>
      <c r="K413" s="5">
        <v>0</v>
      </c>
      <c r="L413" s="157"/>
      <c r="M413" s="41">
        <v>0</v>
      </c>
      <c r="O413" s="29"/>
      <c r="P413" s="5"/>
      <c r="R413" s="5"/>
      <c r="S413" s="5"/>
      <c r="U413" s="5"/>
    </row>
    <row r="414" spans="1:21" x14ac:dyDescent="0.25">
      <c r="A414" s="49">
        <f t="shared" si="21"/>
        <v>46433</v>
      </c>
      <c r="B414" s="42" t="str">
        <f t="shared" si="22"/>
        <v>fev/27</v>
      </c>
      <c r="C414" s="39"/>
      <c r="D414" s="40"/>
      <c r="E414" s="182">
        <v>0</v>
      </c>
      <c r="F414" s="39"/>
      <c r="G414" s="40"/>
      <c r="H414" s="182">
        <v>0</v>
      </c>
      <c r="I414" s="39"/>
      <c r="J414" s="40"/>
      <c r="K414" s="5">
        <v>2083.3333333333335</v>
      </c>
      <c r="L414" s="157"/>
      <c r="M414" s="41">
        <v>1374.820041666668</v>
      </c>
      <c r="O414" s="29"/>
      <c r="P414" s="5"/>
      <c r="R414" s="5"/>
      <c r="S414" s="5"/>
      <c r="U414" s="5"/>
    </row>
    <row r="415" spans="1:21" x14ac:dyDescent="0.25">
      <c r="A415" s="49">
        <f t="shared" si="21"/>
        <v>46434</v>
      </c>
      <c r="B415" s="42" t="str">
        <f t="shared" si="22"/>
        <v>fev/27</v>
      </c>
      <c r="C415" s="39"/>
      <c r="D415" s="40"/>
      <c r="E415" s="182">
        <v>0</v>
      </c>
      <c r="F415" s="39"/>
      <c r="G415" s="40"/>
      <c r="H415" s="182">
        <v>0</v>
      </c>
      <c r="I415" s="39"/>
      <c r="J415" s="40"/>
      <c r="K415" s="5">
        <v>2083.3333333333335</v>
      </c>
      <c r="L415" s="157"/>
      <c r="M415" s="41">
        <v>1374.820041666668</v>
      </c>
      <c r="O415" s="29"/>
      <c r="P415" s="5"/>
      <c r="R415" s="5"/>
      <c r="S415" s="5"/>
      <c r="U415" s="5"/>
    </row>
    <row r="416" spans="1:21" x14ac:dyDescent="0.25">
      <c r="A416" s="49">
        <f t="shared" si="21"/>
        <v>46435</v>
      </c>
      <c r="B416" s="42" t="str">
        <f t="shared" si="22"/>
        <v>fev/27</v>
      </c>
      <c r="C416" s="39"/>
      <c r="D416" s="40"/>
      <c r="E416" s="182">
        <v>0</v>
      </c>
      <c r="F416" s="39"/>
      <c r="G416" s="40"/>
      <c r="H416" s="182">
        <v>0</v>
      </c>
      <c r="I416" s="39"/>
      <c r="J416" s="40"/>
      <c r="K416" s="5">
        <v>2083.3333333333335</v>
      </c>
      <c r="L416" s="157"/>
      <c r="M416" s="41">
        <v>1374.820041666668</v>
      </c>
      <c r="O416" s="29"/>
      <c r="P416" s="5"/>
      <c r="R416" s="5"/>
      <c r="S416" s="5"/>
      <c r="U416" s="5"/>
    </row>
    <row r="417" spans="1:21" x14ac:dyDescent="0.25">
      <c r="A417" s="49">
        <f t="shared" si="21"/>
        <v>46436</v>
      </c>
      <c r="B417" s="42" t="str">
        <f t="shared" si="22"/>
        <v>fev/27</v>
      </c>
      <c r="C417" s="39"/>
      <c r="D417" s="40"/>
      <c r="E417" s="182">
        <v>0</v>
      </c>
      <c r="F417" s="39"/>
      <c r="G417" s="40"/>
      <c r="H417" s="182">
        <v>0</v>
      </c>
      <c r="I417" s="39"/>
      <c r="J417" s="40"/>
      <c r="K417" s="5">
        <v>2083.3333333333335</v>
      </c>
      <c r="L417" s="157"/>
      <c r="M417" s="41">
        <v>1374.820041666668</v>
      </c>
      <c r="O417" s="29"/>
      <c r="P417" s="5"/>
      <c r="R417" s="5"/>
      <c r="S417" s="5"/>
      <c r="U417" s="5"/>
    </row>
    <row r="418" spans="1:21" x14ac:dyDescent="0.25">
      <c r="A418" s="49">
        <f t="shared" si="21"/>
        <v>46437</v>
      </c>
      <c r="B418" s="42" t="str">
        <f t="shared" si="22"/>
        <v>fev/27</v>
      </c>
      <c r="C418" s="39"/>
      <c r="D418" s="40"/>
      <c r="E418" s="182">
        <v>0</v>
      </c>
      <c r="F418" s="39"/>
      <c r="G418" s="40"/>
      <c r="H418" s="182">
        <v>0</v>
      </c>
      <c r="I418" s="39"/>
      <c r="J418" s="40"/>
      <c r="K418" s="5">
        <v>2083.3333333333335</v>
      </c>
      <c r="L418" s="157"/>
      <c r="M418" s="41">
        <v>1374.820041666668</v>
      </c>
      <c r="O418" s="29"/>
      <c r="P418" s="5"/>
      <c r="R418" s="5"/>
      <c r="S418" s="5"/>
      <c r="U418" s="5"/>
    </row>
    <row r="419" spans="1:21" x14ac:dyDescent="0.25">
      <c r="A419" s="49">
        <f t="shared" si="21"/>
        <v>46438</v>
      </c>
      <c r="B419" s="42" t="str">
        <f t="shared" si="22"/>
        <v>fev/27</v>
      </c>
      <c r="C419" s="39"/>
      <c r="D419" s="40"/>
      <c r="E419" s="182">
        <v>0</v>
      </c>
      <c r="F419" s="39"/>
      <c r="G419" s="40"/>
      <c r="H419" s="182">
        <v>0</v>
      </c>
      <c r="I419" s="39"/>
      <c r="J419" s="40"/>
      <c r="K419" s="5">
        <v>2083.3333333333335</v>
      </c>
      <c r="L419" s="157"/>
      <c r="M419" s="41">
        <v>1374.820041666668</v>
      </c>
      <c r="O419" s="29"/>
      <c r="P419" s="5"/>
      <c r="R419" s="5"/>
      <c r="S419" s="5"/>
      <c r="U419" s="5"/>
    </row>
    <row r="420" spans="1:21" x14ac:dyDescent="0.25">
      <c r="A420" s="49">
        <f t="shared" si="21"/>
        <v>46439</v>
      </c>
      <c r="B420" s="42" t="str">
        <f t="shared" si="22"/>
        <v>fev/27</v>
      </c>
      <c r="C420" s="39"/>
      <c r="D420" s="40"/>
      <c r="E420" s="182">
        <v>0</v>
      </c>
      <c r="F420" s="39"/>
      <c r="G420" s="40"/>
      <c r="H420" s="182">
        <v>0</v>
      </c>
      <c r="I420" s="39"/>
      <c r="J420" s="40"/>
      <c r="K420" s="5">
        <v>0</v>
      </c>
      <c r="L420" s="157"/>
      <c r="M420" s="41">
        <v>0</v>
      </c>
      <c r="O420" s="29"/>
      <c r="P420" s="5"/>
      <c r="R420" s="5"/>
      <c r="S420" s="5"/>
      <c r="U420" s="5"/>
    </row>
    <row r="421" spans="1:21" x14ac:dyDescent="0.25">
      <c r="A421" s="49">
        <f t="shared" si="21"/>
        <v>46440</v>
      </c>
      <c r="B421" s="42" t="str">
        <f t="shared" si="22"/>
        <v>fev/27</v>
      </c>
      <c r="C421" s="39"/>
      <c r="D421" s="40"/>
      <c r="E421" s="182">
        <v>0</v>
      </c>
      <c r="F421" s="39"/>
      <c r="G421" s="40"/>
      <c r="H421" s="182">
        <v>0</v>
      </c>
      <c r="I421" s="39"/>
      <c r="J421" s="40"/>
      <c r="K421" s="5">
        <v>2083.3333333333335</v>
      </c>
      <c r="L421" s="157"/>
      <c r="M421" s="41">
        <v>1374.820041666668</v>
      </c>
      <c r="O421" s="29"/>
      <c r="P421" s="5"/>
      <c r="R421" s="5"/>
      <c r="S421" s="5"/>
      <c r="U421" s="5"/>
    </row>
    <row r="422" spans="1:21" x14ac:dyDescent="0.25">
      <c r="A422" s="49">
        <f t="shared" si="21"/>
        <v>46441</v>
      </c>
      <c r="B422" s="42" t="str">
        <f t="shared" si="22"/>
        <v>fev/27</v>
      </c>
      <c r="C422" s="39"/>
      <c r="D422" s="40"/>
      <c r="E422" s="182">
        <v>0</v>
      </c>
      <c r="F422" s="39"/>
      <c r="G422" s="40"/>
      <c r="H422" s="182">
        <v>0</v>
      </c>
      <c r="I422" s="39"/>
      <c r="J422" s="40"/>
      <c r="K422" s="5">
        <v>2083.3333333333335</v>
      </c>
      <c r="L422" s="157"/>
      <c r="M422" s="41">
        <v>1374.820041666668</v>
      </c>
      <c r="O422" s="29"/>
      <c r="P422" s="5"/>
      <c r="R422" s="5"/>
      <c r="S422" s="5"/>
      <c r="U422" s="5"/>
    </row>
    <row r="423" spans="1:21" x14ac:dyDescent="0.25">
      <c r="A423" s="49">
        <f t="shared" si="21"/>
        <v>46442</v>
      </c>
      <c r="B423" s="42" t="str">
        <f t="shared" si="22"/>
        <v>fev/27</v>
      </c>
      <c r="C423" s="39"/>
      <c r="D423" s="40"/>
      <c r="E423" s="182">
        <v>0</v>
      </c>
      <c r="F423" s="39"/>
      <c r="G423" s="40"/>
      <c r="H423" s="182">
        <v>0</v>
      </c>
      <c r="I423" s="39"/>
      <c r="J423" s="40"/>
      <c r="K423" s="5">
        <v>2083.3333333333335</v>
      </c>
      <c r="L423" s="157"/>
      <c r="M423" s="41">
        <v>1374.820041666668</v>
      </c>
      <c r="O423" s="29"/>
      <c r="P423" s="5"/>
      <c r="R423" s="5"/>
      <c r="S423" s="5"/>
      <c r="U423" s="5"/>
    </row>
    <row r="424" spans="1:21" x14ac:dyDescent="0.25">
      <c r="A424" s="49">
        <f t="shared" si="21"/>
        <v>46443</v>
      </c>
      <c r="B424" s="42" t="str">
        <f t="shared" si="22"/>
        <v>fev/27</v>
      </c>
      <c r="C424" s="39"/>
      <c r="D424" s="40"/>
      <c r="E424" s="182">
        <v>0</v>
      </c>
      <c r="F424" s="39"/>
      <c r="G424" s="40"/>
      <c r="H424" s="182">
        <v>0</v>
      </c>
      <c r="I424" s="39"/>
      <c r="J424" s="40"/>
      <c r="K424" s="5">
        <v>2083.3333333333335</v>
      </c>
      <c r="L424" s="157"/>
      <c r="M424" s="41">
        <v>1374.820041666668</v>
      </c>
      <c r="O424" s="29"/>
      <c r="P424" s="5"/>
      <c r="R424" s="5"/>
      <c r="S424" s="5"/>
      <c r="U424" s="5"/>
    </row>
    <row r="425" spans="1:21" x14ac:dyDescent="0.25">
      <c r="A425" s="49">
        <f t="shared" si="21"/>
        <v>46444</v>
      </c>
      <c r="B425" s="42" t="str">
        <f t="shared" si="22"/>
        <v>fev/27</v>
      </c>
      <c r="C425" s="39"/>
      <c r="D425" s="40"/>
      <c r="E425" s="182">
        <v>0</v>
      </c>
      <c r="F425" s="39"/>
      <c r="G425" s="40"/>
      <c r="H425" s="182">
        <v>0</v>
      </c>
      <c r="I425" s="39"/>
      <c r="J425" s="40"/>
      <c r="K425" s="5">
        <v>2083.3333333333335</v>
      </c>
      <c r="L425" s="157"/>
      <c r="M425" s="41">
        <v>1374.820041666668</v>
      </c>
      <c r="O425" s="29"/>
      <c r="P425" s="5"/>
      <c r="R425" s="5"/>
      <c r="S425" s="5"/>
      <c r="U425" s="5"/>
    </row>
    <row r="426" spans="1:21" x14ac:dyDescent="0.25">
      <c r="A426" s="49">
        <f t="shared" si="21"/>
        <v>46445</v>
      </c>
      <c r="B426" s="42" t="str">
        <f t="shared" si="22"/>
        <v>fev/27</v>
      </c>
      <c r="C426" s="39"/>
      <c r="D426" s="40"/>
      <c r="E426" s="182">
        <v>0</v>
      </c>
      <c r="F426" s="39"/>
      <c r="G426" s="40"/>
      <c r="H426" s="182">
        <v>0</v>
      </c>
      <c r="I426" s="39"/>
      <c r="J426" s="40"/>
      <c r="K426" s="5">
        <v>2083.3333333333335</v>
      </c>
      <c r="L426" s="157"/>
      <c r="M426" s="41">
        <v>1374.820041666668</v>
      </c>
      <c r="O426" s="29"/>
      <c r="P426" s="5"/>
      <c r="R426" s="5"/>
      <c r="S426" s="5"/>
      <c r="U426" s="5"/>
    </row>
    <row r="427" spans="1:21" x14ac:dyDescent="0.25">
      <c r="A427" s="49">
        <f t="shared" si="21"/>
        <v>46446</v>
      </c>
      <c r="B427" s="42" t="str">
        <f t="shared" si="22"/>
        <v>fev/27</v>
      </c>
      <c r="C427" s="39"/>
      <c r="D427" s="40"/>
      <c r="E427" s="182">
        <v>0</v>
      </c>
      <c r="F427" s="39"/>
      <c r="G427" s="40"/>
      <c r="H427" s="182">
        <v>0</v>
      </c>
      <c r="I427" s="39"/>
      <c r="J427" s="40"/>
      <c r="K427" s="5">
        <v>0</v>
      </c>
      <c r="L427" s="157"/>
      <c r="M427" s="41">
        <v>0</v>
      </c>
      <c r="O427" s="29"/>
      <c r="P427" s="5"/>
      <c r="R427" s="5"/>
      <c r="S427" s="5"/>
      <c r="U427" s="5"/>
    </row>
    <row r="428" spans="1:21" x14ac:dyDescent="0.25">
      <c r="A428" s="49">
        <f t="shared" si="21"/>
        <v>46447</v>
      </c>
      <c r="B428" s="42" t="str">
        <f t="shared" si="22"/>
        <v>mar/27</v>
      </c>
      <c r="C428" s="39"/>
      <c r="D428" s="40"/>
      <c r="E428" s="182">
        <v>0</v>
      </c>
      <c r="F428" s="39"/>
      <c r="G428" s="40"/>
      <c r="H428" s="182">
        <v>0</v>
      </c>
      <c r="I428" s="39"/>
      <c r="J428" s="40"/>
      <c r="K428" s="5">
        <v>1851.851851851852</v>
      </c>
      <c r="L428" s="157"/>
      <c r="M428" s="41">
        <v>2306.1798888888884</v>
      </c>
      <c r="O428" s="29"/>
      <c r="P428" s="5"/>
      <c r="R428" s="5"/>
      <c r="S428" s="5"/>
      <c r="U428" s="5"/>
    </row>
    <row r="429" spans="1:21" x14ac:dyDescent="0.25">
      <c r="A429" s="49">
        <f t="shared" si="21"/>
        <v>46448</v>
      </c>
      <c r="B429" s="42" t="str">
        <f t="shared" si="22"/>
        <v>mar/27</v>
      </c>
      <c r="C429" s="39"/>
      <c r="D429" s="40"/>
      <c r="E429" s="182">
        <v>0</v>
      </c>
      <c r="F429" s="39"/>
      <c r="G429" s="40"/>
      <c r="H429" s="182">
        <v>0</v>
      </c>
      <c r="I429" s="39"/>
      <c r="J429" s="40"/>
      <c r="K429" s="5">
        <v>1851.851851851852</v>
      </c>
      <c r="L429" s="157"/>
      <c r="M429" s="41">
        <v>2306.1798888888884</v>
      </c>
      <c r="O429" s="29"/>
      <c r="P429" s="5"/>
      <c r="R429" s="5"/>
      <c r="S429" s="5"/>
      <c r="U429" s="5"/>
    </row>
    <row r="430" spans="1:21" x14ac:dyDescent="0.25">
      <c r="A430" s="49">
        <f t="shared" si="21"/>
        <v>46449</v>
      </c>
      <c r="B430" s="42" t="str">
        <f t="shared" si="22"/>
        <v>mar/27</v>
      </c>
      <c r="C430" s="39"/>
      <c r="D430" s="40"/>
      <c r="E430" s="182">
        <v>0</v>
      </c>
      <c r="F430" s="39"/>
      <c r="G430" s="40"/>
      <c r="H430" s="182">
        <v>0</v>
      </c>
      <c r="I430" s="39"/>
      <c r="J430" s="40"/>
      <c r="K430" s="5">
        <v>1851.851851851852</v>
      </c>
      <c r="L430" s="157"/>
      <c r="M430" s="41">
        <v>2306.1798888888884</v>
      </c>
      <c r="O430" s="29"/>
      <c r="P430" s="5"/>
      <c r="R430" s="5"/>
      <c r="S430" s="5"/>
      <c r="U430" s="5"/>
    </row>
    <row r="431" spans="1:21" x14ac:dyDescent="0.25">
      <c r="A431" s="49">
        <f t="shared" si="21"/>
        <v>46450</v>
      </c>
      <c r="B431" s="42" t="str">
        <f t="shared" si="22"/>
        <v>mar/27</v>
      </c>
      <c r="C431" s="39"/>
      <c r="D431" s="40"/>
      <c r="E431" s="182">
        <v>0</v>
      </c>
      <c r="F431" s="39"/>
      <c r="G431" s="40"/>
      <c r="H431" s="182">
        <v>0</v>
      </c>
      <c r="I431" s="39"/>
      <c r="J431" s="40"/>
      <c r="K431" s="5">
        <v>1851.851851851852</v>
      </c>
      <c r="L431" s="157"/>
      <c r="M431" s="41">
        <v>2306.1798888888884</v>
      </c>
      <c r="O431" s="29"/>
      <c r="P431" s="5"/>
      <c r="R431" s="5"/>
      <c r="S431" s="5"/>
      <c r="U431" s="5"/>
    </row>
    <row r="432" spans="1:21" x14ac:dyDescent="0.25">
      <c r="A432" s="49">
        <f t="shared" si="21"/>
        <v>46451</v>
      </c>
      <c r="B432" s="42" t="str">
        <f t="shared" si="22"/>
        <v>mar/27</v>
      </c>
      <c r="C432" s="39"/>
      <c r="D432" s="40"/>
      <c r="E432" s="182">
        <v>0</v>
      </c>
      <c r="F432" s="39"/>
      <c r="G432" s="40"/>
      <c r="H432" s="182">
        <v>0</v>
      </c>
      <c r="I432" s="39"/>
      <c r="J432" s="40"/>
      <c r="K432" s="5">
        <v>1851.851851851852</v>
      </c>
      <c r="L432" s="157"/>
      <c r="M432" s="41">
        <v>2306.1798888888884</v>
      </c>
      <c r="O432" s="29"/>
      <c r="P432" s="5"/>
      <c r="R432" s="5"/>
      <c r="S432" s="5"/>
      <c r="U432" s="5"/>
    </row>
    <row r="433" spans="1:21" x14ac:dyDescent="0.25">
      <c r="A433" s="49">
        <f t="shared" si="21"/>
        <v>46452</v>
      </c>
      <c r="B433" s="42" t="str">
        <f t="shared" si="22"/>
        <v>mar/27</v>
      </c>
      <c r="C433" s="39"/>
      <c r="D433" s="40"/>
      <c r="E433" s="182">
        <v>0</v>
      </c>
      <c r="F433" s="39"/>
      <c r="G433" s="40"/>
      <c r="H433" s="182">
        <v>0</v>
      </c>
      <c r="I433" s="39"/>
      <c r="J433" s="40"/>
      <c r="K433" s="5">
        <v>1851.851851851852</v>
      </c>
      <c r="L433" s="157"/>
      <c r="M433" s="41">
        <v>2306.1798888888884</v>
      </c>
      <c r="O433" s="29"/>
      <c r="P433" s="5"/>
      <c r="R433" s="5"/>
      <c r="S433" s="5"/>
      <c r="U433" s="5"/>
    </row>
    <row r="434" spans="1:21" x14ac:dyDescent="0.25">
      <c r="A434" s="49">
        <f t="shared" si="21"/>
        <v>46453</v>
      </c>
      <c r="B434" s="42" t="str">
        <f t="shared" si="22"/>
        <v>mar/27</v>
      </c>
      <c r="C434" s="39"/>
      <c r="D434" s="40"/>
      <c r="E434" s="182">
        <v>0</v>
      </c>
      <c r="F434" s="39"/>
      <c r="G434" s="40"/>
      <c r="H434" s="182">
        <v>0</v>
      </c>
      <c r="I434" s="39"/>
      <c r="J434" s="40"/>
      <c r="K434" s="5">
        <v>0</v>
      </c>
      <c r="L434" s="157"/>
      <c r="M434" s="41">
        <v>0</v>
      </c>
      <c r="O434" s="29"/>
      <c r="P434" s="5"/>
      <c r="R434" s="5"/>
      <c r="S434" s="5"/>
      <c r="U434" s="5"/>
    </row>
    <row r="435" spans="1:21" x14ac:dyDescent="0.25">
      <c r="A435" s="49">
        <f t="shared" si="21"/>
        <v>46454</v>
      </c>
      <c r="B435" s="42" t="str">
        <f t="shared" si="22"/>
        <v>mar/27</v>
      </c>
      <c r="C435" s="39"/>
      <c r="D435" s="40"/>
      <c r="E435" s="182">
        <v>0</v>
      </c>
      <c r="F435" s="39"/>
      <c r="G435" s="40"/>
      <c r="H435" s="182">
        <v>0</v>
      </c>
      <c r="I435" s="39"/>
      <c r="J435" s="40"/>
      <c r="K435" s="5">
        <v>1851.851851851852</v>
      </c>
      <c r="L435" s="157"/>
      <c r="M435" s="41">
        <v>2306.1798888888884</v>
      </c>
      <c r="O435" s="29"/>
      <c r="P435" s="5"/>
      <c r="R435" s="5"/>
      <c r="S435" s="5"/>
      <c r="U435" s="5"/>
    </row>
    <row r="436" spans="1:21" x14ac:dyDescent="0.25">
      <c r="A436" s="49">
        <f t="shared" si="21"/>
        <v>46455</v>
      </c>
      <c r="B436" s="42" t="str">
        <f t="shared" si="22"/>
        <v>mar/27</v>
      </c>
      <c r="C436" s="39"/>
      <c r="D436" s="40"/>
      <c r="E436" s="182">
        <v>0</v>
      </c>
      <c r="F436" s="39"/>
      <c r="G436" s="40"/>
      <c r="H436" s="182">
        <v>0</v>
      </c>
      <c r="I436" s="39"/>
      <c r="J436" s="40"/>
      <c r="K436" s="5">
        <v>1851.851851851852</v>
      </c>
      <c r="L436" s="157"/>
      <c r="M436" s="41">
        <v>2306.1798888888884</v>
      </c>
      <c r="O436" s="29"/>
      <c r="P436" s="5"/>
      <c r="R436" s="5"/>
      <c r="S436" s="5"/>
      <c r="U436" s="5"/>
    </row>
    <row r="437" spans="1:21" x14ac:dyDescent="0.25">
      <c r="A437" s="49">
        <f t="shared" si="21"/>
        <v>46456</v>
      </c>
      <c r="B437" s="42" t="str">
        <f t="shared" si="22"/>
        <v>mar/27</v>
      </c>
      <c r="C437" s="39"/>
      <c r="D437" s="40"/>
      <c r="E437" s="182">
        <v>0</v>
      </c>
      <c r="F437" s="39"/>
      <c r="G437" s="40"/>
      <c r="H437" s="182">
        <v>0</v>
      </c>
      <c r="I437" s="39"/>
      <c r="J437" s="40"/>
      <c r="K437" s="5">
        <v>1851.851851851852</v>
      </c>
      <c r="L437" s="157"/>
      <c r="M437" s="41">
        <v>2306.1798888888884</v>
      </c>
      <c r="O437" s="29"/>
      <c r="P437" s="5"/>
      <c r="R437" s="5"/>
      <c r="S437" s="5"/>
      <c r="U437" s="5"/>
    </row>
    <row r="438" spans="1:21" x14ac:dyDescent="0.25">
      <c r="A438" s="49">
        <f t="shared" si="21"/>
        <v>46457</v>
      </c>
      <c r="B438" s="42" t="str">
        <f t="shared" si="22"/>
        <v>mar/27</v>
      </c>
      <c r="C438" s="39"/>
      <c r="D438" s="40"/>
      <c r="E438" s="182">
        <v>0</v>
      </c>
      <c r="F438" s="39"/>
      <c r="G438" s="40"/>
      <c r="H438" s="182">
        <v>0</v>
      </c>
      <c r="I438" s="39"/>
      <c r="J438" s="40"/>
      <c r="K438" s="5">
        <v>1851.851851851852</v>
      </c>
      <c r="L438" s="157"/>
      <c r="M438" s="41">
        <v>2306.1798888888884</v>
      </c>
      <c r="O438" s="29"/>
      <c r="P438" s="5"/>
      <c r="R438" s="5"/>
      <c r="S438" s="5"/>
      <c r="U438" s="5"/>
    </row>
    <row r="439" spans="1:21" x14ac:dyDescent="0.25">
      <c r="A439" s="49">
        <f t="shared" si="21"/>
        <v>46458</v>
      </c>
      <c r="B439" s="42" t="str">
        <f t="shared" si="22"/>
        <v>mar/27</v>
      </c>
      <c r="C439" s="39"/>
      <c r="D439" s="40"/>
      <c r="E439" s="182">
        <v>0</v>
      </c>
      <c r="F439" s="39"/>
      <c r="G439" s="40"/>
      <c r="H439" s="182">
        <v>0</v>
      </c>
      <c r="I439" s="39"/>
      <c r="J439" s="40"/>
      <c r="K439" s="5">
        <v>1851.851851851852</v>
      </c>
      <c r="L439" s="157"/>
      <c r="M439" s="41">
        <v>2306.1798888888884</v>
      </c>
      <c r="O439" s="29"/>
      <c r="P439" s="5"/>
      <c r="R439" s="5"/>
      <c r="S439" s="5"/>
      <c r="U439" s="5"/>
    </row>
    <row r="440" spans="1:21" x14ac:dyDescent="0.25">
      <c r="A440" s="49">
        <f t="shared" ref="A440:A503" si="23">A439+1</f>
        <v>46459</v>
      </c>
      <c r="B440" s="42" t="str">
        <f t="shared" si="22"/>
        <v>mar/27</v>
      </c>
      <c r="C440" s="39"/>
      <c r="D440" s="40"/>
      <c r="E440" s="182">
        <v>0</v>
      </c>
      <c r="F440" s="39"/>
      <c r="G440" s="40"/>
      <c r="H440" s="182">
        <v>0</v>
      </c>
      <c r="I440" s="39"/>
      <c r="J440" s="40"/>
      <c r="K440" s="5">
        <v>1851.851851851852</v>
      </c>
      <c r="L440" s="157"/>
      <c r="M440" s="41">
        <v>2306.1798888888884</v>
      </c>
      <c r="O440" s="29"/>
      <c r="P440" s="5"/>
      <c r="R440" s="5"/>
      <c r="S440" s="5"/>
      <c r="U440" s="5"/>
    </row>
    <row r="441" spans="1:21" x14ac:dyDescent="0.25">
      <c r="A441" s="49">
        <f t="shared" si="23"/>
        <v>46460</v>
      </c>
      <c r="B441" s="42" t="str">
        <f t="shared" si="22"/>
        <v>mar/27</v>
      </c>
      <c r="C441" s="39"/>
      <c r="D441" s="40"/>
      <c r="E441" s="182">
        <v>0</v>
      </c>
      <c r="F441" s="39"/>
      <c r="G441" s="40"/>
      <c r="H441" s="182">
        <v>0</v>
      </c>
      <c r="I441" s="39"/>
      <c r="J441" s="40"/>
      <c r="K441" s="5">
        <v>0</v>
      </c>
      <c r="L441" s="157"/>
      <c r="M441" s="41">
        <v>0</v>
      </c>
      <c r="O441" s="29"/>
      <c r="P441" s="5"/>
      <c r="R441" s="5"/>
      <c r="S441" s="5"/>
      <c r="U441" s="5"/>
    </row>
    <row r="442" spans="1:21" x14ac:dyDescent="0.25">
      <c r="A442" s="49">
        <f t="shared" si="23"/>
        <v>46461</v>
      </c>
      <c r="B442" s="42" t="str">
        <f t="shared" si="22"/>
        <v>mar/27</v>
      </c>
      <c r="C442" s="39"/>
      <c r="D442" s="40"/>
      <c r="E442" s="182">
        <v>0</v>
      </c>
      <c r="F442" s="39"/>
      <c r="G442" s="40"/>
      <c r="H442" s="182">
        <v>0</v>
      </c>
      <c r="I442" s="39"/>
      <c r="J442" s="40"/>
      <c r="K442" s="5">
        <v>1851.851851851852</v>
      </c>
      <c r="L442" s="157"/>
      <c r="M442" s="41">
        <v>2306.1798888888884</v>
      </c>
      <c r="O442" s="29"/>
      <c r="P442" s="5"/>
      <c r="R442" s="5"/>
      <c r="S442" s="5"/>
      <c r="U442" s="5"/>
    </row>
    <row r="443" spans="1:21" x14ac:dyDescent="0.25">
      <c r="A443" s="49">
        <f t="shared" si="23"/>
        <v>46462</v>
      </c>
      <c r="B443" s="42" t="str">
        <f t="shared" si="22"/>
        <v>mar/27</v>
      </c>
      <c r="C443" s="39"/>
      <c r="D443" s="40"/>
      <c r="E443" s="182">
        <v>0</v>
      </c>
      <c r="F443" s="39"/>
      <c r="G443" s="40"/>
      <c r="H443" s="182">
        <v>0</v>
      </c>
      <c r="I443" s="39"/>
      <c r="J443" s="40"/>
      <c r="K443" s="5">
        <v>1851.851851851852</v>
      </c>
      <c r="L443" s="157"/>
      <c r="M443" s="41">
        <v>2306.1798888888884</v>
      </c>
      <c r="O443" s="29"/>
      <c r="P443" s="5"/>
      <c r="R443" s="5"/>
      <c r="S443" s="5"/>
      <c r="U443" s="5"/>
    </row>
    <row r="444" spans="1:21" x14ac:dyDescent="0.25">
      <c r="A444" s="49">
        <f t="shared" si="23"/>
        <v>46463</v>
      </c>
      <c r="B444" s="42" t="str">
        <f t="shared" si="22"/>
        <v>mar/27</v>
      </c>
      <c r="C444" s="39"/>
      <c r="D444" s="40"/>
      <c r="E444" s="182">
        <v>0</v>
      </c>
      <c r="F444" s="39"/>
      <c r="G444" s="40"/>
      <c r="H444" s="182">
        <v>0</v>
      </c>
      <c r="I444" s="39"/>
      <c r="J444" s="40"/>
      <c r="K444" s="5">
        <v>1851.851851851852</v>
      </c>
      <c r="L444" s="157"/>
      <c r="M444" s="41">
        <v>2306.1798888888884</v>
      </c>
      <c r="O444" s="29"/>
      <c r="P444" s="5"/>
      <c r="R444" s="5"/>
      <c r="S444" s="5"/>
      <c r="U444" s="5"/>
    </row>
    <row r="445" spans="1:21" x14ac:dyDescent="0.25">
      <c r="A445" s="49">
        <f t="shared" si="23"/>
        <v>46464</v>
      </c>
      <c r="B445" s="42" t="str">
        <f t="shared" si="22"/>
        <v>mar/27</v>
      </c>
      <c r="C445" s="39"/>
      <c r="D445" s="40"/>
      <c r="E445" s="182">
        <v>0</v>
      </c>
      <c r="F445" s="39"/>
      <c r="G445" s="40"/>
      <c r="H445" s="182">
        <v>0</v>
      </c>
      <c r="I445" s="39"/>
      <c r="J445" s="40"/>
      <c r="K445" s="5">
        <v>1851.851851851852</v>
      </c>
      <c r="L445" s="157"/>
      <c r="M445" s="41">
        <v>2306.1798888888884</v>
      </c>
      <c r="O445" s="29"/>
      <c r="P445" s="5"/>
      <c r="R445" s="5"/>
      <c r="S445" s="5"/>
      <c r="U445" s="5"/>
    </row>
    <row r="446" spans="1:21" x14ac:dyDescent="0.25">
      <c r="A446" s="49">
        <f t="shared" si="23"/>
        <v>46465</v>
      </c>
      <c r="B446" s="42" t="str">
        <f t="shared" si="22"/>
        <v>mar/27</v>
      </c>
      <c r="C446" s="39"/>
      <c r="D446" s="40"/>
      <c r="E446" s="182">
        <v>0</v>
      </c>
      <c r="F446" s="39"/>
      <c r="G446" s="40"/>
      <c r="H446" s="182">
        <v>0</v>
      </c>
      <c r="I446" s="39"/>
      <c r="J446" s="40"/>
      <c r="K446" s="5">
        <v>1851.851851851852</v>
      </c>
      <c r="L446" s="157"/>
      <c r="M446" s="41">
        <v>2306.1798888888884</v>
      </c>
      <c r="O446" s="29"/>
      <c r="P446" s="5"/>
      <c r="R446" s="5"/>
      <c r="S446" s="5"/>
      <c r="U446" s="5"/>
    </row>
    <row r="447" spans="1:21" x14ac:dyDescent="0.25">
      <c r="A447" s="49">
        <f t="shared" si="23"/>
        <v>46466</v>
      </c>
      <c r="B447" s="42" t="str">
        <f t="shared" si="22"/>
        <v>mar/27</v>
      </c>
      <c r="C447" s="39"/>
      <c r="D447" s="40"/>
      <c r="E447" s="182">
        <v>0</v>
      </c>
      <c r="F447" s="39"/>
      <c r="G447" s="40"/>
      <c r="H447" s="182">
        <v>0</v>
      </c>
      <c r="I447" s="39"/>
      <c r="J447" s="40"/>
      <c r="K447" s="5">
        <v>1851.851851851852</v>
      </c>
      <c r="L447" s="157"/>
      <c r="M447" s="41">
        <v>2306.1798888888884</v>
      </c>
      <c r="O447" s="29"/>
      <c r="P447" s="5"/>
      <c r="R447" s="5"/>
      <c r="S447" s="5"/>
      <c r="U447" s="5"/>
    </row>
    <row r="448" spans="1:21" x14ac:dyDescent="0.25">
      <c r="A448" s="49">
        <f t="shared" si="23"/>
        <v>46467</v>
      </c>
      <c r="B448" s="42" t="str">
        <f t="shared" si="22"/>
        <v>mar/27</v>
      </c>
      <c r="C448" s="39"/>
      <c r="D448" s="40"/>
      <c r="E448" s="182">
        <v>0</v>
      </c>
      <c r="F448" s="39"/>
      <c r="G448" s="40"/>
      <c r="H448" s="182">
        <v>0</v>
      </c>
      <c r="I448" s="39"/>
      <c r="J448" s="40"/>
      <c r="K448" s="5">
        <v>0</v>
      </c>
      <c r="L448" s="157"/>
      <c r="M448" s="41">
        <v>0</v>
      </c>
      <c r="O448" s="29"/>
      <c r="P448" s="5"/>
      <c r="R448" s="5"/>
      <c r="S448" s="5"/>
      <c r="U448" s="5"/>
    </row>
    <row r="449" spans="1:21" x14ac:dyDescent="0.25">
      <c r="A449" s="49">
        <f t="shared" si="23"/>
        <v>46468</v>
      </c>
      <c r="B449" s="42" t="str">
        <f t="shared" si="22"/>
        <v>mar/27</v>
      </c>
      <c r="C449" s="39"/>
      <c r="D449" s="40"/>
      <c r="E449" s="182">
        <v>0</v>
      </c>
      <c r="F449" s="39"/>
      <c r="G449" s="40"/>
      <c r="H449" s="182">
        <v>0</v>
      </c>
      <c r="I449" s="39"/>
      <c r="J449" s="40"/>
      <c r="K449" s="5">
        <v>1851.851851851852</v>
      </c>
      <c r="L449" s="157"/>
      <c r="M449" s="41">
        <v>2306.1798888888884</v>
      </c>
      <c r="O449" s="29"/>
      <c r="P449" s="5"/>
      <c r="R449" s="5"/>
      <c r="S449" s="5"/>
      <c r="U449" s="5"/>
    </row>
    <row r="450" spans="1:21" x14ac:dyDescent="0.25">
      <c r="A450" s="49">
        <f t="shared" si="23"/>
        <v>46469</v>
      </c>
      <c r="B450" s="42" t="str">
        <f t="shared" si="22"/>
        <v>mar/27</v>
      </c>
      <c r="C450" s="39"/>
      <c r="D450" s="40"/>
      <c r="E450" s="182">
        <v>0</v>
      </c>
      <c r="F450" s="39"/>
      <c r="G450" s="40"/>
      <c r="H450" s="182">
        <v>0</v>
      </c>
      <c r="I450" s="39"/>
      <c r="J450" s="40"/>
      <c r="K450" s="5">
        <v>1851.851851851852</v>
      </c>
      <c r="L450" s="157"/>
      <c r="M450" s="41">
        <v>2306.1798888888884</v>
      </c>
      <c r="O450" s="29"/>
      <c r="P450" s="5"/>
      <c r="R450" s="5"/>
      <c r="S450" s="5"/>
      <c r="U450" s="5"/>
    </row>
    <row r="451" spans="1:21" x14ac:dyDescent="0.25">
      <c r="A451" s="49">
        <f t="shared" si="23"/>
        <v>46470</v>
      </c>
      <c r="B451" s="42" t="str">
        <f t="shared" si="22"/>
        <v>mar/27</v>
      </c>
      <c r="C451" s="39"/>
      <c r="D451" s="40"/>
      <c r="E451" s="182">
        <v>0</v>
      </c>
      <c r="F451" s="39"/>
      <c r="G451" s="40"/>
      <c r="H451" s="182">
        <v>0</v>
      </c>
      <c r="I451" s="39"/>
      <c r="J451" s="40"/>
      <c r="K451" s="5">
        <v>1851.851851851852</v>
      </c>
      <c r="L451" s="157"/>
      <c r="M451" s="41">
        <v>2306.1798888888884</v>
      </c>
      <c r="O451" s="29"/>
      <c r="P451" s="5"/>
      <c r="R451" s="5"/>
      <c r="S451" s="5"/>
      <c r="U451" s="5"/>
    </row>
    <row r="452" spans="1:21" x14ac:dyDescent="0.25">
      <c r="A452" s="49">
        <f t="shared" si="23"/>
        <v>46471</v>
      </c>
      <c r="B452" s="42" t="str">
        <f t="shared" si="22"/>
        <v>mar/27</v>
      </c>
      <c r="C452" s="39"/>
      <c r="D452" s="40"/>
      <c r="E452" s="182">
        <v>0</v>
      </c>
      <c r="F452" s="39"/>
      <c r="G452" s="40"/>
      <c r="H452" s="182">
        <v>0</v>
      </c>
      <c r="I452" s="39"/>
      <c r="J452" s="40"/>
      <c r="K452" s="5">
        <v>1851.851851851852</v>
      </c>
      <c r="L452" s="157"/>
      <c r="M452" s="41">
        <v>2306.1798888888884</v>
      </c>
      <c r="O452" s="29"/>
      <c r="P452" s="5"/>
      <c r="R452" s="5"/>
      <c r="S452" s="5"/>
      <c r="U452" s="5"/>
    </row>
    <row r="453" spans="1:21" x14ac:dyDescent="0.25">
      <c r="A453" s="49">
        <f t="shared" si="23"/>
        <v>46472</v>
      </c>
      <c r="B453" s="42" t="str">
        <f t="shared" ref="B453:B516" si="24">TEXT(A453,"MMM/AA")</f>
        <v>mar/27</v>
      </c>
      <c r="C453" s="39"/>
      <c r="D453" s="40"/>
      <c r="E453" s="182">
        <v>0</v>
      </c>
      <c r="F453" s="39"/>
      <c r="G453" s="40"/>
      <c r="H453" s="182">
        <v>0</v>
      </c>
      <c r="I453" s="39"/>
      <c r="J453" s="40"/>
      <c r="K453" s="5">
        <v>1851.851851851852</v>
      </c>
      <c r="L453" s="157"/>
      <c r="M453" s="41">
        <v>2306.1798888888884</v>
      </c>
      <c r="O453" s="29"/>
      <c r="P453" s="5"/>
      <c r="R453" s="5"/>
      <c r="S453" s="5"/>
      <c r="U453" s="5"/>
    </row>
    <row r="454" spans="1:21" x14ac:dyDescent="0.25">
      <c r="A454" s="49">
        <f t="shared" si="23"/>
        <v>46473</v>
      </c>
      <c r="B454" s="42" t="str">
        <f t="shared" si="24"/>
        <v>mar/27</v>
      </c>
      <c r="C454" s="39"/>
      <c r="D454" s="40"/>
      <c r="E454" s="182">
        <v>0</v>
      </c>
      <c r="F454" s="39"/>
      <c r="G454" s="40"/>
      <c r="H454" s="182">
        <v>0</v>
      </c>
      <c r="I454" s="39"/>
      <c r="J454" s="40"/>
      <c r="K454" s="5">
        <v>1851.851851851852</v>
      </c>
      <c r="L454" s="157"/>
      <c r="M454" s="41">
        <v>2306.1798888888884</v>
      </c>
      <c r="O454" s="29"/>
      <c r="P454" s="5"/>
      <c r="R454" s="5"/>
      <c r="S454" s="5"/>
      <c r="U454" s="5"/>
    </row>
    <row r="455" spans="1:21" x14ac:dyDescent="0.25">
      <c r="A455" s="49">
        <f t="shared" si="23"/>
        <v>46474</v>
      </c>
      <c r="B455" s="42" t="str">
        <f t="shared" si="24"/>
        <v>mar/27</v>
      </c>
      <c r="C455" s="39"/>
      <c r="D455" s="40"/>
      <c r="E455" s="182">
        <v>0</v>
      </c>
      <c r="F455" s="39"/>
      <c r="G455" s="40"/>
      <c r="H455" s="182">
        <v>0</v>
      </c>
      <c r="I455" s="39"/>
      <c r="J455" s="40"/>
      <c r="K455" s="5">
        <v>0</v>
      </c>
      <c r="L455" s="157"/>
      <c r="M455" s="41">
        <v>0</v>
      </c>
      <c r="O455" s="29"/>
      <c r="P455" s="5"/>
      <c r="R455" s="5"/>
      <c r="S455" s="5"/>
      <c r="U455" s="5"/>
    </row>
    <row r="456" spans="1:21" x14ac:dyDescent="0.25">
      <c r="A456" s="49">
        <f t="shared" si="23"/>
        <v>46475</v>
      </c>
      <c r="B456" s="42" t="str">
        <f t="shared" si="24"/>
        <v>mar/27</v>
      </c>
      <c r="C456" s="39"/>
      <c r="D456" s="40"/>
      <c r="E456" s="182">
        <v>0</v>
      </c>
      <c r="F456" s="39"/>
      <c r="G456" s="40"/>
      <c r="H456" s="182">
        <v>0</v>
      </c>
      <c r="I456" s="39"/>
      <c r="J456" s="40"/>
      <c r="K456" s="5">
        <v>1851.851851851852</v>
      </c>
      <c r="L456" s="157"/>
      <c r="M456" s="41">
        <v>2306.1798888888884</v>
      </c>
      <c r="O456" s="29"/>
      <c r="P456" s="5"/>
      <c r="R456" s="5"/>
      <c r="S456" s="5"/>
      <c r="U456" s="5"/>
    </row>
    <row r="457" spans="1:21" x14ac:dyDescent="0.25">
      <c r="A457" s="49">
        <f t="shared" si="23"/>
        <v>46476</v>
      </c>
      <c r="B457" s="42" t="str">
        <f t="shared" si="24"/>
        <v>mar/27</v>
      </c>
      <c r="C457" s="39"/>
      <c r="D457" s="40"/>
      <c r="E457" s="182">
        <v>0</v>
      </c>
      <c r="F457" s="39"/>
      <c r="G457" s="40"/>
      <c r="H457" s="182">
        <v>0</v>
      </c>
      <c r="I457" s="39"/>
      <c r="J457" s="40"/>
      <c r="K457" s="5">
        <v>1851.851851851852</v>
      </c>
      <c r="L457" s="157"/>
      <c r="M457" s="41">
        <v>2306.1798888888884</v>
      </c>
      <c r="O457" s="29"/>
      <c r="P457" s="5"/>
      <c r="R457" s="5"/>
      <c r="S457" s="5"/>
      <c r="U457" s="5"/>
    </row>
    <row r="458" spans="1:21" x14ac:dyDescent="0.25">
      <c r="A458" s="49">
        <f t="shared" si="23"/>
        <v>46477</v>
      </c>
      <c r="B458" s="42" t="str">
        <f t="shared" si="24"/>
        <v>mar/27</v>
      </c>
      <c r="C458" s="39"/>
      <c r="D458" s="40"/>
      <c r="E458" s="182">
        <v>0</v>
      </c>
      <c r="F458" s="39"/>
      <c r="G458" s="40"/>
      <c r="H458" s="182">
        <v>0</v>
      </c>
      <c r="I458" s="39"/>
      <c r="J458" s="40"/>
      <c r="K458" s="5">
        <v>1851.851851851852</v>
      </c>
      <c r="L458" s="157"/>
      <c r="M458" s="41">
        <v>2306.1798888888884</v>
      </c>
      <c r="O458" s="29"/>
      <c r="P458" s="5"/>
      <c r="R458" s="5"/>
      <c r="S458" s="5"/>
      <c r="U458" s="5"/>
    </row>
    <row r="459" spans="1:21" x14ac:dyDescent="0.25">
      <c r="A459" s="49">
        <f t="shared" si="23"/>
        <v>46478</v>
      </c>
      <c r="B459" s="42" t="str">
        <f t="shared" si="24"/>
        <v>abr/27</v>
      </c>
      <c r="C459" s="39"/>
      <c r="D459" s="40"/>
      <c r="E459" s="182">
        <v>0</v>
      </c>
      <c r="F459" s="39"/>
      <c r="G459" s="40"/>
      <c r="H459" s="182">
        <v>0</v>
      </c>
      <c r="I459" s="39"/>
      <c r="J459" s="40"/>
      <c r="K459" s="5">
        <v>1923.0769230769231</v>
      </c>
      <c r="L459" s="157"/>
      <c r="M459" s="41">
        <v>3727.5576538461528</v>
      </c>
      <c r="O459" s="29"/>
      <c r="P459" s="5"/>
      <c r="R459" s="5"/>
      <c r="S459" s="5"/>
      <c r="U459" s="5"/>
    </row>
    <row r="460" spans="1:21" x14ac:dyDescent="0.25">
      <c r="A460" s="49">
        <f t="shared" si="23"/>
        <v>46479</v>
      </c>
      <c r="B460" s="42" t="str">
        <f t="shared" si="24"/>
        <v>abr/27</v>
      </c>
      <c r="C460" s="39"/>
      <c r="D460" s="40"/>
      <c r="E460" s="182">
        <v>0</v>
      </c>
      <c r="F460" s="39"/>
      <c r="G460" s="40"/>
      <c r="H460" s="182">
        <v>0</v>
      </c>
      <c r="I460" s="39"/>
      <c r="J460" s="40"/>
      <c r="K460" s="5">
        <v>1923.0769230769231</v>
      </c>
      <c r="L460" s="157"/>
      <c r="M460" s="41">
        <v>3727.5576538461528</v>
      </c>
      <c r="O460" s="29"/>
      <c r="P460" s="5"/>
      <c r="R460" s="5"/>
      <c r="S460" s="5"/>
      <c r="U460" s="5"/>
    </row>
    <row r="461" spans="1:21" x14ac:dyDescent="0.25">
      <c r="A461" s="49">
        <f t="shared" si="23"/>
        <v>46480</v>
      </c>
      <c r="B461" s="42" t="str">
        <f t="shared" si="24"/>
        <v>abr/27</v>
      </c>
      <c r="C461" s="39"/>
      <c r="D461" s="40"/>
      <c r="E461" s="182">
        <v>0</v>
      </c>
      <c r="F461" s="39"/>
      <c r="G461" s="40"/>
      <c r="H461" s="182">
        <v>0</v>
      </c>
      <c r="I461" s="39"/>
      <c r="J461" s="40"/>
      <c r="K461" s="5">
        <v>1923.0769230769231</v>
      </c>
      <c r="L461" s="157"/>
      <c r="M461" s="41">
        <v>3727.5576538461528</v>
      </c>
      <c r="O461" s="29"/>
      <c r="P461" s="5"/>
      <c r="R461" s="5"/>
      <c r="S461" s="5"/>
      <c r="U461" s="5"/>
    </row>
    <row r="462" spans="1:21" x14ac:dyDescent="0.25">
      <c r="A462" s="49">
        <f t="shared" si="23"/>
        <v>46481</v>
      </c>
      <c r="B462" s="42" t="str">
        <f t="shared" si="24"/>
        <v>abr/27</v>
      </c>
      <c r="C462" s="39"/>
      <c r="D462" s="40"/>
      <c r="E462" s="182">
        <v>0</v>
      </c>
      <c r="F462" s="39"/>
      <c r="G462" s="40"/>
      <c r="H462" s="182">
        <v>0</v>
      </c>
      <c r="I462" s="39"/>
      <c r="J462" s="40"/>
      <c r="K462" s="5">
        <v>0</v>
      </c>
      <c r="L462" s="157"/>
      <c r="M462" s="41">
        <v>0</v>
      </c>
      <c r="O462" s="29"/>
      <c r="P462" s="5"/>
      <c r="R462" s="5"/>
      <c r="S462" s="5"/>
      <c r="U462" s="5"/>
    </row>
    <row r="463" spans="1:21" x14ac:dyDescent="0.25">
      <c r="A463" s="49">
        <f t="shared" si="23"/>
        <v>46482</v>
      </c>
      <c r="B463" s="42" t="str">
        <f t="shared" si="24"/>
        <v>abr/27</v>
      </c>
      <c r="C463" s="39"/>
      <c r="D463" s="40"/>
      <c r="E463" s="182">
        <v>0</v>
      </c>
      <c r="F463" s="39"/>
      <c r="G463" s="40"/>
      <c r="H463" s="182">
        <v>0</v>
      </c>
      <c r="I463" s="39"/>
      <c r="J463" s="40"/>
      <c r="K463" s="5">
        <v>1923.0769230769231</v>
      </c>
      <c r="L463" s="157"/>
      <c r="M463" s="41">
        <v>3727.5576538461528</v>
      </c>
      <c r="O463" s="29"/>
      <c r="P463" s="5"/>
      <c r="R463" s="5"/>
      <c r="S463" s="5"/>
      <c r="U463" s="5"/>
    </row>
    <row r="464" spans="1:21" x14ac:dyDescent="0.25">
      <c r="A464" s="49">
        <f t="shared" si="23"/>
        <v>46483</v>
      </c>
      <c r="B464" s="42" t="str">
        <f t="shared" si="24"/>
        <v>abr/27</v>
      </c>
      <c r="C464" s="39"/>
      <c r="D464" s="40"/>
      <c r="E464" s="182">
        <v>0</v>
      </c>
      <c r="F464" s="39"/>
      <c r="G464" s="40"/>
      <c r="H464" s="182">
        <v>0</v>
      </c>
      <c r="I464" s="39"/>
      <c r="J464" s="40"/>
      <c r="K464" s="5">
        <v>1923.0769230769231</v>
      </c>
      <c r="L464" s="157"/>
      <c r="M464" s="41">
        <v>3727.5576538461528</v>
      </c>
      <c r="O464" s="29"/>
      <c r="P464" s="5"/>
      <c r="R464" s="5"/>
      <c r="S464" s="5"/>
      <c r="U464" s="5"/>
    </row>
    <row r="465" spans="1:21" x14ac:dyDescent="0.25">
      <c r="A465" s="49">
        <f t="shared" si="23"/>
        <v>46484</v>
      </c>
      <c r="B465" s="42" t="str">
        <f t="shared" si="24"/>
        <v>abr/27</v>
      </c>
      <c r="C465" s="39"/>
      <c r="D465" s="40"/>
      <c r="E465" s="182">
        <v>0</v>
      </c>
      <c r="F465" s="39"/>
      <c r="G465" s="40"/>
      <c r="H465" s="182">
        <v>0</v>
      </c>
      <c r="I465" s="39"/>
      <c r="J465" s="40"/>
      <c r="K465" s="5">
        <v>1923.0769230769231</v>
      </c>
      <c r="L465" s="157"/>
      <c r="M465" s="41">
        <v>3727.5576538461528</v>
      </c>
      <c r="O465" s="29"/>
      <c r="P465" s="5"/>
      <c r="R465" s="5"/>
      <c r="S465" s="5"/>
      <c r="U465" s="5"/>
    </row>
    <row r="466" spans="1:21" x14ac:dyDescent="0.25">
      <c r="A466" s="49">
        <f t="shared" si="23"/>
        <v>46485</v>
      </c>
      <c r="B466" s="42" t="str">
        <f t="shared" si="24"/>
        <v>abr/27</v>
      </c>
      <c r="C466" s="39"/>
      <c r="D466" s="40"/>
      <c r="E466" s="182">
        <v>0</v>
      </c>
      <c r="F466" s="39"/>
      <c r="G466" s="40"/>
      <c r="H466" s="182">
        <v>0</v>
      </c>
      <c r="I466" s="39"/>
      <c r="J466" s="40"/>
      <c r="K466" s="5">
        <v>1923.0769230769231</v>
      </c>
      <c r="L466" s="157"/>
      <c r="M466" s="41">
        <v>3727.5576538461528</v>
      </c>
      <c r="O466" s="29"/>
      <c r="P466" s="5"/>
      <c r="R466" s="5"/>
      <c r="S466" s="5"/>
      <c r="U466" s="5"/>
    </row>
    <row r="467" spans="1:21" x14ac:dyDescent="0.25">
      <c r="A467" s="49">
        <f t="shared" si="23"/>
        <v>46486</v>
      </c>
      <c r="B467" s="42" t="str">
        <f t="shared" si="24"/>
        <v>abr/27</v>
      </c>
      <c r="C467" s="39"/>
      <c r="D467" s="40"/>
      <c r="E467" s="182">
        <v>0</v>
      </c>
      <c r="F467" s="39"/>
      <c r="G467" s="40"/>
      <c r="H467" s="182">
        <v>0</v>
      </c>
      <c r="I467" s="39"/>
      <c r="J467" s="40"/>
      <c r="K467" s="5">
        <v>1923.0769230769231</v>
      </c>
      <c r="L467" s="157"/>
      <c r="M467" s="41">
        <v>3727.5576538461528</v>
      </c>
      <c r="O467" s="29"/>
      <c r="P467" s="5"/>
      <c r="R467" s="5"/>
      <c r="S467" s="5"/>
      <c r="U467" s="5"/>
    </row>
    <row r="468" spans="1:21" x14ac:dyDescent="0.25">
      <c r="A468" s="49">
        <f t="shared" si="23"/>
        <v>46487</v>
      </c>
      <c r="B468" s="42" t="str">
        <f t="shared" si="24"/>
        <v>abr/27</v>
      </c>
      <c r="C468" s="39"/>
      <c r="D468" s="40"/>
      <c r="E468" s="182">
        <v>0</v>
      </c>
      <c r="F468" s="39"/>
      <c r="G468" s="40"/>
      <c r="H468" s="182">
        <v>0</v>
      </c>
      <c r="I468" s="39"/>
      <c r="J468" s="40"/>
      <c r="K468" s="5">
        <v>1923.0769230769231</v>
      </c>
      <c r="L468" s="157"/>
      <c r="M468" s="41">
        <v>3727.5576538461528</v>
      </c>
      <c r="O468" s="29"/>
      <c r="P468" s="5"/>
      <c r="R468" s="5"/>
      <c r="S468" s="5"/>
      <c r="U468" s="5"/>
    </row>
    <row r="469" spans="1:21" x14ac:dyDescent="0.25">
      <c r="A469" s="49">
        <f t="shared" si="23"/>
        <v>46488</v>
      </c>
      <c r="B469" s="42" t="str">
        <f t="shared" si="24"/>
        <v>abr/27</v>
      </c>
      <c r="C469" s="39"/>
      <c r="D469" s="40"/>
      <c r="E469" s="182">
        <v>0</v>
      </c>
      <c r="F469" s="39"/>
      <c r="G469" s="40"/>
      <c r="H469" s="182">
        <v>0</v>
      </c>
      <c r="I469" s="39"/>
      <c r="J469" s="40"/>
      <c r="K469" s="5">
        <v>0</v>
      </c>
      <c r="L469" s="157"/>
      <c r="M469" s="41">
        <v>0</v>
      </c>
      <c r="O469" s="29"/>
      <c r="P469" s="5"/>
      <c r="R469" s="5"/>
      <c r="S469" s="5"/>
      <c r="U469" s="5"/>
    </row>
    <row r="470" spans="1:21" x14ac:dyDescent="0.25">
      <c r="A470" s="49">
        <f t="shared" si="23"/>
        <v>46489</v>
      </c>
      <c r="B470" s="42" t="str">
        <f t="shared" si="24"/>
        <v>abr/27</v>
      </c>
      <c r="C470" s="39"/>
      <c r="D470" s="40"/>
      <c r="E470" s="182">
        <v>0</v>
      </c>
      <c r="F470" s="39"/>
      <c r="G470" s="40"/>
      <c r="H470" s="182">
        <v>0</v>
      </c>
      <c r="I470" s="39"/>
      <c r="J470" s="40"/>
      <c r="K470" s="5">
        <v>1923.0769230769231</v>
      </c>
      <c r="L470" s="157"/>
      <c r="M470" s="41">
        <v>3727.5576538461528</v>
      </c>
      <c r="O470" s="29"/>
      <c r="P470" s="5"/>
      <c r="R470" s="5"/>
      <c r="S470" s="5"/>
      <c r="U470" s="5"/>
    </row>
    <row r="471" spans="1:21" x14ac:dyDescent="0.25">
      <c r="A471" s="49">
        <f t="shared" si="23"/>
        <v>46490</v>
      </c>
      <c r="B471" s="42" t="str">
        <f t="shared" si="24"/>
        <v>abr/27</v>
      </c>
      <c r="C471" s="39"/>
      <c r="D471" s="40"/>
      <c r="E471" s="182">
        <v>0</v>
      </c>
      <c r="F471" s="39"/>
      <c r="G471" s="40"/>
      <c r="H471" s="182">
        <v>0</v>
      </c>
      <c r="I471" s="39"/>
      <c r="J471" s="40"/>
      <c r="K471" s="5">
        <v>1923.0769230769231</v>
      </c>
      <c r="L471" s="157"/>
      <c r="M471" s="41">
        <v>3727.5576538461528</v>
      </c>
      <c r="O471" s="29"/>
      <c r="P471" s="5"/>
      <c r="R471" s="5"/>
      <c r="S471" s="5"/>
      <c r="U471" s="5"/>
    </row>
    <row r="472" spans="1:21" x14ac:dyDescent="0.25">
      <c r="A472" s="49">
        <f t="shared" si="23"/>
        <v>46491</v>
      </c>
      <c r="B472" s="42" t="str">
        <f t="shared" si="24"/>
        <v>abr/27</v>
      </c>
      <c r="C472" s="39"/>
      <c r="D472" s="40"/>
      <c r="E472" s="182">
        <v>0</v>
      </c>
      <c r="F472" s="39"/>
      <c r="G472" s="40"/>
      <c r="H472" s="182">
        <v>0</v>
      </c>
      <c r="I472" s="39"/>
      <c r="J472" s="40"/>
      <c r="K472" s="5">
        <v>1923.0769230769231</v>
      </c>
      <c r="L472" s="157"/>
      <c r="M472" s="41">
        <v>3727.5576538461528</v>
      </c>
      <c r="O472" s="29"/>
      <c r="P472" s="5"/>
      <c r="R472" s="5"/>
      <c r="S472" s="5"/>
      <c r="U472" s="5"/>
    </row>
    <row r="473" spans="1:21" x14ac:dyDescent="0.25">
      <c r="A473" s="49">
        <f t="shared" si="23"/>
        <v>46492</v>
      </c>
      <c r="B473" s="42" t="str">
        <f t="shared" si="24"/>
        <v>abr/27</v>
      </c>
      <c r="C473" s="39"/>
      <c r="D473" s="40"/>
      <c r="E473" s="182">
        <v>0</v>
      </c>
      <c r="F473" s="39"/>
      <c r="G473" s="40"/>
      <c r="H473" s="182">
        <v>0</v>
      </c>
      <c r="I473" s="39"/>
      <c r="J473" s="40"/>
      <c r="K473" s="5">
        <v>1923.0769230769231</v>
      </c>
      <c r="L473" s="157"/>
      <c r="M473" s="41">
        <v>3727.5576538461528</v>
      </c>
      <c r="O473" s="29"/>
      <c r="P473" s="5"/>
      <c r="R473" s="5"/>
      <c r="S473" s="5"/>
      <c r="U473" s="5"/>
    </row>
    <row r="474" spans="1:21" x14ac:dyDescent="0.25">
      <c r="A474" s="49">
        <f t="shared" si="23"/>
        <v>46493</v>
      </c>
      <c r="B474" s="42" t="str">
        <f t="shared" si="24"/>
        <v>abr/27</v>
      </c>
      <c r="C474" s="39"/>
      <c r="D474" s="40"/>
      <c r="E474" s="182">
        <v>0</v>
      </c>
      <c r="F474" s="39"/>
      <c r="G474" s="40"/>
      <c r="H474" s="182">
        <v>0</v>
      </c>
      <c r="I474" s="39"/>
      <c r="J474" s="40"/>
      <c r="K474" s="5">
        <v>1923.0769230769231</v>
      </c>
      <c r="L474" s="157"/>
      <c r="M474" s="41">
        <v>3727.5576538461528</v>
      </c>
      <c r="O474" s="29"/>
      <c r="P474" s="5"/>
      <c r="R474" s="5"/>
      <c r="S474" s="5"/>
      <c r="U474" s="5"/>
    </row>
    <row r="475" spans="1:21" x14ac:dyDescent="0.25">
      <c r="A475" s="49">
        <f t="shared" si="23"/>
        <v>46494</v>
      </c>
      <c r="B475" s="42" t="str">
        <f t="shared" si="24"/>
        <v>abr/27</v>
      </c>
      <c r="C475" s="39"/>
      <c r="D475" s="40"/>
      <c r="E475" s="182">
        <v>0</v>
      </c>
      <c r="F475" s="39"/>
      <c r="G475" s="40"/>
      <c r="H475" s="182">
        <v>0</v>
      </c>
      <c r="I475" s="39"/>
      <c r="J475" s="40"/>
      <c r="K475" s="5">
        <v>1923.0769230769231</v>
      </c>
      <c r="L475" s="157"/>
      <c r="M475" s="41">
        <v>3727.5576538461528</v>
      </c>
      <c r="O475" s="29"/>
      <c r="P475" s="5"/>
      <c r="R475" s="5"/>
      <c r="S475" s="5"/>
      <c r="U475" s="5"/>
    </row>
    <row r="476" spans="1:21" x14ac:dyDescent="0.25">
      <c r="A476" s="49">
        <f t="shared" si="23"/>
        <v>46495</v>
      </c>
      <c r="B476" s="42" t="str">
        <f t="shared" si="24"/>
        <v>abr/27</v>
      </c>
      <c r="C476" s="39"/>
      <c r="D476" s="40"/>
      <c r="E476" s="182">
        <v>0</v>
      </c>
      <c r="F476" s="39"/>
      <c r="G476" s="40"/>
      <c r="H476" s="182">
        <v>0</v>
      </c>
      <c r="I476" s="39"/>
      <c r="J476" s="40"/>
      <c r="K476" s="5">
        <v>0</v>
      </c>
      <c r="L476" s="157"/>
      <c r="M476" s="41">
        <v>0</v>
      </c>
      <c r="O476" s="29"/>
      <c r="P476" s="5"/>
      <c r="R476" s="5"/>
      <c r="S476" s="5"/>
      <c r="U476" s="5"/>
    </row>
    <row r="477" spans="1:21" x14ac:dyDescent="0.25">
      <c r="A477" s="49">
        <f t="shared" si="23"/>
        <v>46496</v>
      </c>
      <c r="B477" s="42" t="str">
        <f t="shared" si="24"/>
        <v>abr/27</v>
      </c>
      <c r="C477" s="39"/>
      <c r="D477" s="40"/>
      <c r="E477" s="182">
        <v>0</v>
      </c>
      <c r="F477" s="39"/>
      <c r="G477" s="40"/>
      <c r="H477" s="182">
        <v>0</v>
      </c>
      <c r="I477" s="39"/>
      <c r="J477" s="40"/>
      <c r="K477" s="5">
        <v>1923.0769230769231</v>
      </c>
      <c r="L477" s="157"/>
      <c r="M477" s="41">
        <v>3727.5576538461528</v>
      </c>
      <c r="O477" s="29"/>
      <c r="P477" s="5"/>
      <c r="R477" s="5"/>
      <c r="S477" s="5"/>
      <c r="U477" s="5"/>
    </row>
    <row r="478" spans="1:21" x14ac:dyDescent="0.25">
      <c r="A478" s="49">
        <f t="shared" si="23"/>
        <v>46497</v>
      </c>
      <c r="B478" s="42" t="str">
        <f t="shared" si="24"/>
        <v>abr/27</v>
      </c>
      <c r="C478" s="39"/>
      <c r="D478" s="40"/>
      <c r="E478" s="182">
        <v>0</v>
      </c>
      <c r="F478" s="39"/>
      <c r="G478" s="40"/>
      <c r="H478" s="182">
        <v>0</v>
      </c>
      <c r="I478" s="39"/>
      <c r="J478" s="40"/>
      <c r="K478" s="5">
        <v>1923.0769230769231</v>
      </c>
      <c r="L478" s="157"/>
      <c r="M478" s="41">
        <v>3727.5576538461528</v>
      </c>
      <c r="O478" s="29"/>
      <c r="P478" s="5"/>
      <c r="R478" s="5"/>
      <c r="S478" s="5"/>
      <c r="U478" s="5"/>
    </row>
    <row r="479" spans="1:21" x14ac:dyDescent="0.25">
      <c r="A479" s="49">
        <f t="shared" si="23"/>
        <v>46498</v>
      </c>
      <c r="B479" s="42" t="str">
        <f t="shared" si="24"/>
        <v>abr/27</v>
      </c>
      <c r="C479" s="39"/>
      <c r="D479" s="40"/>
      <c r="E479" s="182">
        <v>0</v>
      </c>
      <c r="F479" s="39"/>
      <c r="G479" s="40"/>
      <c r="H479" s="182">
        <v>0</v>
      </c>
      <c r="I479" s="39"/>
      <c r="J479" s="40"/>
      <c r="K479" s="5">
        <v>1923.0769230769231</v>
      </c>
      <c r="L479" s="157"/>
      <c r="M479" s="41">
        <v>3727.5576538461528</v>
      </c>
      <c r="O479" s="29"/>
      <c r="P479" s="5"/>
      <c r="R479" s="5"/>
      <c r="S479" s="5"/>
      <c r="U479" s="5"/>
    </row>
    <row r="480" spans="1:21" x14ac:dyDescent="0.25">
      <c r="A480" s="49">
        <f t="shared" si="23"/>
        <v>46499</v>
      </c>
      <c r="B480" s="42" t="str">
        <f t="shared" si="24"/>
        <v>abr/27</v>
      </c>
      <c r="C480" s="39"/>
      <c r="D480" s="40"/>
      <c r="E480" s="182">
        <v>0</v>
      </c>
      <c r="F480" s="39"/>
      <c r="G480" s="40"/>
      <c r="H480" s="182">
        <v>0</v>
      </c>
      <c r="I480" s="39"/>
      <c r="J480" s="40"/>
      <c r="K480" s="5">
        <v>1923.0769230769231</v>
      </c>
      <c r="L480" s="157"/>
      <c r="M480" s="41">
        <v>3727.5576538461528</v>
      </c>
      <c r="O480" s="29"/>
      <c r="P480" s="5"/>
      <c r="R480" s="5"/>
      <c r="S480" s="5"/>
      <c r="U480" s="5"/>
    </row>
    <row r="481" spans="1:21" x14ac:dyDescent="0.25">
      <c r="A481" s="49">
        <f t="shared" si="23"/>
        <v>46500</v>
      </c>
      <c r="B481" s="42" t="str">
        <f t="shared" si="24"/>
        <v>abr/27</v>
      </c>
      <c r="C481" s="39"/>
      <c r="D481" s="40"/>
      <c r="E481" s="182">
        <v>0</v>
      </c>
      <c r="F481" s="39"/>
      <c r="G481" s="40"/>
      <c r="H481" s="182">
        <v>0</v>
      </c>
      <c r="I481" s="39"/>
      <c r="J481" s="40"/>
      <c r="K481" s="5">
        <v>1923.0769230769231</v>
      </c>
      <c r="L481" s="157"/>
      <c r="M481" s="41">
        <v>3727.5576538461528</v>
      </c>
      <c r="O481" s="29"/>
      <c r="P481" s="5"/>
      <c r="R481" s="5"/>
      <c r="S481" s="5"/>
      <c r="U481" s="5"/>
    </row>
    <row r="482" spans="1:21" x14ac:dyDescent="0.25">
      <c r="A482" s="49">
        <f t="shared" si="23"/>
        <v>46501</v>
      </c>
      <c r="B482" s="42" t="str">
        <f t="shared" si="24"/>
        <v>abr/27</v>
      </c>
      <c r="C482" s="39"/>
      <c r="D482" s="40"/>
      <c r="E482" s="182">
        <v>0</v>
      </c>
      <c r="F482" s="39"/>
      <c r="G482" s="40"/>
      <c r="H482" s="182">
        <v>0</v>
      </c>
      <c r="I482" s="39"/>
      <c r="J482" s="40"/>
      <c r="K482" s="5">
        <v>1923.0769230769231</v>
      </c>
      <c r="L482" s="157"/>
      <c r="M482" s="41">
        <v>3727.5576538461528</v>
      </c>
      <c r="O482" s="29"/>
      <c r="P482" s="5"/>
      <c r="R482" s="5"/>
      <c r="S482" s="5"/>
      <c r="U482" s="5"/>
    </row>
    <row r="483" spans="1:21" x14ac:dyDescent="0.25">
      <c r="A483" s="49">
        <f t="shared" si="23"/>
        <v>46502</v>
      </c>
      <c r="B483" s="42" t="str">
        <f t="shared" si="24"/>
        <v>abr/27</v>
      </c>
      <c r="C483" s="39"/>
      <c r="D483" s="40"/>
      <c r="E483" s="182">
        <v>0</v>
      </c>
      <c r="F483" s="39"/>
      <c r="G483" s="40"/>
      <c r="H483" s="182">
        <v>0</v>
      </c>
      <c r="I483" s="39"/>
      <c r="J483" s="40"/>
      <c r="K483" s="5">
        <v>0</v>
      </c>
      <c r="L483" s="157"/>
      <c r="M483" s="41">
        <v>0</v>
      </c>
      <c r="O483" s="29"/>
      <c r="P483" s="5"/>
      <c r="R483" s="5"/>
      <c r="S483" s="5"/>
      <c r="U483" s="5"/>
    </row>
    <row r="484" spans="1:21" x14ac:dyDescent="0.25">
      <c r="A484" s="49">
        <f t="shared" si="23"/>
        <v>46503</v>
      </c>
      <c r="B484" s="42" t="str">
        <f t="shared" si="24"/>
        <v>abr/27</v>
      </c>
      <c r="C484" s="39"/>
      <c r="D484" s="40"/>
      <c r="E484" s="182">
        <v>0</v>
      </c>
      <c r="F484" s="39"/>
      <c r="G484" s="40"/>
      <c r="H484" s="182">
        <v>0</v>
      </c>
      <c r="I484" s="39"/>
      <c r="J484" s="40"/>
      <c r="K484" s="5">
        <v>1923.0769230769231</v>
      </c>
      <c r="L484" s="157"/>
      <c r="M484" s="41">
        <v>3727.5576538461528</v>
      </c>
      <c r="O484" s="29"/>
      <c r="P484" s="5"/>
      <c r="R484" s="5"/>
      <c r="S484" s="5"/>
      <c r="U484" s="5"/>
    </row>
    <row r="485" spans="1:21" x14ac:dyDescent="0.25">
      <c r="A485" s="49">
        <f t="shared" si="23"/>
        <v>46504</v>
      </c>
      <c r="B485" s="42" t="str">
        <f t="shared" si="24"/>
        <v>abr/27</v>
      </c>
      <c r="C485" s="39"/>
      <c r="D485" s="40"/>
      <c r="E485" s="182">
        <v>0</v>
      </c>
      <c r="F485" s="39"/>
      <c r="G485" s="40"/>
      <c r="H485" s="182">
        <v>0</v>
      </c>
      <c r="I485" s="39"/>
      <c r="J485" s="40"/>
      <c r="K485" s="5">
        <v>1923.0769230769231</v>
      </c>
      <c r="L485" s="157"/>
      <c r="M485" s="41">
        <v>3727.5576538461528</v>
      </c>
      <c r="O485" s="29"/>
      <c r="P485" s="5"/>
      <c r="R485" s="5"/>
      <c r="S485" s="5"/>
      <c r="U485" s="5"/>
    </row>
    <row r="486" spans="1:21" x14ac:dyDescent="0.25">
      <c r="A486" s="49">
        <f t="shared" si="23"/>
        <v>46505</v>
      </c>
      <c r="B486" s="42" t="str">
        <f t="shared" si="24"/>
        <v>abr/27</v>
      </c>
      <c r="C486" s="39"/>
      <c r="D486" s="40"/>
      <c r="E486" s="182">
        <v>0</v>
      </c>
      <c r="F486" s="39"/>
      <c r="G486" s="40"/>
      <c r="H486" s="182">
        <v>0</v>
      </c>
      <c r="I486" s="39"/>
      <c r="J486" s="40"/>
      <c r="K486" s="5">
        <v>1923.0769230769231</v>
      </c>
      <c r="L486" s="157"/>
      <c r="M486" s="41">
        <v>3727.5576538461528</v>
      </c>
      <c r="O486" s="29"/>
      <c r="P486" s="5"/>
      <c r="R486" s="5"/>
      <c r="S486" s="5"/>
      <c r="U486" s="5"/>
    </row>
    <row r="487" spans="1:21" x14ac:dyDescent="0.25">
      <c r="A487" s="49">
        <f t="shared" si="23"/>
        <v>46506</v>
      </c>
      <c r="B487" s="42" t="str">
        <f t="shared" si="24"/>
        <v>abr/27</v>
      </c>
      <c r="C487" s="39"/>
      <c r="D487" s="40"/>
      <c r="E487" s="182">
        <v>0</v>
      </c>
      <c r="F487" s="39"/>
      <c r="G487" s="40"/>
      <c r="H487" s="182">
        <v>0</v>
      </c>
      <c r="I487" s="39"/>
      <c r="J487" s="40"/>
      <c r="K487" s="5">
        <v>1923.0769230769231</v>
      </c>
      <c r="L487" s="157"/>
      <c r="M487" s="41">
        <v>3727.5576538461528</v>
      </c>
      <c r="O487" s="29"/>
      <c r="P487" s="5"/>
      <c r="R487" s="5"/>
      <c r="S487" s="5"/>
      <c r="U487" s="5"/>
    </row>
    <row r="488" spans="1:21" x14ac:dyDescent="0.25">
      <c r="A488" s="49">
        <f t="shared" si="23"/>
        <v>46507</v>
      </c>
      <c r="B488" s="42" t="str">
        <f t="shared" si="24"/>
        <v>abr/27</v>
      </c>
      <c r="C488" s="39"/>
      <c r="D488" s="40"/>
      <c r="E488" s="182">
        <v>0</v>
      </c>
      <c r="F488" s="39"/>
      <c r="G488" s="40"/>
      <c r="H488" s="182">
        <v>0</v>
      </c>
      <c r="I488" s="39"/>
      <c r="J488" s="40"/>
      <c r="K488" s="5">
        <v>1923.0769230769231</v>
      </c>
      <c r="L488" s="157"/>
      <c r="M488" s="41">
        <v>3727.5576538461528</v>
      </c>
      <c r="O488" s="29"/>
      <c r="P488" s="5"/>
      <c r="R488" s="5"/>
      <c r="S488" s="5"/>
      <c r="U488" s="5"/>
    </row>
    <row r="489" spans="1:21" x14ac:dyDescent="0.25">
      <c r="A489" s="49">
        <f t="shared" si="23"/>
        <v>46508</v>
      </c>
      <c r="B489" s="42" t="str">
        <f t="shared" si="24"/>
        <v>mai/27</v>
      </c>
      <c r="C489" s="39"/>
      <c r="D489" s="40"/>
      <c r="E489" s="182">
        <v>0</v>
      </c>
      <c r="F489" s="39"/>
      <c r="G489" s="40"/>
      <c r="H489" s="182">
        <v>0</v>
      </c>
      <c r="I489" s="39"/>
      <c r="J489" s="40"/>
      <c r="K489" s="5">
        <v>1923.0769230769231</v>
      </c>
      <c r="L489" s="157"/>
      <c r="M489" s="41">
        <v>2906.4204999999974</v>
      </c>
      <c r="O489" s="29"/>
      <c r="P489" s="5"/>
      <c r="R489" s="5"/>
      <c r="S489" s="5"/>
      <c r="U489" s="5"/>
    </row>
    <row r="490" spans="1:21" x14ac:dyDescent="0.25">
      <c r="A490" s="49">
        <f t="shared" si="23"/>
        <v>46509</v>
      </c>
      <c r="B490" s="42" t="str">
        <f t="shared" si="24"/>
        <v>mai/27</v>
      </c>
      <c r="C490" s="39"/>
      <c r="D490" s="40"/>
      <c r="E490" s="182">
        <v>0</v>
      </c>
      <c r="F490" s="39"/>
      <c r="G490" s="40"/>
      <c r="H490" s="182">
        <v>0</v>
      </c>
      <c r="I490" s="39"/>
      <c r="J490" s="40"/>
      <c r="K490" s="5">
        <v>0</v>
      </c>
      <c r="L490" s="157"/>
      <c r="M490" s="41">
        <v>0</v>
      </c>
      <c r="O490" s="29"/>
      <c r="P490" s="5"/>
      <c r="R490" s="5"/>
      <c r="S490" s="5"/>
      <c r="U490" s="5"/>
    </row>
    <row r="491" spans="1:21" x14ac:dyDescent="0.25">
      <c r="A491" s="49">
        <f t="shared" si="23"/>
        <v>46510</v>
      </c>
      <c r="B491" s="42" t="str">
        <f t="shared" si="24"/>
        <v>mai/27</v>
      </c>
      <c r="C491" s="39"/>
      <c r="D491" s="40"/>
      <c r="E491" s="182">
        <v>0</v>
      </c>
      <c r="F491" s="39"/>
      <c r="G491" s="40"/>
      <c r="H491" s="182">
        <v>0</v>
      </c>
      <c r="I491" s="39"/>
      <c r="J491" s="40"/>
      <c r="K491" s="5">
        <v>1923.0769230769231</v>
      </c>
      <c r="L491" s="157"/>
      <c r="M491" s="41">
        <v>2906.4204999999974</v>
      </c>
      <c r="O491" s="29"/>
      <c r="P491" s="5"/>
      <c r="R491" s="5"/>
      <c r="S491" s="5"/>
      <c r="U491" s="5"/>
    </row>
    <row r="492" spans="1:21" x14ac:dyDescent="0.25">
      <c r="A492" s="49">
        <f t="shared" si="23"/>
        <v>46511</v>
      </c>
      <c r="B492" s="42" t="str">
        <f t="shared" si="24"/>
        <v>mai/27</v>
      </c>
      <c r="C492" s="39"/>
      <c r="D492" s="40"/>
      <c r="E492" s="182">
        <v>0</v>
      </c>
      <c r="F492" s="39"/>
      <c r="G492" s="40"/>
      <c r="H492" s="182">
        <v>0</v>
      </c>
      <c r="I492" s="39"/>
      <c r="J492" s="40"/>
      <c r="K492" s="5">
        <v>1923.0769230769231</v>
      </c>
      <c r="L492" s="157"/>
      <c r="M492" s="41">
        <v>2906.4204999999974</v>
      </c>
      <c r="O492" s="29"/>
      <c r="P492" s="5"/>
      <c r="R492" s="5"/>
      <c r="S492" s="5"/>
      <c r="U492" s="5"/>
    </row>
    <row r="493" spans="1:21" x14ac:dyDescent="0.25">
      <c r="A493" s="49">
        <f t="shared" si="23"/>
        <v>46512</v>
      </c>
      <c r="B493" s="42" t="str">
        <f t="shared" si="24"/>
        <v>mai/27</v>
      </c>
      <c r="C493" s="39"/>
      <c r="D493" s="40"/>
      <c r="E493" s="182">
        <v>0</v>
      </c>
      <c r="F493" s="39"/>
      <c r="G493" s="40"/>
      <c r="H493" s="182">
        <v>0</v>
      </c>
      <c r="I493" s="39"/>
      <c r="J493" s="40"/>
      <c r="K493" s="5">
        <v>1923.0769230769231</v>
      </c>
      <c r="L493" s="157"/>
      <c r="M493" s="41">
        <v>2906.4204999999974</v>
      </c>
      <c r="O493" s="29"/>
      <c r="P493" s="5"/>
      <c r="R493" s="5"/>
      <c r="S493" s="5"/>
      <c r="U493" s="5"/>
    </row>
    <row r="494" spans="1:21" x14ac:dyDescent="0.25">
      <c r="A494" s="49">
        <f t="shared" si="23"/>
        <v>46513</v>
      </c>
      <c r="B494" s="42" t="str">
        <f t="shared" si="24"/>
        <v>mai/27</v>
      </c>
      <c r="C494" s="39"/>
      <c r="D494" s="40"/>
      <c r="E494" s="182">
        <v>0</v>
      </c>
      <c r="F494" s="39"/>
      <c r="G494" s="40"/>
      <c r="H494" s="182">
        <v>0</v>
      </c>
      <c r="I494" s="39"/>
      <c r="J494" s="40"/>
      <c r="K494" s="5">
        <v>1923.0769230769231</v>
      </c>
      <c r="L494" s="157"/>
      <c r="M494" s="41">
        <v>2906.4204999999974</v>
      </c>
      <c r="O494" s="29"/>
      <c r="P494" s="5"/>
      <c r="R494" s="5"/>
      <c r="S494" s="5"/>
      <c r="U494" s="5"/>
    </row>
    <row r="495" spans="1:21" x14ac:dyDescent="0.25">
      <c r="A495" s="49">
        <f t="shared" si="23"/>
        <v>46514</v>
      </c>
      <c r="B495" s="42" t="str">
        <f t="shared" si="24"/>
        <v>mai/27</v>
      </c>
      <c r="C495" s="39"/>
      <c r="D495" s="40"/>
      <c r="E495" s="182">
        <v>0</v>
      </c>
      <c r="F495" s="39"/>
      <c r="G495" s="40"/>
      <c r="H495" s="182">
        <v>0</v>
      </c>
      <c r="I495" s="39"/>
      <c r="J495" s="40"/>
      <c r="K495" s="5">
        <v>1923.0769230769231</v>
      </c>
      <c r="L495" s="157"/>
      <c r="M495" s="41">
        <v>2906.4204999999974</v>
      </c>
      <c r="O495" s="29"/>
      <c r="P495" s="5"/>
      <c r="R495" s="5"/>
      <c r="S495" s="5"/>
      <c r="U495" s="5"/>
    </row>
    <row r="496" spans="1:21" x14ac:dyDescent="0.25">
      <c r="A496" s="49">
        <f t="shared" si="23"/>
        <v>46515</v>
      </c>
      <c r="B496" s="42" t="str">
        <f t="shared" si="24"/>
        <v>mai/27</v>
      </c>
      <c r="C496" s="39"/>
      <c r="D496" s="40"/>
      <c r="E496" s="182">
        <v>0</v>
      </c>
      <c r="F496" s="39"/>
      <c r="G496" s="40"/>
      <c r="H496" s="182">
        <v>0</v>
      </c>
      <c r="I496" s="39"/>
      <c r="J496" s="40"/>
      <c r="K496" s="5">
        <v>1923.0769230769231</v>
      </c>
      <c r="L496" s="157"/>
      <c r="M496" s="41">
        <v>2906.4204999999974</v>
      </c>
      <c r="O496" s="29"/>
      <c r="P496" s="5"/>
      <c r="R496" s="5"/>
      <c r="S496" s="5"/>
      <c r="U496" s="5"/>
    </row>
    <row r="497" spans="1:21" x14ac:dyDescent="0.25">
      <c r="A497" s="49">
        <f t="shared" si="23"/>
        <v>46516</v>
      </c>
      <c r="B497" s="42" t="str">
        <f t="shared" si="24"/>
        <v>mai/27</v>
      </c>
      <c r="C497" s="39"/>
      <c r="D497" s="40"/>
      <c r="E497" s="182">
        <v>0</v>
      </c>
      <c r="F497" s="39"/>
      <c r="G497" s="40"/>
      <c r="H497" s="182">
        <v>0</v>
      </c>
      <c r="I497" s="39"/>
      <c r="J497" s="40"/>
      <c r="K497" s="5">
        <v>0</v>
      </c>
      <c r="L497" s="157"/>
      <c r="M497" s="41">
        <v>0</v>
      </c>
      <c r="O497" s="29"/>
      <c r="P497" s="5"/>
      <c r="R497" s="5"/>
      <c r="S497" s="5"/>
      <c r="U497" s="5"/>
    </row>
    <row r="498" spans="1:21" x14ac:dyDescent="0.25">
      <c r="A498" s="49">
        <f t="shared" si="23"/>
        <v>46517</v>
      </c>
      <c r="B498" s="42" t="str">
        <f t="shared" si="24"/>
        <v>mai/27</v>
      </c>
      <c r="C498" s="39"/>
      <c r="D498" s="40"/>
      <c r="E498" s="182">
        <v>0</v>
      </c>
      <c r="F498" s="39"/>
      <c r="G498" s="40"/>
      <c r="H498" s="182">
        <v>0</v>
      </c>
      <c r="I498" s="39"/>
      <c r="J498" s="40"/>
      <c r="K498" s="5">
        <v>1923.0769230769231</v>
      </c>
      <c r="L498" s="157"/>
      <c r="M498" s="41">
        <v>2906.4204999999974</v>
      </c>
      <c r="O498" s="29"/>
      <c r="P498" s="5"/>
      <c r="R498" s="5"/>
      <c r="S498" s="5"/>
      <c r="U498" s="5"/>
    </row>
    <row r="499" spans="1:21" x14ac:dyDescent="0.25">
      <c r="A499" s="49">
        <f t="shared" si="23"/>
        <v>46518</v>
      </c>
      <c r="B499" s="42" t="str">
        <f t="shared" si="24"/>
        <v>mai/27</v>
      </c>
      <c r="C499" s="39"/>
      <c r="D499" s="40"/>
      <c r="E499" s="182">
        <v>0</v>
      </c>
      <c r="F499" s="39"/>
      <c r="G499" s="40"/>
      <c r="H499" s="182">
        <v>0</v>
      </c>
      <c r="I499" s="39"/>
      <c r="J499" s="40"/>
      <c r="K499" s="5">
        <v>1923.0769230769231</v>
      </c>
      <c r="L499" s="157"/>
      <c r="M499" s="41">
        <v>2906.4204999999974</v>
      </c>
      <c r="O499" s="29"/>
      <c r="P499" s="5"/>
      <c r="R499" s="5"/>
      <c r="S499" s="5"/>
      <c r="U499" s="5"/>
    </row>
    <row r="500" spans="1:21" x14ac:dyDescent="0.25">
      <c r="A500" s="49">
        <f t="shared" si="23"/>
        <v>46519</v>
      </c>
      <c r="B500" s="42" t="str">
        <f t="shared" si="24"/>
        <v>mai/27</v>
      </c>
      <c r="C500" s="39"/>
      <c r="D500" s="40"/>
      <c r="E500" s="182">
        <v>0</v>
      </c>
      <c r="F500" s="39"/>
      <c r="G500" s="40"/>
      <c r="H500" s="182">
        <v>0</v>
      </c>
      <c r="I500" s="39"/>
      <c r="J500" s="40"/>
      <c r="K500" s="5">
        <v>1923.0769230769231</v>
      </c>
      <c r="L500" s="157"/>
      <c r="M500" s="41">
        <v>2906.4204999999974</v>
      </c>
      <c r="O500" s="29"/>
      <c r="P500" s="5"/>
      <c r="R500" s="5"/>
      <c r="S500" s="5"/>
      <c r="U500" s="5"/>
    </row>
    <row r="501" spans="1:21" x14ac:dyDescent="0.25">
      <c r="A501" s="49">
        <f t="shared" si="23"/>
        <v>46520</v>
      </c>
      <c r="B501" s="42" t="str">
        <f t="shared" si="24"/>
        <v>mai/27</v>
      </c>
      <c r="C501" s="39"/>
      <c r="D501" s="40"/>
      <c r="E501" s="182">
        <v>0</v>
      </c>
      <c r="F501" s="39"/>
      <c r="G501" s="40"/>
      <c r="H501" s="182">
        <v>0</v>
      </c>
      <c r="I501" s="39"/>
      <c r="J501" s="40"/>
      <c r="K501" s="5">
        <v>1923.0769230769231</v>
      </c>
      <c r="L501" s="157"/>
      <c r="M501" s="41">
        <v>2906.4204999999974</v>
      </c>
      <c r="O501" s="29"/>
      <c r="P501" s="5"/>
      <c r="R501" s="5"/>
      <c r="S501" s="5"/>
      <c r="U501" s="5"/>
    </row>
    <row r="502" spans="1:21" x14ac:dyDescent="0.25">
      <c r="A502" s="49">
        <f t="shared" si="23"/>
        <v>46521</v>
      </c>
      <c r="B502" s="42" t="str">
        <f t="shared" si="24"/>
        <v>mai/27</v>
      </c>
      <c r="C502" s="39"/>
      <c r="D502" s="40"/>
      <c r="E502" s="182">
        <v>0</v>
      </c>
      <c r="F502" s="39"/>
      <c r="G502" s="40"/>
      <c r="H502" s="182">
        <v>0</v>
      </c>
      <c r="I502" s="39"/>
      <c r="J502" s="40"/>
      <c r="K502" s="5">
        <v>1923.0769230769231</v>
      </c>
      <c r="L502" s="157"/>
      <c r="M502" s="41">
        <v>2906.4204999999974</v>
      </c>
      <c r="O502" s="29"/>
      <c r="P502" s="5"/>
      <c r="R502" s="5"/>
      <c r="S502" s="5"/>
      <c r="U502" s="5"/>
    </row>
    <row r="503" spans="1:21" x14ac:dyDescent="0.25">
      <c r="A503" s="49">
        <f t="shared" si="23"/>
        <v>46522</v>
      </c>
      <c r="B503" s="42" t="str">
        <f t="shared" si="24"/>
        <v>mai/27</v>
      </c>
      <c r="C503" s="39"/>
      <c r="D503" s="40"/>
      <c r="E503" s="182">
        <v>0</v>
      </c>
      <c r="F503" s="39"/>
      <c r="G503" s="40"/>
      <c r="H503" s="182">
        <v>0</v>
      </c>
      <c r="I503" s="39"/>
      <c r="J503" s="40"/>
      <c r="K503" s="5">
        <v>1923.0769230769231</v>
      </c>
      <c r="L503" s="157"/>
      <c r="M503" s="41">
        <v>2906.4204999999974</v>
      </c>
      <c r="O503" s="29"/>
      <c r="P503" s="5"/>
      <c r="R503" s="5"/>
      <c r="S503" s="5"/>
      <c r="U503" s="5"/>
    </row>
    <row r="504" spans="1:21" x14ac:dyDescent="0.25">
      <c r="A504" s="49">
        <f t="shared" ref="A504:A567" si="25">A503+1</f>
        <v>46523</v>
      </c>
      <c r="B504" s="42" t="str">
        <f t="shared" si="24"/>
        <v>mai/27</v>
      </c>
      <c r="C504" s="39"/>
      <c r="D504" s="40"/>
      <c r="E504" s="182">
        <v>0</v>
      </c>
      <c r="F504" s="39"/>
      <c r="G504" s="40"/>
      <c r="H504" s="182">
        <v>0</v>
      </c>
      <c r="I504" s="39"/>
      <c r="J504" s="40"/>
      <c r="K504" s="5">
        <v>0</v>
      </c>
      <c r="L504" s="157"/>
      <c r="M504" s="41">
        <v>0</v>
      </c>
      <c r="O504" s="29"/>
      <c r="P504" s="5"/>
      <c r="R504" s="5"/>
      <c r="S504" s="5"/>
      <c r="U504" s="5"/>
    </row>
    <row r="505" spans="1:21" x14ac:dyDescent="0.25">
      <c r="A505" s="49">
        <f t="shared" si="25"/>
        <v>46524</v>
      </c>
      <c r="B505" s="42" t="str">
        <f t="shared" si="24"/>
        <v>mai/27</v>
      </c>
      <c r="C505" s="39"/>
      <c r="D505" s="40"/>
      <c r="E505" s="182">
        <v>0</v>
      </c>
      <c r="F505" s="39"/>
      <c r="G505" s="40"/>
      <c r="H505" s="182">
        <v>0</v>
      </c>
      <c r="I505" s="39"/>
      <c r="J505" s="40"/>
      <c r="K505" s="5">
        <v>1923.0769230769231</v>
      </c>
      <c r="L505" s="157"/>
      <c r="M505" s="41">
        <v>2906.4204999999974</v>
      </c>
      <c r="O505" s="29"/>
      <c r="P505" s="5"/>
      <c r="R505" s="5"/>
      <c r="S505" s="5"/>
      <c r="U505" s="5"/>
    </row>
    <row r="506" spans="1:21" x14ac:dyDescent="0.25">
      <c r="A506" s="49">
        <f t="shared" si="25"/>
        <v>46525</v>
      </c>
      <c r="B506" s="42" t="str">
        <f t="shared" si="24"/>
        <v>mai/27</v>
      </c>
      <c r="C506" s="39"/>
      <c r="D506" s="40"/>
      <c r="E506" s="182">
        <v>0</v>
      </c>
      <c r="F506" s="39"/>
      <c r="G506" s="40"/>
      <c r="H506" s="182">
        <v>0</v>
      </c>
      <c r="I506" s="39"/>
      <c r="J506" s="40"/>
      <c r="K506" s="5">
        <v>1923.0769230769231</v>
      </c>
      <c r="L506" s="157"/>
      <c r="M506" s="41">
        <v>2906.4204999999974</v>
      </c>
      <c r="O506" s="29"/>
      <c r="P506" s="5"/>
      <c r="R506" s="5"/>
      <c r="S506" s="5"/>
      <c r="U506" s="5"/>
    </row>
    <row r="507" spans="1:21" x14ac:dyDescent="0.25">
      <c r="A507" s="49">
        <f t="shared" si="25"/>
        <v>46526</v>
      </c>
      <c r="B507" s="42" t="str">
        <f t="shared" si="24"/>
        <v>mai/27</v>
      </c>
      <c r="C507" s="39"/>
      <c r="D507" s="40"/>
      <c r="E507" s="182">
        <v>0</v>
      </c>
      <c r="F507" s="39"/>
      <c r="G507" s="40"/>
      <c r="H507" s="182">
        <v>0</v>
      </c>
      <c r="I507" s="39"/>
      <c r="J507" s="40"/>
      <c r="K507" s="5">
        <v>1923.0769230769231</v>
      </c>
      <c r="L507" s="157"/>
      <c r="M507" s="41">
        <v>2906.4204999999974</v>
      </c>
      <c r="O507" s="29"/>
      <c r="P507" s="5"/>
      <c r="R507" s="5"/>
      <c r="S507" s="5"/>
      <c r="U507" s="5"/>
    </row>
    <row r="508" spans="1:21" x14ac:dyDescent="0.25">
      <c r="A508" s="49">
        <f t="shared" si="25"/>
        <v>46527</v>
      </c>
      <c r="B508" s="42" t="str">
        <f t="shared" si="24"/>
        <v>mai/27</v>
      </c>
      <c r="C508" s="39"/>
      <c r="D508" s="40"/>
      <c r="E508" s="182">
        <v>0</v>
      </c>
      <c r="F508" s="39"/>
      <c r="G508" s="40"/>
      <c r="H508" s="182">
        <v>0</v>
      </c>
      <c r="I508" s="39"/>
      <c r="J508" s="40"/>
      <c r="K508" s="5">
        <v>1923.0769230769231</v>
      </c>
      <c r="L508" s="157"/>
      <c r="M508" s="41">
        <v>2906.4204999999974</v>
      </c>
      <c r="O508" s="29"/>
      <c r="P508" s="5"/>
      <c r="R508" s="5"/>
      <c r="S508" s="5"/>
      <c r="U508" s="5"/>
    </row>
    <row r="509" spans="1:21" x14ac:dyDescent="0.25">
      <c r="A509" s="49">
        <f t="shared" si="25"/>
        <v>46528</v>
      </c>
      <c r="B509" s="42" t="str">
        <f t="shared" si="24"/>
        <v>mai/27</v>
      </c>
      <c r="C509" s="39"/>
      <c r="D509" s="40"/>
      <c r="E509" s="182">
        <v>0</v>
      </c>
      <c r="F509" s="39"/>
      <c r="G509" s="40"/>
      <c r="H509" s="182">
        <v>0</v>
      </c>
      <c r="I509" s="39"/>
      <c r="J509" s="40"/>
      <c r="K509" s="5">
        <v>1923.0769230769231</v>
      </c>
      <c r="L509" s="157"/>
      <c r="M509" s="41">
        <v>2906.4204999999974</v>
      </c>
      <c r="O509" s="29"/>
      <c r="P509" s="5"/>
      <c r="R509" s="5"/>
      <c r="S509" s="5"/>
      <c r="U509" s="5"/>
    </row>
    <row r="510" spans="1:21" x14ac:dyDescent="0.25">
      <c r="A510" s="49">
        <f t="shared" si="25"/>
        <v>46529</v>
      </c>
      <c r="B510" s="42" t="str">
        <f t="shared" si="24"/>
        <v>mai/27</v>
      </c>
      <c r="C510" s="39"/>
      <c r="D510" s="40"/>
      <c r="E510" s="182">
        <v>0</v>
      </c>
      <c r="F510" s="39"/>
      <c r="G510" s="40"/>
      <c r="H510" s="182">
        <v>0</v>
      </c>
      <c r="I510" s="39"/>
      <c r="J510" s="40"/>
      <c r="K510" s="5">
        <v>1923.0769230769231</v>
      </c>
      <c r="L510" s="157"/>
      <c r="M510" s="41">
        <v>2906.4204999999974</v>
      </c>
      <c r="O510" s="29"/>
      <c r="P510" s="5"/>
      <c r="R510" s="5"/>
      <c r="S510" s="5"/>
      <c r="U510" s="5"/>
    </row>
    <row r="511" spans="1:21" x14ac:dyDescent="0.25">
      <c r="A511" s="49">
        <f t="shared" si="25"/>
        <v>46530</v>
      </c>
      <c r="B511" s="42" t="str">
        <f t="shared" si="24"/>
        <v>mai/27</v>
      </c>
      <c r="C511" s="39"/>
      <c r="D511" s="40"/>
      <c r="E511" s="182">
        <v>0</v>
      </c>
      <c r="F511" s="39"/>
      <c r="G511" s="40"/>
      <c r="H511" s="182">
        <v>0</v>
      </c>
      <c r="I511" s="39"/>
      <c r="J511" s="40"/>
      <c r="K511" s="5">
        <v>0</v>
      </c>
      <c r="L511" s="157"/>
      <c r="M511" s="41">
        <v>0</v>
      </c>
      <c r="O511" s="29"/>
      <c r="P511" s="5"/>
      <c r="R511" s="5"/>
      <c r="S511" s="5"/>
      <c r="U511" s="5"/>
    </row>
    <row r="512" spans="1:21" x14ac:dyDescent="0.25">
      <c r="A512" s="49">
        <f t="shared" si="25"/>
        <v>46531</v>
      </c>
      <c r="B512" s="42" t="str">
        <f t="shared" si="24"/>
        <v>mai/27</v>
      </c>
      <c r="C512" s="39"/>
      <c r="D512" s="40"/>
      <c r="E512" s="182">
        <v>0</v>
      </c>
      <c r="F512" s="39"/>
      <c r="G512" s="40"/>
      <c r="H512" s="182">
        <v>0</v>
      </c>
      <c r="I512" s="39"/>
      <c r="J512" s="40"/>
      <c r="K512" s="5">
        <v>1923.0769230769231</v>
      </c>
      <c r="L512" s="157"/>
      <c r="M512" s="41">
        <v>2906.4204999999974</v>
      </c>
      <c r="O512" s="29"/>
      <c r="P512" s="5"/>
      <c r="R512" s="5"/>
      <c r="S512" s="5"/>
      <c r="U512" s="5"/>
    </row>
    <row r="513" spans="1:21" x14ac:dyDescent="0.25">
      <c r="A513" s="49">
        <f t="shared" si="25"/>
        <v>46532</v>
      </c>
      <c r="B513" s="42" t="str">
        <f t="shared" si="24"/>
        <v>mai/27</v>
      </c>
      <c r="C513" s="39"/>
      <c r="D513" s="40"/>
      <c r="E513" s="182">
        <v>0</v>
      </c>
      <c r="F513" s="39"/>
      <c r="G513" s="40"/>
      <c r="H513" s="182">
        <v>0</v>
      </c>
      <c r="I513" s="39"/>
      <c r="J513" s="40"/>
      <c r="K513" s="5">
        <v>1923.0769230769231</v>
      </c>
      <c r="L513" s="157"/>
      <c r="M513" s="41">
        <v>2906.4204999999974</v>
      </c>
      <c r="O513" s="29"/>
      <c r="P513" s="5"/>
      <c r="R513" s="5"/>
      <c r="S513" s="5"/>
      <c r="U513" s="5"/>
    </row>
    <row r="514" spans="1:21" x14ac:dyDescent="0.25">
      <c r="A514" s="49">
        <f t="shared" si="25"/>
        <v>46533</v>
      </c>
      <c r="B514" s="42" t="str">
        <f t="shared" si="24"/>
        <v>mai/27</v>
      </c>
      <c r="C514" s="39"/>
      <c r="D514" s="40"/>
      <c r="E514" s="182">
        <v>0</v>
      </c>
      <c r="F514" s="39"/>
      <c r="G514" s="40"/>
      <c r="H514" s="182">
        <v>0</v>
      </c>
      <c r="I514" s="39"/>
      <c r="J514" s="40"/>
      <c r="K514" s="5">
        <v>1923.0769230769231</v>
      </c>
      <c r="L514" s="157"/>
      <c r="M514" s="41">
        <v>2906.4204999999974</v>
      </c>
      <c r="O514" s="29"/>
      <c r="P514" s="5"/>
      <c r="R514" s="5"/>
      <c r="S514" s="5"/>
      <c r="U514" s="5"/>
    </row>
    <row r="515" spans="1:21" x14ac:dyDescent="0.25">
      <c r="A515" s="49">
        <f t="shared" si="25"/>
        <v>46534</v>
      </c>
      <c r="B515" s="42" t="str">
        <f t="shared" si="24"/>
        <v>mai/27</v>
      </c>
      <c r="C515" s="39"/>
      <c r="D515" s="40"/>
      <c r="E515" s="182">
        <v>0</v>
      </c>
      <c r="F515" s="39"/>
      <c r="G515" s="40"/>
      <c r="H515" s="182">
        <v>0</v>
      </c>
      <c r="I515" s="39"/>
      <c r="J515" s="40"/>
      <c r="K515" s="5">
        <v>1923.0769230769231</v>
      </c>
      <c r="L515" s="157"/>
      <c r="M515" s="41">
        <v>2906.4204999999974</v>
      </c>
      <c r="O515" s="29"/>
      <c r="P515" s="5"/>
      <c r="R515" s="5"/>
      <c r="S515" s="5"/>
      <c r="U515" s="5"/>
    </row>
    <row r="516" spans="1:21" x14ac:dyDescent="0.25">
      <c r="A516" s="49">
        <f t="shared" si="25"/>
        <v>46535</v>
      </c>
      <c r="B516" s="42" t="str">
        <f t="shared" si="24"/>
        <v>mai/27</v>
      </c>
      <c r="C516" s="39"/>
      <c r="D516" s="40"/>
      <c r="E516" s="182">
        <v>0</v>
      </c>
      <c r="F516" s="39"/>
      <c r="G516" s="40"/>
      <c r="H516" s="182">
        <v>0</v>
      </c>
      <c r="I516" s="39"/>
      <c r="J516" s="40"/>
      <c r="K516" s="5">
        <v>1923.0769230769231</v>
      </c>
      <c r="L516" s="157"/>
      <c r="M516" s="41">
        <v>2906.4204999999974</v>
      </c>
      <c r="O516" s="29"/>
      <c r="P516" s="5"/>
      <c r="R516" s="5"/>
      <c r="S516" s="5"/>
      <c r="U516" s="5"/>
    </row>
    <row r="517" spans="1:21" x14ac:dyDescent="0.25">
      <c r="A517" s="49">
        <f t="shared" si="25"/>
        <v>46536</v>
      </c>
      <c r="B517" s="42" t="str">
        <f t="shared" ref="B517:B580" si="26">TEXT(A517,"MMM/AA")</f>
        <v>mai/27</v>
      </c>
      <c r="C517" s="39"/>
      <c r="D517" s="40"/>
      <c r="E517" s="182">
        <v>0</v>
      </c>
      <c r="F517" s="39"/>
      <c r="G517" s="40"/>
      <c r="H517" s="182">
        <v>0</v>
      </c>
      <c r="I517" s="39"/>
      <c r="J517" s="40"/>
      <c r="K517" s="5">
        <v>1923.0769230769231</v>
      </c>
      <c r="L517" s="157"/>
      <c r="M517" s="41">
        <v>2906.4204999999974</v>
      </c>
      <c r="O517" s="29"/>
      <c r="P517" s="5"/>
      <c r="R517" s="5"/>
      <c r="S517" s="5"/>
      <c r="U517" s="5"/>
    </row>
    <row r="518" spans="1:21" x14ac:dyDescent="0.25">
      <c r="A518" s="49">
        <f t="shared" si="25"/>
        <v>46537</v>
      </c>
      <c r="B518" s="42" t="str">
        <f t="shared" si="26"/>
        <v>mai/27</v>
      </c>
      <c r="C518" s="39"/>
      <c r="D518" s="40"/>
      <c r="E518" s="182">
        <v>0</v>
      </c>
      <c r="F518" s="39"/>
      <c r="G518" s="40"/>
      <c r="H518" s="182">
        <v>0</v>
      </c>
      <c r="I518" s="39"/>
      <c r="J518" s="40"/>
      <c r="K518" s="5">
        <v>0</v>
      </c>
      <c r="L518" s="157"/>
      <c r="M518" s="41">
        <v>0</v>
      </c>
      <c r="O518" s="29"/>
      <c r="P518" s="5"/>
      <c r="R518" s="5"/>
      <c r="S518" s="5"/>
      <c r="U518" s="5"/>
    </row>
    <row r="519" spans="1:21" x14ac:dyDescent="0.25">
      <c r="A519" s="49">
        <f t="shared" si="25"/>
        <v>46538</v>
      </c>
      <c r="B519" s="42" t="str">
        <f t="shared" si="26"/>
        <v>mai/27</v>
      </c>
      <c r="C519" s="39"/>
      <c r="D519" s="40"/>
      <c r="E519" s="182">
        <v>0</v>
      </c>
      <c r="F519" s="39"/>
      <c r="G519" s="40"/>
      <c r="H519" s="182">
        <v>0</v>
      </c>
      <c r="I519" s="39"/>
      <c r="J519" s="40"/>
      <c r="K519" s="5">
        <v>1923.0769230769231</v>
      </c>
      <c r="L519" s="157"/>
      <c r="M519" s="41">
        <v>2906.4204999999974</v>
      </c>
      <c r="O519" s="29"/>
      <c r="P519" s="5"/>
      <c r="R519" s="5"/>
      <c r="S519" s="5"/>
      <c r="U519" s="5"/>
    </row>
    <row r="520" spans="1:21" x14ac:dyDescent="0.25">
      <c r="A520" s="49">
        <f t="shared" si="25"/>
        <v>46539</v>
      </c>
      <c r="B520" s="42" t="str">
        <f t="shared" si="26"/>
        <v>jun/27</v>
      </c>
      <c r="C520" s="39"/>
      <c r="D520" s="40"/>
      <c r="E520" s="182">
        <v>0</v>
      </c>
      <c r="F520" s="39"/>
      <c r="G520" s="40"/>
      <c r="H520" s="182">
        <v>0</v>
      </c>
      <c r="I520" s="39"/>
      <c r="J520" s="40"/>
      <c r="K520" s="5">
        <v>1923.0769230769231</v>
      </c>
      <c r="L520" s="157"/>
      <c r="M520" s="41">
        <v>825.07192307692299</v>
      </c>
      <c r="O520" s="29"/>
      <c r="P520" s="5"/>
      <c r="R520" s="5"/>
      <c r="S520" s="5"/>
      <c r="U520" s="5"/>
    </row>
    <row r="521" spans="1:21" x14ac:dyDescent="0.25">
      <c r="A521" s="49">
        <f t="shared" si="25"/>
        <v>46540</v>
      </c>
      <c r="B521" s="42" t="str">
        <f t="shared" si="26"/>
        <v>jun/27</v>
      </c>
      <c r="C521" s="39"/>
      <c r="D521" s="40"/>
      <c r="E521" s="182">
        <v>0</v>
      </c>
      <c r="F521" s="39"/>
      <c r="G521" s="40"/>
      <c r="H521" s="182">
        <v>0</v>
      </c>
      <c r="I521" s="39"/>
      <c r="J521" s="40"/>
      <c r="K521" s="5">
        <v>1923.0769230769231</v>
      </c>
      <c r="L521" s="157"/>
      <c r="M521" s="41">
        <v>825.07192307692299</v>
      </c>
      <c r="O521" s="29"/>
      <c r="P521" s="5"/>
      <c r="R521" s="5"/>
      <c r="S521" s="5"/>
      <c r="U521" s="5"/>
    </row>
    <row r="522" spans="1:21" x14ac:dyDescent="0.25">
      <c r="A522" s="49">
        <f t="shared" si="25"/>
        <v>46541</v>
      </c>
      <c r="B522" s="42" t="str">
        <f t="shared" si="26"/>
        <v>jun/27</v>
      </c>
      <c r="C522" s="39"/>
      <c r="D522" s="40"/>
      <c r="E522" s="182">
        <v>0</v>
      </c>
      <c r="F522" s="39"/>
      <c r="G522" s="40"/>
      <c r="H522" s="182">
        <v>0</v>
      </c>
      <c r="I522" s="39"/>
      <c r="J522" s="40"/>
      <c r="K522" s="5">
        <v>1923.0769230769231</v>
      </c>
      <c r="L522" s="157"/>
      <c r="M522" s="41">
        <v>825.07192307692299</v>
      </c>
      <c r="O522" s="29"/>
      <c r="P522" s="5"/>
      <c r="R522" s="5"/>
      <c r="S522" s="5"/>
      <c r="U522" s="5"/>
    </row>
    <row r="523" spans="1:21" x14ac:dyDescent="0.25">
      <c r="A523" s="49">
        <f t="shared" si="25"/>
        <v>46542</v>
      </c>
      <c r="B523" s="42" t="str">
        <f t="shared" si="26"/>
        <v>jun/27</v>
      </c>
      <c r="C523" s="39"/>
      <c r="D523" s="40"/>
      <c r="E523" s="182">
        <v>0</v>
      </c>
      <c r="F523" s="39"/>
      <c r="G523" s="40"/>
      <c r="H523" s="182">
        <v>0</v>
      </c>
      <c r="I523" s="39"/>
      <c r="J523" s="40"/>
      <c r="K523" s="5">
        <v>1923.0769230769231</v>
      </c>
      <c r="L523" s="157"/>
      <c r="M523" s="41">
        <v>825.07192307692299</v>
      </c>
      <c r="O523" s="29"/>
      <c r="P523" s="5"/>
      <c r="R523" s="5"/>
      <c r="S523" s="5"/>
      <c r="U523" s="5"/>
    </row>
    <row r="524" spans="1:21" x14ac:dyDescent="0.25">
      <c r="A524" s="49">
        <f t="shared" si="25"/>
        <v>46543</v>
      </c>
      <c r="B524" s="42" t="str">
        <f t="shared" si="26"/>
        <v>jun/27</v>
      </c>
      <c r="C524" s="39"/>
      <c r="D524" s="40"/>
      <c r="E524" s="182">
        <v>0</v>
      </c>
      <c r="F524" s="39"/>
      <c r="G524" s="40"/>
      <c r="H524" s="182">
        <v>0</v>
      </c>
      <c r="I524" s="39"/>
      <c r="J524" s="40"/>
      <c r="K524" s="5">
        <v>1923.0769230769231</v>
      </c>
      <c r="L524" s="157"/>
      <c r="M524" s="41">
        <v>825.07192307692299</v>
      </c>
      <c r="O524" s="29"/>
      <c r="P524" s="5"/>
      <c r="R524" s="5"/>
      <c r="S524" s="5"/>
      <c r="U524" s="5"/>
    </row>
    <row r="525" spans="1:21" x14ac:dyDescent="0.25">
      <c r="A525" s="49">
        <f t="shared" si="25"/>
        <v>46544</v>
      </c>
      <c r="B525" s="42" t="str">
        <f t="shared" si="26"/>
        <v>jun/27</v>
      </c>
      <c r="C525" s="39"/>
      <c r="D525" s="40"/>
      <c r="E525" s="182">
        <v>0</v>
      </c>
      <c r="F525" s="39"/>
      <c r="G525" s="40"/>
      <c r="H525" s="182">
        <v>0</v>
      </c>
      <c r="I525" s="39"/>
      <c r="J525" s="40"/>
      <c r="K525" s="5">
        <v>0</v>
      </c>
      <c r="L525" s="157"/>
      <c r="M525" s="41">
        <v>0</v>
      </c>
      <c r="O525" s="29"/>
      <c r="P525" s="5"/>
      <c r="R525" s="5"/>
      <c r="S525" s="5"/>
      <c r="U525" s="5"/>
    </row>
    <row r="526" spans="1:21" x14ac:dyDescent="0.25">
      <c r="A526" s="49">
        <f t="shared" si="25"/>
        <v>46545</v>
      </c>
      <c r="B526" s="42" t="str">
        <f t="shared" si="26"/>
        <v>jun/27</v>
      </c>
      <c r="C526" s="39"/>
      <c r="D526" s="40"/>
      <c r="E526" s="182">
        <v>0</v>
      </c>
      <c r="F526" s="39"/>
      <c r="G526" s="40"/>
      <c r="H526" s="182">
        <v>0</v>
      </c>
      <c r="I526" s="39"/>
      <c r="J526" s="40"/>
      <c r="K526" s="5">
        <v>1923.0769230769231</v>
      </c>
      <c r="L526" s="157"/>
      <c r="M526" s="41">
        <v>825.07192307692299</v>
      </c>
      <c r="O526" s="29"/>
      <c r="P526" s="5"/>
      <c r="R526" s="5"/>
      <c r="S526" s="5"/>
      <c r="U526" s="5"/>
    </row>
    <row r="527" spans="1:21" x14ac:dyDescent="0.25">
      <c r="A527" s="49">
        <f t="shared" si="25"/>
        <v>46546</v>
      </c>
      <c r="B527" s="42" t="str">
        <f t="shared" si="26"/>
        <v>jun/27</v>
      </c>
      <c r="C527" s="39"/>
      <c r="D527" s="40"/>
      <c r="E527" s="182">
        <v>0</v>
      </c>
      <c r="F527" s="39"/>
      <c r="G527" s="40"/>
      <c r="H527" s="182">
        <v>0</v>
      </c>
      <c r="I527" s="39"/>
      <c r="J527" s="40"/>
      <c r="K527" s="5">
        <v>1923.0769230769231</v>
      </c>
      <c r="L527" s="157"/>
      <c r="M527" s="41">
        <v>825.07192307692299</v>
      </c>
      <c r="O527" s="29"/>
      <c r="P527" s="5"/>
      <c r="R527" s="5"/>
      <c r="S527" s="5"/>
      <c r="U527" s="5"/>
    </row>
    <row r="528" spans="1:21" x14ac:dyDescent="0.25">
      <c r="A528" s="49">
        <f t="shared" si="25"/>
        <v>46547</v>
      </c>
      <c r="B528" s="42" t="str">
        <f t="shared" si="26"/>
        <v>jun/27</v>
      </c>
      <c r="C528" s="39"/>
      <c r="D528" s="40"/>
      <c r="E528" s="182">
        <v>0</v>
      </c>
      <c r="F528" s="39"/>
      <c r="G528" s="40"/>
      <c r="H528" s="182">
        <v>0</v>
      </c>
      <c r="I528" s="39"/>
      <c r="J528" s="40"/>
      <c r="K528" s="5">
        <v>1923.0769230769231</v>
      </c>
      <c r="L528" s="157"/>
      <c r="M528" s="41">
        <v>825.07192307692299</v>
      </c>
      <c r="O528" s="29"/>
      <c r="P528" s="5"/>
      <c r="R528" s="5"/>
      <c r="S528" s="5"/>
      <c r="U528" s="5"/>
    </row>
    <row r="529" spans="1:21" x14ac:dyDescent="0.25">
      <c r="A529" s="49">
        <f t="shared" si="25"/>
        <v>46548</v>
      </c>
      <c r="B529" s="42" t="str">
        <f t="shared" si="26"/>
        <v>jun/27</v>
      </c>
      <c r="C529" s="39"/>
      <c r="D529" s="40"/>
      <c r="E529" s="182">
        <v>0</v>
      </c>
      <c r="F529" s="39"/>
      <c r="G529" s="40"/>
      <c r="H529" s="182">
        <v>0</v>
      </c>
      <c r="I529" s="39"/>
      <c r="J529" s="40"/>
      <c r="K529" s="5">
        <v>1923.0769230769231</v>
      </c>
      <c r="L529" s="157"/>
      <c r="M529" s="41">
        <v>825.07192307692299</v>
      </c>
      <c r="O529" s="29"/>
      <c r="P529" s="5"/>
      <c r="R529" s="5"/>
      <c r="S529" s="5"/>
      <c r="U529" s="5"/>
    </row>
    <row r="530" spans="1:21" x14ac:dyDescent="0.25">
      <c r="A530" s="49">
        <f t="shared" si="25"/>
        <v>46549</v>
      </c>
      <c r="B530" s="42" t="str">
        <f t="shared" si="26"/>
        <v>jun/27</v>
      </c>
      <c r="C530" s="39"/>
      <c r="D530" s="40"/>
      <c r="E530" s="182">
        <v>0</v>
      </c>
      <c r="F530" s="39"/>
      <c r="G530" s="40"/>
      <c r="H530" s="182">
        <v>0</v>
      </c>
      <c r="I530" s="39"/>
      <c r="J530" s="40"/>
      <c r="K530" s="5">
        <v>1923.0769230769231</v>
      </c>
      <c r="L530" s="157"/>
      <c r="M530" s="41">
        <v>825.07192307692299</v>
      </c>
      <c r="O530" s="29"/>
      <c r="P530" s="5"/>
      <c r="R530" s="5"/>
      <c r="S530" s="5"/>
      <c r="U530" s="5"/>
    </row>
    <row r="531" spans="1:21" x14ac:dyDescent="0.25">
      <c r="A531" s="49">
        <f t="shared" si="25"/>
        <v>46550</v>
      </c>
      <c r="B531" s="42" t="str">
        <f t="shared" si="26"/>
        <v>jun/27</v>
      </c>
      <c r="C531" s="39"/>
      <c r="D531" s="40"/>
      <c r="E531" s="182">
        <v>0</v>
      </c>
      <c r="F531" s="39"/>
      <c r="G531" s="40"/>
      <c r="H531" s="182">
        <v>0</v>
      </c>
      <c r="I531" s="39"/>
      <c r="J531" s="40"/>
      <c r="K531" s="5">
        <v>1923.0769230769231</v>
      </c>
      <c r="L531" s="157"/>
      <c r="M531" s="41">
        <v>825.07192307692299</v>
      </c>
      <c r="O531" s="29"/>
      <c r="P531" s="5"/>
      <c r="R531" s="5"/>
      <c r="S531" s="5"/>
      <c r="U531" s="5"/>
    </row>
    <row r="532" spans="1:21" x14ac:dyDescent="0.25">
      <c r="A532" s="49">
        <f t="shared" si="25"/>
        <v>46551</v>
      </c>
      <c r="B532" s="42" t="str">
        <f t="shared" si="26"/>
        <v>jun/27</v>
      </c>
      <c r="C532" s="39"/>
      <c r="D532" s="40"/>
      <c r="E532" s="182">
        <v>0</v>
      </c>
      <c r="F532" s="39"/>
      <c r="G532" s="40"/>
      <c r="H532" s="182">
        <v>0</v>
      </c>
      <c r="I532" s="39"/>
      <c r="J532" s="40"/>
      <c r="K532" s="5">
        <v>0</v>
      </c>
      <c r="L532" s="157"/>
      <c r="M532" s="41">
        <v>0</v>
      </c>
      <c r="O532" s="29"/>
      <c r="P532" s="5"/>
      <c r="R532" s="5"/>
      <c r="S532" s="5"/>
      <c r="U532" s="5"/>
    </row>
    <row r="533" spans="1:21" x14ac:dyDescent="0.25">
      <c r="A533" s="49">
        <f t="shared" si="25"/>
        <v>46552</v>
      </c>
      <c r="B533" s="42" t="str">
        <f t="shared" si="26"/>
        <v>jun/27</v>
      </c>
      <c r="C533" s="39"/>
      <c r="D533" s="40"/>
      <c r="E533" s="182">
        <v>0</v>
      </c>
      <c r="F533" s="39"/>
      <c r="G533" s="40"/>
      <c r="H533" s="182">
        <v>0</v>
      </c>
      <c r="I533" s="39"/>
      <c r="J533" s="40"/>
      <c r="K533" s="5">
        <v>1923.0769230769231</v>
      </c>
      <c r="L533" s="157"/>
      <c r="M533" s="41">
        <v>825.07192307692299</v>
      </c>
      <c r="O533" s="29"/>
      <c r="P533" s="5"/>
      <c r="R533" s="5"/>
      <c r="S533" s="5"/>
      <c r="U533" s="5"/>
    </row>
    <row r="534" spans="1:21" x14ac:dyDescent="0.25">
      <c r="A534" s="49">
        <f t="shared" si="25"/>
        <v>46553</v>
      </c>
      <c r="B534" s="42" t="str">
        <f t="shared" si="26"/>
        <v>jun/27</v>
      </c>
      <c r="C534" s="39"/>
      <c r="D534" s="40"/>
      <c r="E534" s="182">
        <v>0</v>
      </c>
      <c r="F534" s="39"/>
      <c r="G534" s="40"/>
      <c r="H534" s="182">
        <v>0</v>
      </c>
      <c r="I534" s="39"/>
      <c r="J534" s="40"/>
      <c r="K534" s="5">
        <v>1923.0769230769231</v>
      </c>
      <c r="L534" s="157"/>
      <c r="M534" s="41">
        <v>825.07192307692299</v>
      </c>
      <c r="O534" s="29"/>
      <c r="P534" s="5"/>
      <c r="R534" s="5"/>
      <c r="S534" s="5"/>
      <c r="U534" s="5"/>
    </row>
    <row r="535" spans="1:21" x14ac:dyDescent="0.25">
      <c r="A535" s="49">
        <f t="shared" si="25"/>
        <v>46554</v>
      </c>
      <c r="B535" s="42" t="str">
        <f t="shared" si="26"/>
        <v>jun/27</v>
      </c>
      <c r="C535" s="39"/>
      <c r="D535" s="40"/>
      <c r="E535" s="182">
        <v>0</v>
      </c>
      <c r="F535" s="39"/>
      <c r="G535" s="40"/>
      <c r="H535" s="182">
        <v>0</v>
      </c>
      <c r="I535" s="39"/>
      <c r="J535" s="40"/>
      <c r="K535" s="5">
        <v>1923.0769230769231</v>
      </c>
      <c r="L535" s="157"/>
      <c r="M535" s="41">
        <v>825.07192307692299</v>
      </c>
      <c r="O535" s="29"/>
      <c r="P535" s="5"/>
      <c r="R535" s="5"/>
      <c r="S535" s="5"/>
      <c r="U535" s="5"/>
    </row>
    <row r="536" spans="1:21" x14ac:dyDescent="0.25">
      <c r="A536" s="49">
        <f t="shared" si="25"/>
        <v>46555</v>
      </c>
      <c r="B536" s="42" t="str">
        <f t="shared" si="26"/>
        <v>jun/27</v>
      </c>
      <c r="C536" s="39"/>
      <c r="D536" s="40"/>
      <c r="E536" s="182">
        <v>0</v>
      </c>
      <c r="F536" s="39"/>
      <c r="G536" s="40"/>
      <c r="H536" s="182">
        <v>0</v>
      </c>
      <c r="I536" s="39"/>
      <c r="J536" s="40"/>
      <c r="K536" s="5">
        <v>1923.0769230769231</v>
      </c>
      <c r="L536" s="157"/>
      <c r="M536" s="41">
        <v>825.07192307692299</v>
      </c>
      <c r="O536" s="29"/>
      <c r="P536" s="5"/>
      <c r="R536" s="5"/>
      <c r="S536" s="5"/>
      <c r="U536" s="5"/>
    </row>
    <row r="537" spans="1:21" x14ac:dyDescent="0.25">
      <c r="A537" s="49">
        <f t="shared" si="25"/>
        <v>46556</v>
      </c>
      <c r="B537" s="42" t="str">
        <f t="shared" si="26"/>
        <v>jun/27</v>
      </c>
      <c r="C537" s="39"/>
      <c r="D537" s="40"/>
      <c r="E537" s="182">
        <v>0</v>
      </c>
      <c r="F537" s="39"/>
      <c r="G537" s="40"/>
      <c r="H537" s="182">
        <v>0</v>
      </c>
      <c r="I537" s="39"/>
      <c r="J537" s="40"/>
      <c r="K537" s="5">
        <v>1923.0769230769231</v>
      </c>
      <c r="L537" s="157"/>
      <c r="M537" s="41">
        <v>825.07192307692299</v>
      </c>
      <c r="O537" s="29"/>
      <c r="P537" s="5"/>
      <c r="R537" s="5"/>
      <c r="S537" s="5"/>
      <c r="U537" s="5"/>
    </row>
    <row r="538" spans="1:21" x14ac:dyDescent="0.25">
      <c r="A538" s="49">
        <f t="shared" si="25"/>
        <v>46557</v>
      </c>
      <c r="B538" s="42" t="str">
        <f t="shared" si="26"/>
        <v>jun/27</v>
      </c>
      <c r="C538" s="39"/>
      <c r="D538" s="40"/>
      <c r="E538" s="182">
        <v>0</v>
      </c>
      <c r="F538" s="39"/>
      <c r="G538" s="40"/>
      <c r="H538" s="182">
        <v>0</v>
      </c>
      <c r="I538" s="39"/>
      <c r="J538" s="40"/>
      <c r="K538" s="5">
        <v>1923.0769230769231</v>
      </c>
      <c r="L538" s="157"/>
      <c r="M538" s="41">
        <v>825.07192307692299</v>
      </c>
      <c r="O538" s="29"/>
      <c r="P538" s="5"/>
      <c r="R538" s="5"/>
      <c r="S538" s="5"/>
      <c r="U538" s="5"/>
    </row>
    <row r="539" spans="1:21" x14ac:dyDescent="0.25">
      <c r="A539" s="49">
        <f t="shared" si="25"/>
        <v>46558</v>
      </c>
      <c r="B539" s="42" t="str">
        <f t="shared" si="26"/>
        <v>jun/27</v>
      </c>
      <c r="C539" s="39"/>
      <c r="D539" s="40"/>
      <c r="E539" s="182">
        <v>0</v>
      </c>
      <c r="F539" s="39"/>
      <c r="G539" s="40"/>
      <c r="H539" s="182">
        <v>0</v>
      </c>
      <c r="I539" s="39"/>
      <c r="J539" s="40"/>
      <c r="K539" s="5">
        <v>0</v>
      </c>
      <c r="L539" s="157"/>
      <c r="M539" s="41">
        <v>0</v>
      </c>
      <c r="O539" s="29"/>
      <c r="P539" s="5"/>
      <c r="R539" s="5"/>
      <c r="S539" s="5"/>
      <c r="U539" s="5"/>
    </row>
    <row r="540" spans="1:21" x14ac:dyDescent="0.25">
      <c r="A540" s="49">
        <f t="shared" si="25"/>
        <v>46559</v>
      </c>
      <c r="B540" s="42" t="str">
        <f t="shared" si="26"/>
        <v>jun/27</v>
      </c>
      <c r="C540" s="39"/>
      <c r="D540" s="40"/>
      <c r="E540" s="182">
        <v>0</v>
      </c>
      <c r="F540" s="39"/>
      <c r="G540" s="40"/>
      <c r="H540" s="182">
        <v>0</v>
      </c>
      <c r="I540" s="39"/>
      <c r="J540" s="40"/>
      <c r="K540" s="5">
        <v>1923.0769230769231</v>
      </c>
      <c r="L540" s="157"/>
      <c r="M540" s="41">
        <v>825.07192307692299</v>
      </c>
      <c r="O540" s="29"/>
      <c r="P540" s="5"/>
      <c r="R540" s="5"/>
      <c r="S540" s="5"/>
      <c r="U540" s="5"/>
    </row>
    <row r="541" spans="1:21" x14ac:dyDescent="0.25">
      <c r="A541" s="49">
        <f t="shared" si="25"/>
        <v>46560</v>
      </c>
      <c r="B541" s="42" t="str">
        <f t="shared" si="26"/>
        <v>jun/27</v>
      </c>
      <c r="C541" s="39"/>
      <c r="D541" s="40"/>
      <c r="E541" s="182">
        <v>0</v>
      </c>
      <c r="F541" s="39"/>
      <c r="G541" s="40"/>
      <c r="H541" s="182">
        <v>0</v>
      </c>
      <c r="I541" s="39"/>
      <c r="J541" s="40"/>
      <c r="K541" s="5">
        <v>1923.0769230769231</v>
      </c>
      <c r="L541" s="157"/>
      <c r="M541" s="41">
        <v>825.07192307692299</v>
      </c>
      <c r="O541" s="29"/>
      <c r="P541" s="5"/>
      <c r="R541" s="5"/>
      <c r="S541" s="5"/>
      <c r="U541" s="5"/>
    </row>
    <row r="542" spans="1:21" x14ac:dyDescent="0.25">
      <c r="A542" s="49">
        <f t="shared" si="25"/>
        <v>46561</v>
      </c>
      <c r="B542" s="42" t="str">
        <f t="shared" si="26"/>
        <v>jun/27</v>
      </c>
      <c r="C542" s="39"/>
      <c r="D542" s="40"/>
      <c r="E542" s="182">
        <v>0</v>
      </c>
      <c r="F542" s="39"/>
      <c r="G542" s="40"/>
      <c r="H542" s="182">
        <v>0</v>
      </c>
      <c r="I542" s="39"/>
      <c r="J542" s="40"/>
      <c r="K542" s="5">
        <v>1923.0769230769231</v>
      </c>
      <c r="L542" s="157"/>
      <c r="M542" s="41">
        <v>825.07192307692299</v>
      </c>
      <c r="O542" s="29"/>
      <c r="P542" s="5"/>
      <c r="R542" s="5"/>
      <c r="S542" s="5"/>
      <c r="U542" s="5"/>
    </row>
    <row r="543" spans="1:21" x14ac:dyDescent="0.25">
      <c r="A543" s="49">
        <f t="shared" si="25"/>
        <v>46562</v>
      </c>
      <c r="B543" s="42" t="str">
        <f t="shared" si="26"/>
        <v>jun/27</v>
      </c>
      <c r="C543" s="39"/>
      <c r="D543" s="40"/>
      <c r="E543" s="182">
        <v>0</v>
      </c>
      <c r="F543" s="39"/>
      <c r="G543" s="40"/>
      <c r="H543" s="182">
        <v>0</v>
      </c>
      <c r="I543" s="39"/>
      <c r="J543" s="40"/>
      <c r="K543" s="5">
        <v>1923.0769230769231</v>
      </c>
      <c r="L543" s="157"/>
      <c r="M543" s="41">
        <v>825.07192307692299</v>
      </c>
      <c r="O543" s="29"/>
      <c r="P543" s="5"/>
      <c r="R543" s="5"/>
      <c r="S543" s="5"/>
      <c r="U543" s="5"/>
    </row>
    <row r="544" spans="1:21" x14ac:dyDescent="0.25">
      <c r="A544" s="49">
        <f t="shared" si="25"/>
        <v>46563</v>
      </c>
      <c r="B544" s="42" t="str">
        <f t="shared" si="26"/>
        <v>jun/27</v>
      </c>
      <c r="C544" s="39"/>
      <c r="D544" s="40"/>
      <c r="E544" s="182">
        <v>0</v>
      </c>
      <c r="F544" s="39"/>
      <c r="G544" s="40"/>
      <c r="H544" s="182">
        <v>0</v>
      </c>
      <c r="I544" s="39"/>
      <c r="J544" s="40"/>
      <c r="K544" s="5">
        <v>1923.0769230769231</v>
      </c>
      <c r="L544" s="157"/>
      <c r="M544" s="41">
        <v>825.07192307692299</v>
      </c>
      <c r="O544" s="29"/>
      <c r="P544" s="5"/>
      <c r="R544" s="5"/>
      <c r="S544" s="5"/>
      <c r="U544" s="5"/>
    </row>
    <row r="545" spans="1:21" x14ac:dyDescent="0.25">
      <c r="A545" s="49">
        <f t="shared" si="25"/>
        <v>46564</v>
      </c>
      <c r="B545" s="42" t="str">
        <f t="shared" si="26"/>
        <v>jun/27</v>
      </c>
      <c r="C545" s="39"/>
      <c r="D545" s="40"/>
      <c r="E545" s="182">
        <v>0</v>
      </c>
      <c r="F545" s="39"/>
      <c r="G545" s="40"/>
      <c r="H545" s="182">
        <v>0</v>
      </c>
      <c r="I545" s="39"/>
      <c r="J545" s="40"/>
      <c r="K545" s="5">
        <v>1923.0769230769231</v>
      </c>
      <c r="L545" s="157"/>
      <c r="M545" s="41">
        <v>825.07192307692299</v>
      </c>
      <c r="O545" s="29"/>
      <c r="P545" s="5"/>
      <c r="R545" s="5"/>
      <c r="S545" s="5"/>
      <c r="U545" s="5"/>
    </row>
    <row r="546" spans="1:21" x14ac:dyDescent="0.25">
      <c r="A546" s="49">
        <f t="shared" si="25"/>
        <v>46565</v>
      </c>
      <c r="B546" s="42" t="str">
        <f t="shared" si="26"/>
        <v>jun/27</v>
      </c>
      <c r="C546" s="39"/>
      <c r="D546" s="40"/>
      <c r="E546" s="182">
        <v>0</v>
      </c>
      <c r="F546" s="39"/>
      <c r="G546" s="40"/>
      <c r="H546" s="182">
        <v>0</v>
      </c>
      <c r="I546" s="39"/>
      <c r="J546" s="40"/>
      <c r="K546" s="5">
        <v>0</v>
      </c>
      <c r="L546" s="157"/>
      <c r="M546" s="41">
        <v>0</v>
      </c>
      <c r="O546" s="29"/>
      <c r="P546" s="5"/>
      <c r="R546" s="5"/>
      <c r="S546" s="5"/>
      <c r="U546" s="5"/>
    </row>
    <row r="547" spans="1:21" x14ac:dyDescent="0.25">
      <c r="A547" s="49">
        <f t="shared" si="25"/>
        <v>46566</v>
      </c>
      <c r="B547" s="42" t="str">
        <f t="shared" si="26"/>
        <v>jun/27</v>
      </c>
      <c r="C547" s="39"/>
      <c r="D547" s="40"/>
      <c r="E547" s="182">
        <v>0</v>
      </c>
      <c r="F547" s="39"/>
      <c r="G547" s="40"/>
      <c r="H547" s="182">
        <v>0</v>
      </c>
      <c r="I547" s="39"/>
      <c r="J547" s="40"/>
      <c r="K547" s="5">
        <v>1923.0769230769231</v>
      </c>
      <c r="L547" s="157"/>
      <c r="M547" s="41">
        <v>825.07192307692299</v>
      </c>
      <c r="O547" s="29"/>
      <c r="P547" s="5"/>
      <c r="R547" s="5"/>
      <c r="S547" s="5"/>
      <c r="U547" s="5"/>
    </row>
    <row r="548" spans="1:21" x14ac:dyDescent="0.25">
      <c r="A548" s="49">
        <f t="shared" si="25"/>
        <v>46567</v>
      </c>
      <c r="B548" s="42" t="str">
        <f t="shared" si="26"/>
        <v>jun/27</v>
      </c>
      <c r="C548" s="39"/>
      <c r="D548" s="40"/>
      <c r="E548" s="182">
        <v>0</v>
      </c>
      <c r="F548" s="39"/>
      <c r="G548" s="40"/>
      <c r="H548" s="182">
        <v>0</v>
      </c>
      <c r="I548" s="39"/>
      <c r="J548" s="40"/>
      <c r="K548" s="5">
        <v>1923.0769230769231</v>
      </c>
      <c r="L548" s="157"/>
      <c r="M548" s="41">
        <v>825.07192307692299</v>
      </c>
      <c r="O548" s="29"/>
      <c r="P548" s="5"/>
      <c r="R548" s="5"/>
      <c r="S548" s="5"/>
      <c r="U548" s="5"/>
    </row>
    <row r="549" spans="1:21" x14ac:dyDescent="0.25">
      <c r="A549" s="49">
        <f t="shared" si="25"/>
        <v>46568</v>
      </c>
      <c r="B549" s="42" t="str">
        <f t="shared" si="26"/>
        <v>jun/27</v>
      </c>
      <c r="C549" s="39"/>
      <c r="D549" s="40"/>
      <c r="E549" s="182">
        <v>0</v>
      </c>
      <c r="F549" s="39"/>
      <c r="G549" s="40"/>
      <c r="H549" s="182">
        <v>0</v>
      </c>
      <c r="I549" s="39"/>
      <c r="J549" s="40"/>
      <c r="K549" s="5">
        <v>1923.0769230769231</v>
      </c>
      <c r="L549" s="157"/>
      <c r="M549" s="41">
        <v>825.07192307692299</v>
      </c>
      <c r="O549" s="29"/>
      <c r="P549" s="5"/>
      <c r="R549" s="5"/>
      <c r="S549" s="5"/>
      <c r="U549" s="5"/>
    </row>
    <row r="550" spans="1:21" x14ac:dyDescent="0.25">
      <c r="A550" s="49">
        <f t="shared" si="25"/>
        <v>46569</v>
      </c>
      <c r="B550" s="42" t="str">
        <f t="shared" si="26"/>
        <v>jul/27</v>
      </c>
      <c r="C550" s="39"/>
      <c r="D550" s="40"/>
      <c r="E550" s="182">
        <v>0</v>
      </c>
      <c r="F550" s="39"/>
      <c r="G550" s="40"/>
      <c r="H550" s="182">
        <v>0</v>
      </c>
      <c r="I550" s="39"/>
      <c r="J550" s="40"/>
      <c r="K550" s="5">
        <v>1851.851851851852</v>
      </c>
      <c r="L550" s="157"/>
      <c r="M550" s="41">
        <v>2023.1244074074059</v>
      </c>
      <c r="O550" s="29"/>
      <c r="P550" s="5"/>
      <c r="R550" s="5"/>
      <c r="S550" s="5"/>
      <c r="U550" s="5"/>
    </row>
    <row r="551" spans="1:21" x14ac:dyDescent="0.25">
      <c r="A551" s="49">
        <f t="shared" si="25"/>
        <v>46570</v>
      </c>
      <c r="B551" s="42" t="str">
        <f t="shared" si="26"/>
        <v>jul/27</v>
      </c>
      <c r="C551" s="39"/>
      <c r="D551" s="40"/>
      <c r="E551" s="182">
        <v>0</v>
      </c>
      <c r="F551" s="39"/>
      <c r="G551" s="40"/>
      <c r="H551" s="182">
        <v>0</v>
      </c>
      <c r="I551" s="39"/>
      <c r="J551" s="40"/>
      <c r="K551" s="5">
        <v>1851.851851851852</v>
      </c>
      <c r="L551" s="157"/>
      <c r="M551" s="41">
        <v>2023.1244074074059</v>
      </c>
      <c r="O551" s="29"/>
      <c r="P551" s="5"/>
      <c r="R551" s="5"/>
      <c r="S551" s="5"/>
      <c r="U551" s="5"/>
    </row>
    <row r="552" spans="1:21" x14ac:dyDescent="0.25">
      <c r="A552" s="49">
        <f t="shared" si="25"/>
        <v>46571</v>
      </c>
      <c r="B552" s="42" t="str">
        <f t="shared" si="26"/>
        <v>jul/27</v>
      </c>
      <c r="C552" s="39"/>
      <c r="D552" s="40"/>
      <c r="E552" s="182">
        <v>0</v>
      </c>
      <c r="F552" s="39"/>
      <c r="G552" s="40"/>
      <c r="H552" s="182">
        <v>0</v>
      </c>
      <c r="I552" s="39"/>
      <c r="J552" s="40"/>
      <c r="K552" s="5">
        <v>1851.851851851852</v>
      </c>
      <c r="L552" s="157"/>
      <c r="M552" s="41">
        <v>2023.1244074074059</v>
      </c>
      <c r="O552" s="29"/>
      <c r="P552" s="5"/>
      <c r="R552" s="5"/>
      <c r="S552" s="5"/>
      <c r="U552" s="5"/>
    </row>
    <row r="553" spans="1:21" x14ac:dyDescent="0.25">
      <c r="A553" s="49">
        <f t="shared" si="25"/>
        <v>46572</v>
      </c>
      <c r="B553" s="42" t="str">
        <f t="shared" si="26"/>
        <v>jul/27</v>
      </c>
      <c r="C553" s="39"/>
      <c r="D553" s="40"/>
      <c r="E553" s="182">
        <v>0</v>
      </c>
      <c r="F553" s="39"/>
      <c r="G553" s="40"/>
      <c r="H553" s="182">
        <v>0</v>
      </c>
      <c r="I553" s="39"/>
      <c r="J553" s="40"/>
      <c r="K553" s="5">
        <v>0</v>
      </c>
      <c r="L553" s="157"/>
      <c r="M553" s="41">
        <v>0</v>
      </c>
      <c r="O553" s="29"/>
      <c r="P553" s="5"/>
      <c r="R553" s="5"/>
      <c r="S553" s="5"/>
      <c r="U553" s="5"/>
    </row>
    <row r="554" spans="1:21" x14ac:dyDescent="0.25">
      <c r="A554" s="49">
        <f t="shared" si="25"/>
        <v>46573</v>
      </c>
      <c r="B554" s="42" t="str">
        <f t="shared" si="26"/>
        <v>jul/27</v>
      </c>
      <c r="C554" s="39"/>
      <c r="D554" s="40"/>
      <c r="E554" s="182">
        <v>0</v>
      </c>
      <c r="F554" s="39"/>
      <c r="G554" s="40"/>
      <c r="H554" s="182">
        <v>0</v>
      </c>
      <c r="I554" s="39"/>
      <c r="J554" s="40"/>
      <c r="K554" s="5">
        <v>1851.851851851852</v>
      </c>
      <c r="L554" s="157"/>
      <c r="M554" s="41">
        <v>2023.1244074074059</v>
      </c>
      <c r="O554" s="29"/>
      <c r="P554" s="5"/>
      <c r="R554" s="5"/>
      <c r="S554" s="5"/>
      <c r="U554" s="5"/>
    </row>
    <row r="555" spans="1:21" x14ac:dyDescent="0.25">
      <c r="A555" s="49">
        <f t="shared" si="25"/>
        <v>46574</v>
      </c>
      <c r="B555" s="42" t="str">
        <f t="shared" si="26"/>
        <v>jul/27</v>
      </c>
      <c r="C555" s="39"/>
      <c r="D555" s="40"/>
      <c r="E555" s="182">
        <v>0</v>
      </c>
      <c r="F555" s="39"/>
      <c r="G555" s="40"/>
      <c r="H555" s="182">
        <v>0</v>
      </c>
      <c r="I555" s="39"/>
      <c r="J555" s="40"/>
      <c r="K555" s="5">
        <v>1851.851851851852</v>
      </c>
      <c r="L555" s="157"/>
      <c r="M555" s="41">
        <v>2023.1244074074059</v>
      </c>
      <c r="O555" s="29"/>
      <c r="P555" s="5"/>
      <c r="R555" s="5"/>
      <c r="S555" s="5"/>
      <c r="U555" s="5"/>
    </row>
    <row r="556" spans="1:21" x14ac:dyDescent="0.25">
      <c r="A556" s="49">
        <f t="shared" si="25"/>
        <v>46575</v>
      </c>
      <c r="B556" s="42" t="str">
        <f t="shared" si="26"/>
        <v>jul/27</v>
      </c>
      <c r="C556" s="39"/>
      <c r="D556" s="40"/>
      <c r="E556" s="182">
        <v>0</v>
      </c>
      <c r="F556" s="39"/>
      <c r="G556" s="40"/>
      <c r="H556" s="182">
        <v>0</v>
      </c>
      <c r="I556" s="39"/>
      <c r="J556" s="40"/>
      <c r="K556" s="5">
        <v>1851.851851851852</v>
      </c>
      <c r="L556" s="157"/>
      <c r="M556" s="41">
        <v>2023.1244074074059</v>
      </c>
      <c r="O556" s="29"/>
      <c r="P556" s="5"/>
      <c r="R556" s="5"/>
      <c r="S556" s="5"/>
      <c r="U556" s="5"/>
    </row>
    <row r="557" spans="1:21" x14ac:dyDescent="0.25">
      <c r="A557" s="49">
        <f t="shared" si="25"/>
        <v>46576</v>
      </c>
      <c r="B557" s="42" t="str">
        <f t="shared" si="26"/>
        <v>jul/27</v>
      </c>
      <c r="C557" s="39"/>
      <c r="D557" s="40"/>
      <c r="E557" s="182">
        <v>0</v>
      </c>
      <c r="F557" s="39"/>
      <c r="G557" s="40"/>
      <c r="H557" s="182">
        <v>0</v>
      </c>
      <c r="I557" s="39"/>
      <c r="J557" s="40"/>
      <c r="K557" s="5">
        <v>1851.851851851852</v>
      </c>
      <c r="L557" s="157"/>
      <c r="M557" s="41">
        <v>2023.1244074074059</v>
      </c>
      <c r="O557" s="29"/>
      <c r="P557" s="5"/>
      <c r="R557" s="5"/>
      <c r="S557" s="5"/>
      <c r="U557" s="5"/>
    </row>
    <row r="558" spans="1:21" x14ac:dyDescent="0.25">
      <c r="A558" s="49">
        <f t="shared" si="25"/>
        <v>46577</v>
      </c>
      <c r="B558" s="42" t="str">
        <f t="shared" si="26"/>
        <v>jul/27</v>
      </c>
      <c r="C558" s="39"/>
      <c r="D558" s="40"/>
      <c r="E558" s="182">
        <v>0</v>
      </c>
      <c r="F558" s="39"/>
      <c r="G558" s="40"/>
      <c r="H558" s="182">
        <v>0</v>
      </c>
      <c r="I558" s="39"/>
      <c r="J558" s="40"/>
      <c r="K558" s="5">
        <v>1851.851851851852</v>
      </c>
      <c r="L558" s="157"/>
      <c r="M558" s="41">
        <v>2023.1244074074059</v>
      </c>
      <c r="O558" s="29"/>
      <c r="P558" s="5"/>
      <c r="R558" s="5"/>
      <c r="S558" s="5"/>
      <c r="U558" s="5"/>
    </row>
    <row r="559" spans="1:21" x14ac:dyDescent="0.25">
      <c r="A559" s="49">
        <f t="shared" si="25"/>
        <v>46578</v>
      </c>
      <c r="B559" s="42" t="str">
        <f t="shared" si="26"/>
        <v>jul/27</v>
      </c>
      <c r="C559" s="39"/>
      <c r="D559" s="40"/>
      <c r="E559" s="182">
        <v>0</v>
      </c>
      <c r="F559" s="39"/>
      <c r="G559" s="40"/>
      <c r="H559" s="182">
        <v>0</v>
      </c>
      <c r="I559" s="39"/>
      <c r="J559" s="40"/>
      <c r="K559" s="5">
        <v>1851.851851851852</v>
      </c>
      <c r="L559" s="157"/>
      <c r="M559" s="41">
        <v>2023.1244074074059</v>
      </c>
      <c r="O559" s="29"/>
      <c r="P559" s="5"/>
      <c r="R559" s="5"/>
      <c r="S559" s="5"/>
      <c r="U559" s="5"/>
    </row>
    <row r="560" spans="1:21" x14ac:dyDescent="0.25">
      <c r="A560" s="49">
        <f t="shared" si="25"/>
        <v>46579</v>
      </c>
      <c r="B560" s="42" t="str">
        <f t="shared" si="26"/>
        <v>jul/27</v>
      </c>
      <c r="C560" s="39"/>
      <c r="D560" s="40"/>
      <c r="E560" s="182">
        <v>0</v>
      </c>
      <c r="F560" s="39"/>
      <c r="G560" s="40"/>
      <c r="H560" s="182">
        <v>0</v>
      </c>
      <c r="I560" s="39"/>
      <c r="J560" s="40"/>
      <c r="K560" s="5">
        <v>0</v>
      </c>
      <c r="L560" s="157"/>
      <c r="M560" s="41">
        <v>0</v>
      </c>
      <c r="O560" s="29"/>
      <c r="P560" s="5"/>
      <c r="R560" s="5"/>
      <c r="S560" s="5"/>
      <c r="U560" s="5"/>
    </row>
    <row r="561" spans="1:21" x14ac:dyDescent="0.25">
      <c r="A561" s="49">
        <f t="shared" si="25"/>
        <v>46580</v>
      </c>
      <c r="B561" s="42" t="str">
        <f t="shared" si="26"/>
        <v>jul/27</v>
      </c>
      <c r="C561" s="39"/>
      <c r="D561" s="40"/>
      <c r="E561" s="182">
        <v>0</v>
      </c>
      <c r="F561" s="39"/>
      <c r="G561" s="40"/>
      <c r="H561" s="182">
        <v>0</v>
      </c>
      <c r="I561" s="39"/>
      <c r="J561" s="40"/>
      <c r="K561" s="5">
        <v>1851.851851851852</v>
      </c>
      <c r="L561" s="157"/>
      <c r="M561" s="41">
        <v>2023.1244074074059</v>
      </c>
      <c r="O561" s="29"/>
      <c r="P561" s="5"/>
      <c r="R561" s="5"/>
      <c r="S561" s="5"/>
      <c r="U561" s="5"/>
    </row>
    <row r="562" spans="1:21" x14ac:dyDescent="0.25">
      <c r="A562" s="49">
        <f t="shared" si="25"/>
        <v>46581</v>
      </c>
      <c r="B562" s="42" t="str">
        <f t="shared" si="26"/>
        <v>jul/27</v>
      </c>
      <c r="C562" s="39"/>
      <c r="D562" s="40"/>
      <c r="E562" s="182">
        <v>0</v>
      </c>
      <c r="F562" s="39"/>
      <c r="G562" s="40"/>
      <c r="H562" s="182">
        <v>0</v>
      </c>
      <c r="I562" s="39"/>
      <c r="J562" s="40"/>
      <c r="K562" s="5">
        <v>1851.851851851852</v>
      </c>
      <c r="L562" s="157"/>
      <c r="M562" s="41">
        <v>2023.1244074074059</v>
      </c>
      <c r="O562" s="29"/>
      <c r="P562" s="5"/>
      <c r="R562" s="5"/>
      <c r="S562" s="5"/>
      <c r="U562" s="5"/>
    </row>
    <row r="563" spans="1:21" x14ac:dyDescent="0.25">
      <c r="A563" s="49">
        <f t="shared" si="25"/>
        <v>46582</v>
      </c>
      <c r="B563" s="42" t="str">
        <f t="shared" si="26"/>
        <v>jul/27</v>
      </c>
      <c r="C563" s="39"/>
      <c r="D563" s="40"/>
      <c r="E563" s="182">
        <v>0</v>
      </c>
      <c r="F563" s="39"/>
      <c r="G563" s="40"/>
      <c r="H563" s="182">
        <v>0</v>
      </c>
      <c r="I563" s="39"/>
      <c r="J563" s="40"/>
      <c r="K563" s="5">
        <v>1851.851851851852</v>
      </c>
      <c r="L563" s="157"/>
      <c r="M563" s="41">
        <v>2023.1244074074059</v>
      </c>
      <c r="O563" s="29"/>
      <c r="P563" s="5"/>
      <c r="R563" s="5"/>
      <c r="S563" s="5"/>
      <c r="U563" s="5"/>
    </row>
    <row r="564" spans="1:21" x14ac:dyDescent="0.25">
      <c r="A564" s="49">
        <f t="shared" si="25"/>
        <v>46583</v>
      </c>
      <c r="B564" s="42" t="str">
        <f t="shared" si="26"/>
        <v>jul/27</v>
      </c>
      <c r="C564" s="39"/>
      <c r="D564" s="40"/>
      <c r="E564" s="182">
        <v>0</v>
      </c>
      <c r="F564" s="39"/>
      <c r="G564" s="40"/>
      <c r="H564" s="182">
        <v>0</v>
      </c>
      <c r="I564" s="39"/>
      <c r="J564" s="40"/>
      <c r="K564" s="5">
        <v>1851.851851851852</v>
      </c>
      <c r="L564" s="157"/>
      <c r="M564" s="41">
        <v>2023.1244074074059</v>
      </c>
      <c r="O564" s="29"/>
      <c r="P564" s="5"/>
      <c r="R564" s="5"/>
      <c r="S564" s="5"/>
      <c r="U564" s="5"/>
    </row>
    <row r="565" spans="1:21" x14ac:dyDescent="0.25">
      <c r="A565" s="49">
        <f t="shared" si="25"/>
        <v>46584</v>
      </c>
      <c r="B565" s="42" t="str">
        <f t="shared" si="26"/>
        <v>jul/27</v>
      </c>
      <c r="C565" s="39"/>
      <c r="D565" s="40"/>
      <c r="E565" s="182">
        <v>0</v>
      </c>
      <c r="F565" s="39"/>
      <c r="G565" s="40"/>
      <c r="H565" s="182">
        <v>0</v>
      </c>
      <c r="I565" s="39"/>
      <c r="J565" s="40"/>
      <c r="K565" s="5">
        <v>1851.851851851852</v>
      </c>
      <c r="L565" s="157"/>
      <c r="M565" s="41">
        <v>2023.1244074074059</v>
      </c>
      <c r="O565" s="29"/>
      <c r="P565" s="5"/>
      <c r="R565" s="5"/>
      <c r="S565" s="5"/>
      <c r="U565" s="5"/>
    </row>
    <row r="566" spans="1:21" x14ac:dyDescent="0.25">
      <c r="A566" s="49">
        <f t="shared" si="25"/>
        <v>46585</v>
      </c>
      <c r="B566" s="42" t="str">
        <f t="shared" si="26"/>
        <v>jul/27</v>
      </c>
      <c r="C566" s="39"/>
      <c r="D566" s="40"/>
      <c r="E566" s="182">
        <v>0</v>
      </c>
      <c r="F566" s="39"/>
      <c r="G566" s="40"/>
      <c r="H566" s="182">
        <v>0</v>
      </c>
      <c r="I566" s="39"/>
      <c r="J566" s="40"/>
      <c r="K566" s="5">
        <v>1851.851851851852</v>
      </c>
      <c r="L566" s="157"/>
      <c r="M566" s="41">
        <v>2023.1244074074059</v>
      </c>
      <c r="O566" s="29"/>
      <c r="P566" s="5"/>
      <c r="R566" s="5"/>
      <c r="S566" s="5"/>
      <c r="U566" s="5"/>
    </row>
    <row r="567" spans="1:21" x14ac:dyDescent="0.25">
      <c r="A567" s="49">
        <f t="shared" si="25"/>
        <v>46586</v>
      </c>
      <c r="B567" s="42" t="str">
        <f t="shared" si="26"/>
        <v>jul/27</v>
      </c>
      <c r="C567" s="39"/>
      <c r="D567" s="40"/>
      <c r="E567" s="182">
        <v>0</v>
      </c>
      <c r="F567" s="39"/>
      <c r="G567" s="40"/>
      <c r="H567" s="182">
        <v>0</v>
      </c>
      <c r="I567" s="39"/>
      <c r="J567" s="40"/>
      <c r="K567" s="5">
        <v>0</v>
      </c>
      <c r="L567" s="157"/>
      <c r="M567" s="41">
        <v>0</v>
      </c>
      <c r="O567" s="29"/>
      <c r="P567" s="5"/>
      <c r="R567" s="5"/>
      <c r="S567" s="5"/>
      <c r="U567" s="5"/>
    </row>
    <row r="568" spans="1:21" x14ac:dyDescent="0.25">
      <c r="A568" s="49">
        <f t="shared" ref="A568:A631" si="27">A567+1</f>
        <v>46587</v>
      </c>
      <c r="B568" s="42" t="str">
        <f t="shared" si="26"/>
        <v>jul/27</v>
      </c>
      <c r="C568" s="39"/>
      <c r="D568" s="40"/>
      <c r="E568" s="182">
        <v>0</v>
      </c>
      <c r="F568" s="39"/>
      <c r="G568" s="40"/>
      <c r="H568" s="182">
        <v>0</v>
      </c>
      <c r="I568" s="39"/>
      <c r="J568" s="40"/>
      <c r="K568" s="5">
        <v>1851.851851851852</v>
      </c>
      <c r="L568" s="157"/>
      <c r="M568" s="41">
        <v>2023.1244074074059</v>
      </c>
      <c r="O568" s="29"/>
      <c r="P568" s="5"/>
      <c r="R568" s="5"/>
      <c r="S568" s="5"/>
      <c r="U568" s="5"/>
    </row>
    <row r="569" spans="1:21" x14ac:dyDescent="0.25">
      <c r="A569" s="49">
        <f t="shared" si="27"/>
        <v>46588</v>
      </c>
      <c r="B569" s="42" t="str">
        <f t="shared" si="26"/>
        <v>jul/27</v>
      </c>
      <c r="C569" s="39"/>
      <c r="D569" s="40"/>
      <c r="E569" s="182">
        <v>0</v>
      </c>
      <c r="F569" s="39"/>
      <c r="G569" s="40"/>
      <c r="H569" s="182">
        <v>0</v>
      </c>
      <c r="I569" s="39"/>
      <c r="J569" s="40"/>
      <c r="K569" s="5">
        <v>1851.851851851852</v>
      </c>
      <c r="L569" s="157"/>
      <c r="M569" s="41">
        <v>2023.1244074074059</v>
      </c>
      <c r="O569" s="29"/>
      <c r="P569" s="5"/>
      <c r="R569" s="5"/>
      <c r="S569" s="5"/>
      <c r="U569" s="5"/>
    </row>
    <row r="570" spans="1:21" x14ac:dyDescent="0.25">
      <c r="A570" s="49">
        <f t="shared" si="27"/>
        <v>46589</v>
      </c>
      <c r="B570" s="42" t="str">
        <f t="shared" si="26"/>
        <v>jul/27</v>
      </c>
      <c r="C570" s="39"/>
      <c r="D570" s="40"/>
      <c r="E570" s="182">
        <v>0</v>
      </c>
      <c r="F570" s="39"/>
      <c r="G570" s="40"/>
      <c r="H570" s="182">
        <v>0</v>
      </c>
      <c r="I570" s="39"/>
      <c r="J570" s="40"/>
      <c r="K570" s="5">
        <v>1851.851851851852</v>
      </c>
      <c r="L570" s="157"/>
      <c r="M570" s="41">
        <v>2023.1244074074059</v>
      </c>
      <c r="O570" s="29"/>
      <c r="P570" s="5"/>
      <c r="R570" s="5"/>
      <c r="S570" s="5"/>
      <c r="U570" s="5"/>
    </row>
    <row r="571" spans="1:21" x14ac:dyDescent="0.25">
      <c r="A571" s="49">
        <f t="shared" si="27"/>
        <v>46590</v>
      </c>
      <c r="B571" s="42" t="str">
        <f t="shared" si="26"/>
        <v>jul/27</v>
      </c>
      <c r="C571" s="39"/>
      <c r="D571" s="40"/>
      <c r="E571" s="182">
        <v>0</v>
      </c>
      <c r="F571" s="39"/>
      <c r="G571" s="40"/>
      <c r="H571" s="182">
        <v>0</v>
      </c>
      <c r="I571" s="39"/>
      <c r="J571" s="40"/>
      <c r="K571" s="5">
        <v>1851.851851851852</v>
      </c>
      <c r="L571" s="157"/>
      <c r="M571" s="41">
        <v>2023.1244074074059</v>
      </c>
      <c r="O571" s="29"/>
      <c r="P571" s="5"/>
      <c r="R571" s="5"/>
      <c r="S571" s="5"/>
      <c r="U571" s="5"/>
    </row>
    <row r="572" spans="1:21" x14ac:dyDescent="0.25">
      <c r="A572" s="49">
        <f t="shared" si="27"/>
        <v>46591</v>
      </c>
      <c r="B572" s="42" t="str">
        <f t="shared" si="26"/>
        <v>jul/27</v>
      </c>
      <c r="C572" s="39"/>
      <c r="D572" s="40"/>
      <c r="E572" s="182">
        <v>0</v>
      </c>
      <c r="F572" s="39"/>
      <c r="G572" s="40"/>
      <c r="H572" s="182">
        <v>0</v>
      </c>
      <c r="I572" s="39"/>
      <c r="J572" s="40"/>
      <c r="K572" s="5">
        <v>1851.851851851852</v>
      </c>
      <c r="L572" s="157"/>
      <c r="M572" s="41">
        <v>2023.1244074074059</v>
      </c>
      <c r="O572" s="29"/>
      <c r="P572" s="5"/>
      <c r="R572" s="5"/>
      <c r="S572" s="5"/>
      <c r="U572" s="5"/>
    </row>
    <row r="573" spans="1:21" x14ac:dyDescent="0.25">
      <c r="A573" s="49">
        <f t="shared" si="27"/>
        <v>46592</v>
      </c>
      <c r="B573" s="42" t="str">
        <f t="shared" si="26"/>
        <v>jul/27</v>
      </c>
      <c r="C573" s="39"/>
      <c r="D573" s="40"/>
      <c r="E573" s="182">
        <v>0</v>
      </c>
      <c r="F573" s="39"/>
      <c r="G573" s="40"/>
      <c r="H573" s="182">
        <v>0</v>
      </c>
      <c r="I573" s="39"/>
      <c r="J573" s="40"/>
      <c r="K573" s="5">
        <v>1851.851851851852</v>
      </c>
      <c r="L573" s="157"/>
      <c r="M573" s="41">
        <v>2023.1244074074059</v>
      </c>
      <c r="O573" s="29"/>
      <c r="P573" s="5"/>
      <c r="R573" s="5"/>
      <c r="S573" s="5"/>
      <c r="U573" s="5"/>
    </row>
    <row r="574" spans="1:21" x14ac:dyDescent="0.25">
      <c r="A574" s="49">
        <f t="shared" si="27"/>
        <v>46593</v>
      </c>
      <c r="B574" s="42" t="str">
        <f t="shared" si="26"/>
        <v>jul/27</v>
      </c>
      <c r="C574" s="39"/>
      <c r="D574" s="40"/>
      <c r="E574" s="182">
        <v>0</v>
      </c>
      <c r="F574" s="39"/>
      <c r="G574" s="40"/>
      <c r="H574" s="182">
        <v>0</v>
      </c>
      <c r="I574" s="39"/>
      <c r="J574" s="40"/>
      <c r="K574" s="5">
        <v>0</v>
      </c>
      <c r="L574" s="157"/>
      <c r="M574" s="41">
        <v>0</v>
      </c>
      <c r="O574" s="29"/>
      <c r="P574" s="5"/>
      <c r="R574" s="5"/>
      <c r="S574" s="5"/>
      <c r="U574" s="5"/>
    </row>
    <row r="575" spans="1:21" x14ac:dyDescent="0.25">
      <c r="A575" s="49">
        <f t="shared" si="27"/>
        <v>46594</v>
      </c>
      <c r="B575" s="42" t="str">
        <f t="shared" si="26"/>
        <v>jul/27</v>
      </c>
      <c r="C575" s="39"/>
      <c r="D575" s="40"/>
      <c r="E575" s="182">
        <v>0</v>
      </c>
      <c r="F575" s="39"/>
      <c r="G575" s="40"/>
      <c r="H575" s="182">
        <v>0</v>
      </c>
      <c r="I575" s="39"/>
      <c r="J575" s="40"/>
      <c r="K575" s="5">
        <v>1851.851851851852</v>
      </c>
      <c r="L575" s="157"/>
      <c r="M575" s="41">
        <v>2023.1244074074059</v>
      </c>
      <c r="O575" s="29"/>
      <c r="P575" s="5"/>
      <c r="R575" s="5"/>
      <c r="S575" s="5"/>
      <c r="U575" s="5"/>
    </row>
    <row r="576" spans="1:21" x14ac:dyDescent="0.25">
      <c r="A576" s="49">
        <f t="shared" si="27"/>
        <v>46595</v>
      </c>
      <c r="B576" s="42" t="str">
        <f t="shared" si="26"/>
        <v>jul/27</v>
      </c>
      <c r="C576" s="39"/>
      <c r="D576" s="40"/>
      <c r="E576" s="182">
        <v>0</v>
      </c>
      <c r="F576" s="39"/>
      <c r="G576" s="40"/>
      <c r="H576" s="182">
        <v>0</v>
      </c>
      <c r="I576" s="39"/>
      <c r="J576" s="40"/>
      <c r="K576" s="5">
        <v>1851.851851851852</v>
      </c>
      <c r="L576" s="157"/>
      <c r="M576" s="41">
        <v>2023.1244074074059</v>
      </c>
      <c r="O576" s="29"/>
      <c r="P576" s="5"/>
      <c r="R576" s="5"/>
      <c r="S576" s="5"/>
      <c r="U576" s="5"/>
    </row>
    <row r="577" spans="1:21" x14ac:dyDescent="0.25">
      <c r="A577" s="49">
        <f t="shared" si="27"/>
        <v>46596</v>
      </c>
      <c r="B577" s="42" t="str">
        <f t="shared" si="26"/>
        <v>jul/27</v>
      </c>
      <c r="C577" s="39"/>
      <c r="D577" s="40"/>
      <c r="E577" s="182">
        <v>0</v>
      </c>
      <c r="F577" s="39"/>
      <c r="G577" s="40"/>
      <c r="H577" s="182">
        <v>0</v>
      </c>
      <c r="I577" s="39"/>
      <c r="J577" s="40"/>
      <c r="K577" s="5">
        <v>1851.851851851852</v>
      </c>
      <c r="L577" s="157"/>
      <c r="M577" s="41">
        <v>2023.1244074074059</v>
      </c>
      <c r="O577" s="29"/>
      <c r="P577" s="5"/>
      <c r="R577" s="5"/>
      <c r="S577" s="5"/>
      <c r="U577" s="5"/>
    </row>
    <row r="578" spans="1:21" x14ac:dyDescent="0.25">
      <c r="A578" s="49">
        <f t="shared" si="27"/>
        <v>46597</v>
      </c>
      <c r="B578" s="42" t="str">
        <f t="shared" si="26"/>
        <v>jul/27</v>
      </c>
      <c r="C578" s="39"/>
      <c r="D578" s="40"/>
      <c r="E578" s="182">
        <v>0</v>
      </c>
      <c r="F578" s="39"/>
      <c r="G578" s="40"/>
      <c r="H578" s="182">
        <v>0</v>
      </c>
      <c r="I578" s="39"/>
      <c r="J578" s="40"/>
      <c r="K578" s="5">
        <v>1851.851851851852</v>
      </c>
      <c r="L578" s="157"/>
      <c r="M578" s="41">
        <v>2023.1244074074059</v>
      </c>
      <c r="O578" s="29"/>
      <c r="P578" s="5"/>
      <c r="R578" s="5"/>
      <c r="S578" s="5"/>
      <c r="U578" s="5"/>
    </row>
    <row r="579" spans="1:21" x14ac:dyDescent="0.25">
      <c r="A579" s="49">
        <f t="shared" si="27"/>
        <v>46598</v>
      </c>
      <c r="B579" s="42" t="str">
        <f t="shared" si="26"/>
        <v>jul/27</v>
      </c>
      <c r="C579" s="39"/>
      <c r="D579" s="40"/>
      <c r="E579" s="182">
        <v>0</v>
      </c>
      <c r="F579" s="39"/>
      <c r="G579" s="40"/>
      <c r="H579" s="182">
        <v>0</v>
      </c>
      <c r="I579" s="39"/>
      <c r="J579" s="40"/>
      <c r="K579" s="5">
        <v>1851.851851851852</v>
      </c>
      <c r="L579" s="157"/>
      <c r="M579" s="41">
        <v>2023.1244074074059</v>
      </c>
      <c r="O579" s="29"/>
      <c r="P579" s="5"/>
      <c r="R579" s="5"/>
      <c r="S579" s="5"/>
      <c r="U579" s="5"/>
    </row>
    <row r="580" spans="1:21" x14ac:dyDescent="0.25">
      <c r="A580" s="49">
        <f t="shared" si="27"/>
        <v>46599</v>
      </c>
      <c r="B580" s="42" t="str">
        <f t="shared" si="26"/>
        <v>jul/27</v>
      </c>
      <c r="C580" s="39"/>
      <c r="D580" s="40"/>
      <c r="E580" s="182">
        <v>0</v>
      </c>
      <c r="F580" s="39"/>
      <c r="G580" s="40"/>
      <c r="H580" s="182">
        <v>0</v>
      </c>
      <c r="I580" s="39"/>
      <c r="J580" s="40"/>
      <c r="K580" s="5">
        <v>1851.851851851852</v>
      </c>
      <c r="L580" s="157"/>
      <c r="M580" s="41">
        <v>2023.1244074074059</v>
      </c>
      <c r="O580" s="29"/>
      <c r="P580" s="5"/>
      <c r="R580" s="5"/>
      <c r="S580" s="5"/>
      <c r="U580" s="5"/>
    </row>
    <row r="581" spans="1:21" x14ac:dyDescent="0.25">
      <c r="A581" s="49">
        <f t="shared" si="27"/>
        <v>46600</v>
      </c>
      <c r="B581" s="42" t="str">
        <f t="shared" ref="B581:B644" si="28">TEXT(A581,"MMM/AA")</f>
        <v>ago/27</v>
      </c>
      <c r="C581" s="39"/>
      <c r="D581" s="40"/>
      <c r="E581" s="182">
        <v>0</v>
      </c>
      <c r="F581" s="39"/>
      <c r="G581" s="40"/>
      <c r="H581" s="182">
        <v>0</v>
      </c>
      <c r="I581" s="39"/>
      <c r="J581" s="40"/>
      <c r="K581" s="5">
        <v>0</v>
      </c>
      <c r="L581" s="157"/>
      <c r="M581" s="41">
        <v>0</v>
      </c>
      <c r="O581" s="29"/>
      <c r="P581" s="5"/>
      <c r="R581" s="5"/>
      <c r="S581" s="5"/>
      <c r="U581" s="5"/>
    </row>
    <row r="582" spans="1:21" x14ac:dyDescent="0.25">
      <c r="A582" s="49">
        <f t="shared" si="27"/>
        <v>46601</v>
      </c>
      <c r="B582" s="42" t="str">
        <f t="shared" si="28"/>
        <v>ago/27</v>
      </c>
      <c r="C582" s="39"/>
      <c r="D582" s="40"/>
      <c r="E582" s="182">
        <v>0</v>
      </c>
      <c r="F582" s="39"/>
      <c r="G582" s="40"/>
      <c r="H582" s="182">
        <v>0</v>
      </c>
      <c r="I582" s="39"/>
      <c r="J582" s="40"/>
      <c r="K582" s="5">
        <v>1923.0769230769231</v>
      </c>
      <c r="L582" s="157"/>
      <c r="M582" s="41">
        <v>3214.2573846153869</v>
      </c>
      <c r="O582" s="29"/>
      <c r="P582" s="5"/>
      <c r="R582" s="5"/>
      <c r="S582" s="5"/>
      <c r="U582" s="5"/>
    </row>
    <row r="583" spans="1:21" x14ac:dyDescent="0.25">
      <c r="A583" s="49">
        <f t="shared" si="27"/>
        <v>46602</v>
      </c>
      <c r="B583" s="42" t="str">
        <f t="shared" si="28"/>
        <v>ago/27</v>
      </c>
      <c r="C583" s="39"/>
      <c r="D583" s="40"/>
      <c r="E583" s="182">
        <v>0</v>
      </c>
      <c r="F583" s="39"/>
      <c r="G583" s="40"/>
      <c r="H583" s="182">
        <v>0</v>
      </c>
      <c r="I583" s="39"/>
      <c r="J583" s="40"/>
      <c r="K583" s="5">
        <v>1923.0769230769231</v>
      </c>
      <c r="L583" s="157"/>
      <c r="M583" s="41">
        <v>3214.2573846153869</v>
      </c>
      <c r="O583" s="29"/>
      <c r="P583" s="5"/>
      <c r="R583" s="5"/>
      <c r="S583" s="5"/>
      <c r="U583" s="5"/>
    </row>
    <row r="584" spans="1:21" x14ac:dyDescent="0.25">
      <c r="A584" s="49">
        <f t="shared" si="27"/>
        <v>46603</v>
      </c>
      <c r="B584" s="42" t="str">
        <f t="shared" si="28"/>
        <v>ago/27</v>
      </c>
      <c r="C584" s="39"/>
      <c r="D584" s="40"/>
      <c r="E584" s="182">
        <v>0</v>
      </c>
      <c r="F584" s="39"/>
      <c r="G584" s="40"/>
      <c r="H584" s="182">
        <v>0</v>
      </c>
      <c r="I584" s="39"/>
      <c r="J584" s="40"/>
      <c r="K584" s="5">
        <v>1923.0769230769231</v>
      </c>
      <c r="L584" s="157"/>
      <c r="M584" s="41">
        <v>3214.2573846153869</v>
      </c>
      <c r="O584" s="29"/>
      <c r="P584" s="5"/>
      <c r="R584" s="5"/>
      <c r="S584" s="5"/>
      <c r="U584" s="5"/>
    </row>
    <row r="585" spans="1:21" x14ac:dyDescent="0.25">
      <c r="A585" s="49">
        <f t="shared" si="27"/>
        <v>46604</v>
      </c>
      <c r="B585" s="42" t="str">
        <f t="shared" si="28"/>
        <v>ago/27</v>
      </c>
      <c r="C585" s="39"/>
      <c r="D585" s="40"/>
      <c r="E585" s="182">
        <v>0</v>
      </c>
      <c r="F585" s="39"/>
      <c r="G585" s="40"/>
      <c r="H585" s="182">
        <v>0</v>
      </c>
      <c r="I585" s="39"/>
      <c r="J585" s="40"/>
      <c r="K585" s="5">
        <v>1923.0769230769231</v>
      </c>
      <c r="L585" s="157"/>
      <c r="M585" s="41">
        <v>3214.2573846153869</v>
      </c>
      <c r="O585" s="29"/>
      <c r="P585" s="5"/>
      <c r="R585" s="5"/>
      <c r="S585" s="5"/>
      <c r="U585" s="5"/>
    </row>
    <row r="586" spans="1:21" x14ac:dyDescent="0.25">
      <c r="A586" s="49">
        <f t="shared" si="27"/>
        <v>46605</v>
      </c>
      <c r="B586" s="42" t="str">
        <f t="shared" si="28"/>
        <v>ago/27</v>
      </c>
      <c r="C586" s="39"/>
      <c r="D586" s="40"/>
      <c r="E586" s="182">
        <v>0</v>
      </c>
      <c r="F586" s="39"/>
      <c r="G586" s="40"/>
      <c r="H586" s="182">
        <v>0</v>
      </c>
      <c r="I586" s="39"/>
      <c r="J586" s="40"/>
      <c r="K586" s="5">
        <v>1923.0769230769231</v>
      </c>
      <c r="L586" s="157"/>
      <c r="M586" s="41">
        <v>3214.2573846153869</v>
      </c>
      <c r="O586" s="29"/>
      <c r="P586" s="5"/>
      <c r="R586" s="5"/>
      <c r="S586" s="5"/>
      <c r="U586" s="5"/>
    </row>
    <row r="587" spans="1:21" x14ac:dyDescent="0.25">
      <c r="A587" s="49">
        <f t="shared" si="27"/>
        <v>46606</v>
      </c>
      <c r="B587" s="42" t="str">
        <f t="shared" si="28"/>
        <v>ago/27</v>
      </c>
      <c r="C587" s="39"/>
      <c r="D587" s="40"/>
      <c r="E587" s="182">
        <v>0</v>
      </c>
      <c r="F587" s="39"/>
      <c r="G587" s="40"/>
      <c r="H587" s="182">
        <v>0</v>
      </c>
      <c r="I587" s="39"/>
      <c r="J587" s="40"/>
      <c r="K587" s="5">
        <v>1923.0769230769231</v>
      </c>
      <c r="L587" s="157"/>
      <c r="M587" s="41">
        <v>3214.2573846153869</v>
      </c>
      <c r="O587" s="29"/>
      <c r="P587" s="5"/>
      <c r="R587" s="5"/>
      <c r="S587" s="5"/>
      <c r="U587" s="5"/>
    </row>
    <row r="588" spans="1:21" x14ac:dyDescent="0.25">
      <c r="A588" s="49">
        <f t="shared" si="27"/>
        <v>46607</v>
      </c>
      <c r="B588" s="42" t="str">
        <f t="shared" si="28"/>
        <v>ago/27</v>
      </c>
      <c r="C588" s="39"/>
      <c r="D588" s="40"/>
      <c r="E588" s="182">
        <v>0</v>
      </c>
      <c r="F588" s="39"/>
      <c r="G588" s="40"/>
      <c r="H588" s="182">
        <v>0</v>
      </c>
      <c r="I588" s="39"/>
      <c r="J588" s="40"/>
      <c r="K588" s="5">
        <v>0</v>
      </c>
      <c r="L588" s="157"/>
      <c r="M588" s="41">
        <v>0</v>
      </c>
      <c r="O588" s="29"/>
      <c r="P588" s="5"/>
      <c r="R588" s="5"/>
      <c r="S588" s="5"/>
      <c r="U588" s="5"/>
    </row>
    <row r="589" spans="1:21" x14ac:dyDescent="0.25">
      <c r="A589" s="49">
        <f t="shared" si="27"/>
        <v>46608</v>
      </c>
      <c r="B589" s="42" t="str">
        <f t="shared" si="28"/>
        <v>ago/27</v>
      </c>
      <c r="C589" s="39"/>
      <c r="D589" s="40"/>
      <c r="E589" s="182">
        <v>0</v>
      </c>
      <c r="F589" s="39"/>
      <c r="G589" s="40"/>
      <c r="H589" s="182">
        <v>0</v>
      </c>
      <c r="I589" s="39"/>
      <c r="J589" s="40"/>
      <c r="K589" s="5">
        <v>1923.0769230769231</v>
      </c>
      <c r="L589" s="157"/>
      <c r="M589" s="41">
        <v>3214.2573846153869</v>
      </c>
      <c r="O589" s="29"/>
      <c r="P589" s="5"/>
      <c r="R589" s="5"/>
      <c r="S589" s="5"/>
      <c r="U589" s="5"/>
    </row>
    <row r="590" spans="1:21" x14ac:dyDescent="0.25">
      <c r="A590" s="49">
        <f t="shared" si="27"/>
        <v>46609</v>
      </c>
      <c r="B590" s="42" t="str">
        <f t="shared" si="28"/>
        <v>ago/27</v>
      </c>
      <c r="C590" s="39"/>
      <c r="D590" s="40"/>
      <c r="E590" s="182">
        <v>0</v>
      </c>
      <c r="F590" s="39"/>
      <c r="G590" s="40"/>
      <c r="H590" s="182">
        <v>0</v>
      </c>
      <c r="I590" s="39"/>
      <c r="J590" s="40"/>
      <c r="K590" s="5">
        <v>1923.0769230769231</v>
      </c>
      <c r="L590" s="157"/>
      <c r="M590" s="41">
        <v>3214.2573846153869</v>
      </c>
      <c r="O590" s="29"/>
      <c r="P590" s="5"/>
      <c r="R590" s="5"/>
      <c r="S590" s="5"/>
      <c r="U590" s="5"/>
    </row>
    <row r="591" spans="1:21" x14ac:dyDescent="0.25">
      <c r="A591" s="49">
        <f t="shared" si="27"/>
        <v>46610</v>
      </c>
      <c r="B591" s="42" t="str">
        <f t="shared" si="28"/>
        <v>ago/27</v>
      </c>
      <c r="C591" s="39"/>
      <c r="D591" s="40"/>
      <c r="E591" s="182">
        <v>0</v>
      </c>
      <c r="F591" s="39"/>
      <c r="G591" s="40"/>
      <c r="H591" s="182">
        <v>0</v>
      </c>
      <c r="I591" s="39"/>
      <c r="J591" s="40"/>
      <c r="K591" s="5">
        <v>1923.0769230769231</v>
      </c>
      <c r="L591" s="157"/>
      <c r="M591" s="41">
        <v>3214.2573846153869</v>
      </c>
      <c r="O591" s="29"/>
      <c r="P591" s="5"/>
      <c r="R591" s="5"/>
      <c r="S591" s="5"/>
      <c r="U591" s="5"/>
    </row>
    <row r="592" spans="1:21" x14ac:dyDescent="0.25">
      <c r="A592" s="49">
        <f t="shared" si="27"/>
        <v>46611</v>
      </c>
      <c r="B592" s="42" t="str">
        <f t="shared" si="28"/>
        <v>ago/27</v>
      </c>
      <c r="C592" s="39"/>
      <c r="D592" s="40"/>
      <c r="E592" s="182">
        <v>0</v>
      </c>
      <c r="F592" s="39"/>
      <c r="G592" s="40"/>
      <c r="H592" s="182">
        <v>0</v>
      </c>
      <c r="I592" s="39"/>
      <c r="J592" s="40"/>
      <c r="K592" s="5">
        <v>1923.0769230769231</v>
      </c>
      <c r="L592" s="157"/>
      <c r="M592" s="41">
        <v>3214.2573846153869</v>
      </c>
      <c r="O592" s="29"/>
      <c r="P592" s="5"/>
      <c r="R592" s="5"/>
      <c r="S592" s="5"/>
      <c r="U592" s="5"/>
    </row>
    <row r="593" spans="1:21" x14ac:dyDescent="0.25">
      <c r="A593" s="49">
        <f t="shared" si="27"/>
        <v>46612</v>
      </c>
      <c r="B593" s="42" t="str">
        <f t="shared" si="28"/>
        <v>ago/27</v>
      </c>
      <c r="C593" s="39"/>
      <c r="D593" s="40"/>
      <c r="E593" s="182">
        <v>0</v>
      </c>
      <c r="F593" s="39"/>
      <c r="G593" s="40"/>
      <c r="H593" s="182">
        <v>0</v>
      </c>
      <c r="I593" s="39"/>
      <c r="J593" s="40"/>
      <c r="K593" s="5">
        <v>1923.0769230769231</v>
      </c>
      <c r="L593" s="157"/>
      <c r="M593" s="41">
        <v>3214.2573846153869</v>
      </c>
      <c r="O593" s="29"/>
      <c r="P593" s="5"/>
      <c r="R593" s="5"/>
      <c r="S593" s="5"/>
      <c r="U593" s="5"/>
    </row>
    <row r="594" spans="1:21" x14ac:dyDescent="0.25">
      <c r="A594" s="49">
        <f t="shared" si="27"/>
        <v>46613</v>
      </c>
      <c r="B594" s="42" t="str">
        <f t="shared" si="28"/>
        <v>ago/27</v>
      </c>
      <c r="C594" s="39"/>
      <c r="D594" s="40"/>
      <c r="E594" s="182">
        <v>0</v>
      </c>
      <c r="F594" s="39"/>
      <c r="G594" s="40"/>
      <c r="H594" s="182">
        <v>0</v>
      </c>
      <c r="I594" s="39"/>
      <c r="J594" s="40"/>
      <c r="K594" s="5">
        <v>1923.0769230769231</v>
      </c>
      <c r="L594" s="157"/>
      <c r="M594" s="41">
        <v>3214.2573846153869</v>
      </c>
      <c r="O594" s="29"/>
      <c r="P594" s="5"/>
      <c r="R594" s="5"/>
      <c r="S594" s="5"/>
      <c r="U594" s="5"/>
    </row>
    <row r="595" spans="1:21" x14ac:dyDescent="0.25">
      <c r="A595" s="49">
        <f t="shared" si="27"/>
        <v>46614</v>
      </c>
      <c r="B595" s="42" t="str">
        <f t="shared" si="28"/>
        <v>ago/27</v>
      </c>
      <c r="C595" s="39"/>
      <c r="D595" s="40"/>
      <c r="E595" s="182">
        <v>0</v>
      </c>
      <c r="F595" s="39"/>
      <c r="G595" s="40"/>
      <c r="H595" s="182">
        <v>0</v>
      </c>
      <c r="I595" s="39"/>
      <c r="J595" s="40"/>
      <c r="K595" s="5">
        <v>0</v>
      </c>
      <c r="L595" s="157"/>
      <c r="M595" s="41">
        <v>0</v>
      </c>
      <c r="O595" s="29"/>
      <c r="P595" s="5"/>
      <c r="R595" s="5"/>
      <c r="S595" s="5"/>
      <c r="U595" s="5"/>
    </row>
    <row r="596" spans="1:21" x14ac:dyDescent="0.25">
      <c r="A596" s="49">
        <f t="shared" si="27"/>
        <v>46615</v>
      </c>
      <c r="B596" s="42" t="str">
        <f t="shared" si="28"/>
        <v>ago/27</v>
      </c>
      <c r="C596" s="39"/>
      <c r="D596" s="40"/>
      <c r="E596" s="182">
        <v>0</v>
      </c>
      <c r="F596" s="39"/>
      <c r="G596" s="40"/>
      <c r="H596" s="182">
        <v>0</v>
      </c>
      <c r="I596" s="39"/>
      <c r="J596" s="40"/>
      <c r="K596" s="5">
        <v>1923.0769230769231</v>
      </c>
      <c r="L596" s="157"/>
      <c r="M596" s="41">
        <v>3214.2573846153869</v>
      </c>
      <c r="O596" s="29"/>
      <c r="P596" s="5"/>
      <c r="R596" s="5"/>
      <c r="S596" s="5"/>
      <c r="U596" s="5"/>
    </row>
    <row r="597" spans="1:21" x14ac:dyDescent="0.25">
      <c r="A597" s="49">
        <f t="shared" si="27"/>
        <v>46616</v>
      </c>
      <c r="B597" s="42" t="str">
        <f t="shared" si="28"/>
        <v>ago/27</v>
      </c>
      <c r="C597" s="39"/>
      <c r="D597" s="40"/>
      <c r="E597" s="182">
        <v>0</v>
      </c>
      <c r="F597" s="39"/>
      <c r="G597" s="40"/>
      <c r="H597" s="182">
        <v>0</v>
      </c>
      <c r="I597" s="39"/>
      <c r="J597" s="40"/>
      <c r="K597" s="5">
        <v>1923.0769230769231</v>
      </c>
      <c r="L597" s="157"/>
      <c r="M597" s="41">
        <v>3214.2573846153869</v>
      </c>
      <c r="O597" s="29"/>
      <c r="P597" s="5"/>
      <c r="R597" s="5"/>
      <c r="S597" s="5"/>
      <c r="U597" s="5"/>
    </row>
    <row r="598" spans="1:21" x14ac:dyDescent="0.25">
      <c r="A598" s="49">
        <f t="shared" si="27"/>
        <v>46617</v>
      </c>
      <c r="B598" s="42" t="str">
        <f t="shared" si="28"/>
        <v>ago/27</v>
      </c>
      <c r="C598" s="39"/>
      <c r="D598" s="40"/>
      <c r="E598" s="182">
        <v>0</v>
      </c>
      <c r="F598" s="39"/>
      <c r="G598" s="40"/>
      <c r="H598" s="182">
        <v>0</v>
      </c>
      <c r="I598" s="39"/>
      <c r="J598" s="40"/>
      <c r="K598" s="5">
        <v>1923.0769230769231</v>
      </c>
      <c r="L598" s="157"/>
      <c r="M598" s="41">
        <v>3214.2573846153869</v>
      </c>
      <c r="O598" s="29"/>
      <c r="P598" s="5"/>
      <c r="R598" s="5"/>
      <c r="S598" s="5"/>
      <c r="U598" s="5"/>
    </row>
    <row r="599" spans="1:21" x14ac:dyDescent="0.25">
      <c r="A599" s="49">
        <f t="shared" si="27"/>
        <v>46618</v>
      </c>
      <c r="B599" s="42" t="str">
        <f t="shared" si="28"/>
        <v>ago/27</v>
      </c>
      <c r="C599" s="39"/>
      <c r="D599" s="40"/>
      <c r="E599" s="182">
        <v>0</v>
      </c>
      <c r="F599" s="39"/>
      <c r="G599" s="40"/>
      <c r="H599" s="182">
        <v>0</v>
      </c>
      <c r="I599" s="39"/>
      <c r="J599" s="40"/>
      <c r="K599" s="5">
        <v>1923.0769230769231</v>
      </c>
      <c r="L599" s="157"/>
      <c r="M599" s="41">
        <v>3214.2573846153869</v>
      </c>
      <c r="O599" s="29"/>
      <c r="P599" s="5"/>
      <c r="R599" s="5"/>
      <c r="S599" s="5"/>
      <c r="U599" s="5"/>
    </row>
    <row r="600" spans="1:21" x14ac:dyDescent="0.25">
      <c r="A600" s="49">
        <f t="shared" si="27"/>
        <v>46619</v>
      </c>
      <c r="B600" s="42" t="str">
        <f t="shared" si="28"/>
        <v>ago/27</v>
      </c>
      <c r="C600" s="39"/>
      <c r="D600" s="40"/>
      <c r="E600" s="182">
        <v>0</v>
      </c>
      <c r="F600" s="39"/>
      <c r="G600" s="40"/>
      <c r="H600" s="182">
        <v>0</v>
      </c>
      <c r="I600" s="39"/>
      <c r="J600" s="40"/>
      <c r="K600" s="5">
        <v>1923.0769230769231</v>
      </c>
      <c r="L600" s="157"/>
      <c r="M600" s="41">
        <v>3214.2573846153869</v>
      </c>
      <c r="O600" s="29"/>
      <c r="P600" s="5"/>
      <c r="R600" s="5"/>
      <c r="S600" s="5"/>
      <c r="U600" s="5"/>
    </row>
    <row r="601" spans="1:21" x14ac:dyDescent="0.25">
      <c r="A601" s="49">
        <f t="shared" si="27"/>
        <v>46620</v>
      </c>
      <c r="B601" s="42" t="str">
        <f t="shared" si="28"/>
        <v>ago/27</v>
      </c>
      <c r="C601" s="39"/>
      <c r="D601" s="40"/>
      <c r="E601" s="182">
        <v>0</v>
      </c>
      <c r="F601" s="39"/>
      <c r="G601" s="40"/>
      <c r="H601" s="182">
        <v>0</v>
      </c>
      <c r="I601" s="39"/>
      <c r="J601" s="40"/>
      <c r="K601" s="5">
        <v>1923.0769230769231</v>
      </c>
      <c r="L601" s="157"/>
      <c r="M601" s="41">
        <v>3214.2573846153869</v>
      </c>
      <c r="O601" s="29"/>
      <c r="P601" s="5"/>
      <c r="R601" s="5"/>
      <c r="S601" s="5"/>
      <c r="U601" s="5"/>
    </row>
    <row r="602" spans="1:21" x14ac:dyDescent="0.25">
      <c r="A602" s="49">
        <f t="shared" si="27"/>
        <v>46621</v>
      </c>
      <c r="B602" s="42" t="str">
        <f t="shared" si="28"/>
        <v>ago/27</v>
      </c>
      <c r="C602" s="39"/>
      <c r="D602" s="40"/>
      <c r="E602" s="182">
        <v>0</v>
      </c>
      <c r="F602" s="39"/>
      <c r="G602" s="40"/>
      <c r="H602" s="182">
        <v>0</v>
      </c>
      <c r="I602" s="39"/>
      <c r="J602" s="40"/>
      <c r="K602" s="5">
        <v>0</v>
      </c>
      <c r="L602" s="157"/>
      <c r="M602" s="41">
        <v>0</v>
      </c>
      <c r="O602" s="29"/>
      <c r="P602" s="5"/>
      <c r="R602" s="5"/>
      <c r="S602" s="5"/>
      <c r="U602" s="5"/>
    </row>
    <row r="603" spans="1:21" x14ac:dyDescent="0.25">
      <c r="A603" s="49">
        <f t="shared" si="27"/>
        <v>46622</v>
      </c>
      <c r="B603" s="42" t="str">
        <f t="shared" si="28"/>
        <v>ago/27</v>
      </c>
      <c r="C603" s="39"/>
      <c r="D603" s="40"/>
      <c r="E603" s="182">
        <v>0</v>
      </c>
      <c r="F603" s="39"/>
      <c r="G603" s="40"/>
      <c r="H603" s="182">
        <v>0</v>
      </c>
      <c r="I603" s="39"/>
      <c r="J603" s="40"/>
      <c r="K603" s="5">
        <v>1923.0769230769231</v>
      </c>
      <c r="L603" s="157"/>
      <c r="M603" s="41">
        <v>3214.2573846153869</v>
      </c>
      <c r="O603" s="29"/>
      <c r="P603" s="5"/>
      <c r="R603" s="5"/>
      <c r="S603" s="5"/>
      <c r="U603" s="5"/>
    </row>
    <row r="604" spans="1:21" x14ac:dyDescent="0.25">
      <c r="A604" s="49">
        <f t="shared" si="27"/>
        <v>46623</v>
      </c>
      <c r="B604" s="42" t="str">
        <f t="shared" si="28"/>
        <v>ago/27</v>
      </c>
      <c r="C604" s="39"/>
      <c r="D604" s="40"/>
      <c r="E604" s="182">
        <v>0</v>
      </c>
      <c r="F604" s="39"/>
      <c r="G604" s="40"/>
      <c r="H604" s="182">
        <v>0</v>
      </c>
      <c r="I604" s="39"/>
      <c r="J604" s="40"/>
      <c r="K604" s="5">
        <v>1923.0769230769231</v>
      </c>
      <c r="L604" s="157"/>
      <c r="M604" s="41">
        <v>3214.2573846153869</v>
      </c>
      <c r="O604" s="29"/>
      <c r="P604" s="5"/>
      <c r="R604" s="5"/>
      <c r="S604" s="5"/>
      <c r="U604" s="5"/>
    </row>
    <row r="605" spans="1:21" x14ac:dyDescent="0.25">
      <c r="A605" s="49">
        <f t="shared" si="27"/>
        <v>46624</v>
      </c>
      <c r="B605" s="42" t="str">
        <f t="shared" si="28"/>
        <v>ago/27</v>
      </c>
      <c r="C605" s="39"/>
      <c r="D605" s="40"/>
      <c r="E605" s="182">
        <v>0</v>
      </c>
      <c r="F605" s="39"/>
      <c r="G605" s="40"/>
      <c r="H605" s="182">
        <v>0</v>
      </c>
      <c r="I605" s="39"/>
      <c r="J605" s="40"/>
      <c r="K605" s="5">
        <v>1923.0769230769231</v>
      </c>
      <c r="L605" s="157"/>
      <c r="M605" s="41">
        <v>3214.2573846153869</v>
      </c>
      <c r="O605" s="29"/>
      <c r="P605" s="5"/>
      <c r="R605" s="5"/>
      <c r="S605" s="5"/>
      <c r="U605" s="5"/>
    </row>
    <row r="606" spans="1:21" x14ac:dyDescent="0.25">
      <c r="A606" s="49">
        <f t="shared" si="27"/>
        <v>46625</v>
      </c>
      <c r="B606" s="42" t="str">
        <f t="shared" si="28"/>
        <v>ago/27</v>
      </c>
      <c r="C606" s="39"/>
      <c r="D606" s="40"/>
      <c r="E606" s="182">
        <v>0</v>
      </c>
      <c r="F606" s="39"/>
      <c r="G606" s="40"/>
      <c r="H606" s="182">
        <v>0</v>
      </c>
      <c r="I606" s="39"/>
      <c r="J606" s="40"/>
      <c r="K606" s="5">
        <v>1923.0769230769231</v>
      </c>
      <c r="L606" s="157"/>
      <c r="M606" s="41">
        <v>3214.2573846153869</v>
      </c>
      <c r="O606" s="29"/>
      <c r="P606" s="5"/>
      <c r="R606" s="5"/>
      <c r="S606" s="5"/>
      <c r="U606" s="5"/>
    </row>
    <row r="607" spans="1:21" x14ac:dyDescent="0.25">
      <c r="A607" s="49">
        <f t="shared" si="27"/>
        <v>46626</v>
      </c>
      <c r="B607" s="42" t="str">
        <f t="shared" si="28"/>
        <v>ago/27</v>
      </c>
      <c r="C607" s="39"/>
      <c r="D607" s="40"/>
      <c r="E607" s="182">
        <v>0</v>
      </c>
      <c r="F607" s="39"/>
      <c r="G607" s="40"/>
      <c r="H607" s="182">
        <v>0</v>
      </c>
      <c r="I607" s="39"/>
      <c r="J607" s="40"/>
      <c r="K607" s="5">
        <v>1923.0769230769231</v>
      </c>
      <c r="L607" s="157"/>
      <c r="M607" s="41">
        <v>3214.2573846153869</v>
      </c>
      <c r="O607" s="29"/>
      <c r="P607" s="5"/>
      <c r="R607" s="5"/>
      <c r="S607" s="5"/>
      <c r="U607" s="5"/>
    </row>
    <row r="608" spans="1:21" x14ac:dyDescent="0.25">
      <c r="A608" s="49">
        <f t="shared" si="27"/>
        <v>46627</v>
      </c>
      <c r="B608" s="42" t="str">
        <f t="shared" si="28"/>
        <v>ago/27</v>
      </c>
      <c r="C608" s="39"/>
      <c r="D608" s="40"/>
      <c r="E608" s="182">
        <v>0</v>
      </c>
      <c r="F608" s="39"/>
      <c r="G608" s="40"/>
      <c r="H608" s="182">
        <v>0</v>
      </c>
      <c r="I608" s="39"/>
      <c r="J608" s="40"/>
      <c r="K608" s="5">
        <v>1923.0769230769231</v>
      </c>
      <c r="L608" s="157"/>
      <c r="M608" s="41">
        <v>3214.2573846153869</v>
      </c>
      <c r="O608" s="29"/>
      <c r="P608" s="5"/>
      <c r="R608" s="5"/>
      <c r="S608" s="5"/>
      <c r="U608" s="5"/>
    </row>
    <row r="609" spans="1:21" x14ac:dyDescent="0.25">
      <c r="A609" s="49">
        <f t="shared" si="27"/>
        <v>46628</v>
      </c>
      <c r="B609" s="42" t="str">
        <f t="shared" si="28"/>
        <v>ago/27</v>
      </c>
      <c r="C609" s="39"/>
      <c r="D609" s="40"/>
      <c r="E609" s="182">
        <v>0</v>
      </c>
      <c r="F609" s="39"/>
      <c r="G609" s="40"/>
      <c r="H609" s="182">
        <v>0</v>
      </c>
      <c r="I609" s="39"/>
      <c r="J609" s="40"/>
      <c r="K609" s="5">
        <v>0</v>
      </c>
      <c r="L609" s="157"/>
      <c r="M609" s="41">
        <v>0</v>
      </c>
      <c r="O609" s="29"/>
      <c r="P609" s="5"/>
      <c r="R609" s="5"/>
      <c r="S609" s="5"/>
      <c r="U609" s="5"/>
    </row>
    <row r="610" spans="1:21" x14ac:dyDescent="0.25">
      <c r="A610" s="49">
        <f t="shared" si="27"/>
        <v>46629</v>
      </c>
      <c r="B610" s="42" t="str">
        <f t="shared" si="28"/>
        <v>ago/27</v>
      </c>
      <c r="C610" s="39"/>
      <c r="D610" s="40"/>
      <c r="E610" s="182">
        <v>0</v>
      </c>
      <c r="F610" s="39"/>
      <c r="G610" s="40"/>
      <c r="H610" s="182">
        <v>0</v>
      </c>
      <c r="I610" s="39"/>
      <c r="J610" s="40"/>
      <c r="K610" s="5">
        <v>1923.0769230769231</v>
      </c>
      <c r="L610" s="157"/>
      <c r="M610" s="41">
        <v>3214.2573846153869</v>
      </c>
      <c r="O610" s="29"/>
      <c r="P610" s="5"/>
      <c r="R610" s="5"/>
      <c r="S610" s="5"/>
      <c r="U610" s="5"/>
    </row>
    <row r="611" spans="1:21" x14ac:dyDescent="0.25">
      <c r="A611" s="49">
        <f t="shared" si="27"/>
        <v>46630</v>
      </c>
      <c r="B611" s="42" t="str">
        <f t="shared" si="28"/>
        <v>ago/27</v>
      </c>
      <c r="C611" s="39"/>
      <c r="D611" s="40"/>
      <c r="E611" s="182">
        <v>0</v>
      </c>
      <c r="F611" s="39"/>
      <c r="G611" s="40"/>
      <c r="H611" s="182">
        <v>0</v>
      </c>
      <c r="I611" s="39"/>
      <c r="J611" s="40"/>
      <c r="K611" s="5">
        <v>1923.0769230769231</v>
      </c>
      <c r="L611" s="157"/>
      <c r="M611" s="41">
        <v>3214.2573846153869</v>
      </c>
      <c r="O611" s="29"/>
      <c r="P611" s="5"/>
      <c r="R611" s="5"/>
      <c r="S611" s="5"/>
      <c r="U611" s="5"/>
    </row>
    <row r="612" spans="1:21" x14ac:dyDescent="0.25">
      <c r="A612" s="49">
        <f t="shared" si="27"/>
        <v>46631</v>
      </c>
      <c r="B612" s="42" t="str">
        <f t="shared" si="28"/>
        <v>set/27</v>
      </c>
      <c r="C612" s="39"/>
      <c r="D612" s="40"/>
      <c r="E612" s="182">
        <v>0</v>
      </c>
      <c r="F612" s="39"/>
      <c r="G612" s="40"/>
      <c r="H612" s="182">
        <v>0</v>
      </c>
      <c r="I612" s="39"/>
      <c r="J612" s="40"/>
      <c r="K612" s="5">
        <v>1923.0769230769231</v>
      </c>
      <c r="L612" s="157"/>
      <c r="M612" s="41">
        <v>0</v>
      </c>
      <c r="O612" s="29"/>
      <c r="P612" s="5"/>
      <c r="R612" s="5"/>
      <c r="S612" s="5"/>
      <c r="U612" s="5"/>
    </row>
    <row r="613" spans="1:21" x14ac:dyDescent="0.25">
      <c r="A613" s="49">
        <f t="shared" si="27"/>
        <v>46632</v>
      </c>
      <c r="B613" s="42" t="str">
        <f t="shared" si="28"/>
        <v>set/27</v>
      </c>
      <c r="C613" s="39"/>
      <c r="D613" s="40"/>
      <c r="E613" s="182">
        <v>0</v>
      </c>
      <c r="F613" s="39"/>
      <c r="G613" s="40"/>
      <c r="H613" s="182">
        <v>0</v>
      </c>
      <c r="I613" s="39"/>
      <c r="J613" s="40"/>
      <c r="K613" s="5">
        <v>1923.0769230769231</v>
      </c>
      <c r="L613" s="157"/>
      <c r="M613" s="41">
        <v>0</v>
      </c>
      <c r="O613" s="29"/>
      <c r="P613" s="5"/>
      <c r="R613" s="5"/>
      <c r="S613" s="5"/>
      <c r="U613" s="5"/>
    </row>
    <row r="614" spans="1:21" x14ac:dyDescent="0.25">
      <c r="A614" s="49">
        <f t="shared" si="27"/>
        <v>46633</v>
      </c>
      <c r="B614" s="42" t="str">
        <f t="shared" si="28"/>
        <v>set/27</v>
      </c>
      <c r="C614" s="39"/>
      <c r="D614" s="40"/>
      <c r="E614" s="182">
        <v>0</v>
      </c>
      <c r="F614" s="39"/>
      <c r="G614" s="40"/>
      <c r="H614" s="182">
        <v>0</v>
      </c>
      <c r="I614" s="39"/>
      <c r="J614" s="40"/>
      <c r="K614" s="5">
        <v>1923.0769230769231</v>
      </c>
      <c r="L614" s="157"/>
      <c r="M614" s="41">
        <v>0</v>
      </c>
      <c r="O614" s="29"/>
      <c r="P614" s="5"/>
      <c r="R614" s="5"/>
      <c r="S614" s="5"/>
      <c r="U614" s="5"/>
    </row>
    <row r="615" spans="1:21" x14ac:dyDescent="0.25">
      <c r="A615" s="49">
        <f t="shared" si="27"/>
        <v>46634</v>
      </c>
      <c r="B615" s="42" t="str">
        <f t="shared" si="28"/>
        <v>set/27</v>
      </c>
      <c r="C615" s="39"/>
      <c r="D615" s="40"/>
      <c r="E615" s="182">
        <v>0</v>
      </c>
      <c r="F615" s="39"/>
      <c r="G615" s="40"/>
      <c r="H615" s="182">
        <v>0</v>
      </c>
      <c r="I615" s="39"/>
      <c r="J615" s="40"/>
      <c r="K615" s="5">
        <v>1923.0769230769231</v>
      </c>
      <c r="L615" s="157"/>
      <c r="M615" s="41">
        <v>0</v>
      </c>
      <c r="O615" s="29"/>
      <c r="P615" s="5"/>
      <c r="R615" s="5"/>
      <c r="S615" s="5"/>
      <c r="U615" s="5"/>
    </row>
    <row r="616" spans="1:21" x14ac:dyDescent="0.25">
      <c r="A616" s="49">
        <f t="shared" si="27"/>
        <v>46635</v>
      </c>
      <c r="B616" s="42" t="str">
        <f t="shared" si="28"/>
        <v>set/27</v>
      </c>
      <c r="C616" s="39"/>
      <c r="D616" s="40"/>
      <c r="E616" s="182">
        <v>0</v>
      </c>
      <c r="F616" s="39"/>
      <c r="G616" s="40"/>
      <c r="H616" s="182">
        <v>0</v>
      </c>
      <c r="I616" s="39"/>
      <c r="J616" s="40"/>
      <c r="K616" s="5">
        <v>0</v>
      </c>
      <c r="L616" s="157"/>
      <c r="M616" s="41">
        <v>0</v>
      </c>
      <c r="O616" s="29"/>
      <c r="P616" s="5"/>
      <c r="R616" s="5"/>
      <c r="S616" s="5"/>
      <c r="U616" s="5"/>
    </row>
    <row r="617" spans="1:21" x14ac:dyDescent="0.25">
      <c r="A617" s="49">
        <f t="shared" si="27"/>
        <v>46636</v>
      </c>
      <c r="B617" s="42" t="str">
        <f t="shared" si="28"/>
        <v>set/27</v>
      </c>
      <c r="C617" s="39"/>
      <c r="D617" s="40"/>
      <c r="E617" s="182">
        <v>0</v>
      </c>
      <c r="F617" s="39"/>
      <c r="G617" s="40"/>
      <c r="H617" s="182">
        <v>0</v>
      </c>
      <c r="I617" s="39"/>
      <c r="J617" s="40"/>
      <c r="K617" s="5">
        <v>1923.0769230769231</v>
      </c>
      <c r="L617" s="157"/>
      <c r="M617" s="41">
        <v>0</v>
      </c>
      <c r="O617" s="29"/>
      <c r="P617" s="5"/>
      <c r="R617" s="5"/>
      <c r="S617" s="5"/>
      <c r="U617" s="5"/>
    </row>
    <row r="618" spans="1:21" x14ac:dyDescent="0.25">
      <c r="A618" s="49">
        <f t="shared" si="27"/>
        <v>46637</v>
      </c>
      <c r="B618" s="42" t="str">
        <f t="shared" si="28"/>
        <v>set/27</v>
      </c>
      <c r="C618" s="39"/>
      <c r="D618" s="40"/>
      <c r="E618" s="182">
        <v>0</v>
      </c>
      <c r="F618" s="39"/>
      <c r="G618" s="40"/>
      <c r="H618" s="182">
        <v>0</v>
      </c>
      <c r="I618" s="39"/>
      <c r="J618" s="40"/>
      <c r="K618" s="5">
        <v>1923.0769230769231</v>
      </c>
      <c r="L618" s="157"/>
      <c r="M618" s="41">
        <v>0</v>
      </c>
      <c r="O618" s="29"/>
      <c r="P618" s="5"/>
      <c r="R618" s="5"/>
      <c r="S618" s="5"/>
      <c r="U618" s="5"/>
    </row>
    <row r="619" spans="1:21" x14ac:dyDescent="0.25">
      <c r="A619" s="49">
        <f t="shared" si="27"/>
        <v>46638</v>
      </c>
      <c r="B619" s="42" t="str">
        <f t="shared" si="28"/>
        <v>set/27</v>
      </c>
      <c r="C619" s="39"/>
      <c r="D619" s="40"/>
      <c r="E619" s="182">
        <v>0</v>
      </c>
      <c r="F619" s="39"/>
      <c r="G619" s="40"/>
      <c r="H619" s="182">
        <v>0</v>
      </c>
      <c r="I619" s="39"/>
      <c r="J619" s="40"/>
      <c r="K619" s="5">
        <v>1923.0769230769231</v>
      </c>
      <c r="L619" s="157"/>
      <c r="M619" s="41">
        <v>0</v>
      </c>
      <c r="O619" s="29"/>
      <c r="P619" s="5"/>
      <c r="R619" s="5"/>
      <c r="S619" s="5"/>
      <c r="U619" s="5"/>
    </row>
    <row r="620" spans="1:21" x14ac:dyDescent="0.25">
      <c r="A620" s="49">
        <f t="shared" si="27"/>
        <v>46639</v>
      </c>
      <c r="B620" s="42" t="str">
        <f t="shared" si="28"/>
        <v>set/27</v>
      </c>
      <c r="C620" s="39"/>
      <c r="D620" s="40"/>
      <c r="E620" s="182">
        <v>0</v>
      </c>
      <c r="F620" s="39"/>
      <c r="G620" s="40"/>
      <c r="H620" s="182">
        <v>0</v>
      </c>
      <c r="I620" s="39"/>
      <c r="J620" s="40"/>
      <c r="K620" s="5">
        <v>1923.0769230769231</v>
      </c>
      <c r="L620" s="157"/>
      <c r="M620" s="41">
        <v>0</v>
      </c>
      <c r="O620" s="29"/>
      <c r="P620" s="5"/>
      <c r="R620" s="5"/>
      <c r="S620" s="5"/>
      <c r="U620" s="5"/>
    </row>
    <row r="621" spans="1:21" x14ac:dyDescent="0.25">
      <c r="A621" s="49">
        <f t="shared" si="27"/>
        <v>46640</v>
      </c>
      <c r="B621" s="42" t="str">
        <f t="shared" si="28"/>
        <v>set/27</v>
      </c>
      <c r="C621" s="39"/>
      <c r="D621" s="40"/>
      <c r="E621" s="182">
        <v>0</v>
      </c>
      <c r="F621" s="39"/>
      <c r="G621" s="40"/>
      <c r="H621" s="182">
        <v>0</v>
      </c>
      <c r="I621" s="39"/>
      <c r="J621" s="40"/>
      <c r="K621" s="5">
        <v>1923.0769230769231</v>
      </c>
      <c r="L621" s="157"/>
      <c r="M621" s="41">
        <v>0</v>
      </c>
      <c r="O621" s="29"/>
      <c r="P621" s="5"/>
      <c r="R621" s="5"/>
      <c r="S621" s="5"/>
      <c r="U621" s="5"/>
    </row>
    <row r="622" spans="1:21" x14ac:dyDescent="0.25">
      <c r="A622" s="49">
        <f t="shared" si="27"/>
        <v>46641</v>
      </c>
      <c r="B622" s="42" t="str">
        <f t="shared" si="28"/>
        <v>set/27</v>
      </c>
      <c r="C622" s="39"/>
      <c r="D622" s="40"/>
      <c r="E622" s="182">
        <v>0</v>
      </c>
      <c r="F622" s="39"/>
      <c r="G622" s="40"/>
      <c r="H622" s="182">
        <v>0</v>
      </c>
      <c r="I622" s="39"/>
      <c r="J622" s="40"/>
      <c r="K622" s="5">
        <v>1923.0769230769231</v>
      </c>
      <c r="L622" s="157"/>
      <c r="M622" s="41">
        <v>0</v>
      </c>
      <c r="O622" s="29"/>
      <c r="P622" s="5"/>
      <c r="R622" s="5"/>
      <c r="S622" s="5"/>
      <c r="U622" s="5"/>
    </row>
    <row r="623" spans="1:21" x14ac:dyDescent="0.25">
      <c r="A623" s="49">
        <f t="shared" si="27"/>
        <v>46642</v>
      </c>
      <c r="B623" s="42" t="str">
        <f t="shared" si="28"/>
        <v>set/27</v>
      </c>
      <c r="C623" s="39"/>
      <c r="D623" s="40"/>
      <c r="E623" s="182">
        <v>0</v>
      </c>
      <c r="F623" s="39"/>
      <c r="G623" s="40"/>
      <c r="H623" s="182">
        <v>0</v>
      </c>
      <c r="I623" s="39"/>
      <c r="J623" s="40"/>
      <c r="K623" s="5">
        <v>0</v>
      </c>
      <c r="L623" s="157"/>
      <c r="M623" s="41">
        <v>0</v>
      </c>
      <c r="O623" s="29"/>
      <c r="P623" s="5"/>
      <c r="R623" s="5"/>
      <c r="S623" s="5"/>
      <c r="U623" s="5"/>
    </row>
    <row r="624" spans="1:21" x14ac:dyDescent="0.25">
      <c r="A624" s="49">
        <f t="shared" si="27"/>
        <v>46643</v>
      </c>
      <c r="B624" s="42" t="str">
        <f t="shared" si="28"/>
        <v>set/27</v>
      </c>
      <c r="C624" s="39"/>
      <c r="D624" s="40"/>
      <c r="E624" s="182">
        <v>0</v>
      </c>
      <c r="F624" s="39"/>
      <c r="G624" s="40"/>
      <c r="H624" s="182">
        <v>0</v>
      </c>
      <c r="I624" s="39"/>
      <c r="J624" s="40"/>
      <c r="K624" s="5">
        <v>1923.0769230769231</v>
      </c>
      <c r="L624" s="157"/>
      <c r="M624" s="41">
        <v>0</v>
      </c>
      <c r="O624" s="29"/>
      <c r="P624" s="5"/>
      <c r="R624" s="5"/>
      <c r="S624" s="5"/>
      <c r="U624" s="5"/>
    </row>
    <row r="625" spans="1:21" x14ac:dyDescent="0.25">
      <c r="A625" s="49">
        <f t="shared" si="27"/>
        <v>46644</v>
      </c>
      <c r="B625" s="42" t="str">
        <f t="shared" si="28"/>
        <v>set/27</v>
      </c>
      <c r="C625" s="39"/>
      <c r="D625" s="40"/>
      <c r="E625" s="182">
        <v>0</v>
      </c>
      <c r="F625" s="39"/>
      <c r="G625" s="40"/>
      <c r="H625" s="182">
        <v>0</v>
      </c>
      <c r="I625" s="39"/>
      <c r="J625" s="40"/>
      <c r="K625" s="5">
        <v>1923.0769230769231</v>
      </c>
      <c r="L625" s="157"/>
      <c r="M625" s="41">
        <v>0</v>
      </c>
      <c r="O625" s="29"/>
      <c r="P625" s="5"/>
      <c r="R625" s="5"/>
      <c r="S625" s="5"/>
      <c r="U625" s="5"/>
    </row>
    <row r="626" spans="1:21" x14ac:dyDescent="0.25">
      <c r="A626" s="49">
        <f t="shared" si="27"/>
        <v>46645</v>
      </c>
      <c r="B626" s="42" t="str">
        <f t="shared" si="28"/>
        <v>set/27</v>
      </c>
      <c r="C626" s="39"/>
      <c r="D626" s="40"/>
      <c r="E626" s="182">
        <v>0</v>
      </c>
      <c r="F626" s="39"/>
      <c r="G626" s="40"/>
      <c r="H626" s="182">
        <v>0</v>
      </c>
      <c r="I626" s="39"/>
      <c r="J626" s="40"/>
      <c r="K626" s="5">
        <v>1923.0769230769231</v>
      </c>
      <c r="L626" s="157"/>
      <c r="M626" s="41">
        <v>0</v>
      </c>
      <c r="O626" s="29"/>
      <c r="P626" s="5"/>
      <c r="R626" s="5"/>
      <c r="S626" s="5"/>
      <c r="U626" s="5"/>
    </row>
    <row r="627" spans="1:21" x14ac:dyDescent="0.25">
      <c r="A627" s="49">
        <f t="shared" si="27"/>
        <v>46646</v>
      </c>
      <c r="B627" s="42" t="str">
        <f t="shared" si="28"/>
        <v>set/27</v>
      </c>
      <c r="C627" s="39"/>
      <c r="D627" s="40"/>
      <c r="E627" s="182">
        <v>0</v>
      </c>
      <c r="F627" s="39"/>
      <c r="G627" s="40"/>
      <c r="H627" s="182">
        <v>0</v>
      </c>
      <c r="I627" s="39"/>
      <c r="J627" s="40"/>
      <c r="K627" s="5">
        <v>1923.0769230769231</v>
      </c>
      <c r="L627" s="157"/>
      <c r="M627" s="41">
        <v>0</v>
      </c>
      <c r="O627" s="29"/>
      <c r="P627" s="5"/>
      <c r="R627" s="5"/>
      <c r="S627" s="5"/>
      <c r="U627" s="5"/>
    </row>
    <row r="628" spans="1:21" x14ac:dyDescent="0.25">
      <c r="A628" s="49">
        <f t="shared" si="27"/>
        <v>46647</v>
      </c>
      <c r="B628" s="42" t="str">
        <f t="shared" si="28"/>
        <v>set/27</v>
      </c>
      <c r="C628" s="39"/>
      <c r="D628" s="40"/>
      <c r="E628" s="182">
        <v>0</v>
      </c>
      <c r="F628" s="39"/>
      <c r="G628" s="40"/>
      <c r="H628" s="182">
        <v>0</v>
      </c>
      <c r="I628" s="39"/>
      <c r="J628" s="40"/>
      <c r="K628" s="5">
        <v>1923.0769230769231</v>
      </c>
      <c r="L628" s="157"/>
      <c r="M628" s="41">
        <v>0</v>
      </c>
      <c r="O628" s="29"/>
      <c r="P628" s="5"/>
      <c r="R628" s="5"/>
      <c r="S628" s="5"/>
      <c r="U628" s="5"/>
    </row>
    <row r="629" spans="1:21" x14ac:dyDescent="0.25">
      <c r="A629" s="49">
        <f t="shared" si="27"/>
        <v>46648</v>
      </c>
      <c r="B629" s="42" t="str">
        <f t="shared" si="28"/>
        <v>set/27</v>
      </c>
      <c r="C629" s="39"/>
      <c r="D629" s="40"/>
      <c r="E629" s="182">
        <v>0</v>
      </c>
      <c r="F629" s="39"/>
      <c r="G629" s="40"/>
      <c r="H629" s="182">
        <v>0</v>
      </c>
      <c r="I629" s="39"/>
      <c r="J629" s="40"/>
      <c r="K629" s="5">
        <v>1923.0769230769231</v>
      </c>
      <c r="L629" s="157"/>
      <c r="M629" s="41">
        <v>0</v>
      </c>
      <c r="O629" s="29"/>
      <c r="P629" s="5"/>
      <c r="R629" s="5"/>
      <c r="S629" s="5"/>
      <c r="U629" s="5"/>
    </row>
    <row r="630" spans="1:21" x14ac:dyDescent="0.25">
      <c r="A630" s="49">
        <f t="shared" si="27"/>
        <v>46649</v>
      </c>
      <c r="B630" s="42" t="str">
        <f t="shared" si="28"/>
        <v>set/27</v>
      </c>
      <c r="C630" s="39"/>
      <c r="D630" s="40"/>
      <c r="E630" s="182">
        <v>0</v>
      </c>
      <c r="F630" s="39"/>
      <c r="G630" s="40"/>
      <c r="H630" s="182">
        <v>0</v>
      </c>
      <c r="I630" s="39"/>
      <c r="J630" s="40"/>
      <c r="K630" s="5">
        <v>0</v>
      </c>
      <c r="L630" s="157"/>
      <c r="M630" s="41">
        <v>0</v>
      </c>
      <c r="O630" s="29"/>
      <c r="P630" s="5"/>
      <c r="R630" s="5"/>
      <c r="S630" s="5"/>
      <c r="U630" s="5"/>
    </row>
    <row r="631" spans="1:21" x14ac:dyDescent="0.25">
      <c r="A631" s="49">
        <f t="shared" si="27"/>
        <v>46650</v>
      </c>
      <c r="B631" s="42" t="str">
        <f t="shared" si="28"/>
        <v>set/27</v>
      </c>
      <c r="C631" s="39"/>
      <c r="D631" s="40"/>
      <c r="E631" s="182">
        <v>0</v>
      </c>
      <c r="F631" s="39"/>
      <c r="G631" s="40"/>
      <c r="H631" s="182">
        <v>0</v>
      </c>
      <c r="I631" s="39"/>
      <c r="J631" s="40"/>
      <c r="K631" s="5">
        <v>1923.0769230769231</v>
      </c>
      <c r="L631" s="157"/>
      <c r="M631" s="41">
        <v>0</v>
      </c>
      <c r="O631" s="29"/>
      <c r="P631" s="5"/>
      <c r="R631" s="5"/>
      <c r="S631" s="5"/>
      <c r="U631" s="5"/>
    </row>
    <row r="632" spans="1:21" x14ac:dyDescent="0.25">
      <c r="A632" s="49">
        <f t="shared" ref="A632:A695" si="29">A631+1</f>
        <v>46651</v>
      </c>
      <c r="B632" s="42" t="str">
        <f t="shared" si="28"/>
        <v>set/27</v>
      </c>
      <c r="C632" s="39"/>
      <c r="D632" s="40"/>
      <c r="E632" s="182">
        <v>0</v>
      </c>
      <c r="F632" s="39"/>
      <c r="G632" s="40"/>
      <c r="H632" s="182">
        <v>0</v>
      </c>
      <c r="I632" s="39"/>
      <c r="J632" s="40"/>
      <c r="K632" s="5">
        <v>1923.0769230769231</v>
      </c>
      <c r="L632" s="157"/>
      <c r="M632" s="41">
        <v>0</v>
      </c>
      <c r="O632" s="29"/>
      <c r="P632" s="5"/>
      <c r="R632" s="5"/>
      <c r="S632" s="5"/>
      <c r="U632" s="5"/>
    </row>
    <row r="633" spans="1:21" x14ac:dyDescent="0.25">
      <c r="A633" s="49">
        <f t="shared" si="29"/>
        <v>46652</v>
      </c>
      <c r="B633" s="42" t="str">
        <f t="shared" si="28"/>
        <v>set/27</v>
      </c>
      <c r="C633" s="39"/>
      <c r="D633" s="40"/>
      <c r="E633" s="182">
        <v>0</v>
      </c>
      <c r="F633" s="39"/>
      <c r="G633" s="40"/>
      <c r="H633" s="182">
        <v>0</v>
      </c>
      <c r="I633" s="39"/>
      <c r="J633" s="40"/>
      <c r="K633" s="5">
        <v>1923.0769230769231</v>
      </c>
      <c r="L633" s="157"/>
      <c r="M633" s="41">
        <v>0</v>
      </c>
      <c r="O633" s="29"/>
      <c r="P633" s="5"/>
      <c r="R633" s="5"/>
      <c r="S633" s="5"/>
      <c r="U633" s="5"/>
    </row>
    <row r="634" spans="1:21" x14ac:dyDescent="0.25">
      <c r="A634" s="49">
        <f t="shared" si="29"/>
        <v>46653</v>
      </c>
      <c r="B634" s="42" t="str">
        <f t="shared" si="28"/>
        <v>set/27</v>
      </c>
      <c r="C634" s="39"/>
      <c r="D634" s="40"/>
      <c r="E634" s="182">
        <v>0</v>
      </c>
      <c r="F634" s="39"/>
      <c r="G634" s="40"/>
      <c r="H634" s="182">
        <v>0</v>
      </c>
      <c r="I634" s="39"/>
      <c r="J634" s="40"/>
      <c r="K634" s="5">
        <v>1923.0769230769231</v>
      </c>
      <c r="L634" s="157"/>
      <c r="M634" s="41">
        <v>0</v>
      </c>
      <c r="O634" s="29"/>
      <c r="P634" s="5"/>
      <c r="R634" s="5"/>
      <c r="S634" s="5"/>
      <c r="U634" s="5"/>
    </row>
    <row r="635" spans="1:21" x14ac:dyDescent="0.25">
      <c r="A635" s="49">
        <f t="shared" si="29"/>
        <v>46654</v>
      </c>
      <c r="B635" s="42" t="str">
        <f t="shared" si="28"/>
        <v>set/27</v>
      </c>
      <c r="C635" s="39"/>
      <c r="D635" s="40"/>
      <c r="E635" s="182">
        <v>0</v>
      </c>
      <c r="F635" s="39"/>
      <c r="G635" s="40"/>
      <c r="H635" s="182">
        <v>0</v>
      </c>
      <c r="I635" s="39"/>
      <c r="J635" s="40"/>
      <c r="K635" s="5">
        <v>1923.0769230769231</v>
      </c>
      <c r="L635" s="157"/>
      <c r="M635" s="41">
        <v>0</v>
      </c>
      <c r="O635" s="29"/>
      <c r="P635" s="5"/>
      <c r="R635" s="5"/>
      <c r="S635" s="5"/>
      <c r="U635" s="5"/>
    </row>
    <row r="636" spans="1:21" x14ac:dyDescent="0.25">
      <c r="A636" s="49">
        <f t="shared" si="29"/>
        <v>46655</v>
      </c>
      <c r="B636" s="42" t="str">
        <f t="shared" si="28"/>
        <v>set/27</v>
      </c>
      <c r="C636" s="39"/>
      <c r="D636" s="40"/>
      <c r="E636" s="182">
        <v>0</v>
      </c>
      <c r="F636" s="39"/>
      <c r="G636" s="40"/>
      <c r="H636" s="182">
        <v>0</v>
      </c>
      <c r="I636" s="39"/>
      <c r="J636" s="40"/>
      <c r="K636" s="5">
        <v>1923.0769230769231</v>
      </c>
      <c r="L636" s="157"/>
      <c r="M636" s="41">
        <v>0</v>
      </c>
      <c r="O636" s="29"/>
      <c r="P636" s="5"/>
      <c r="R636" s="5"/>
      <c r="S636" s="5"/>
      <c r="U636" s="5"/>
    </row>
    <row r="637" spans="1:21" x14ac:dyDescent="0.25">
      <c r="A637" s="49">
        <f t="shared" si="29"/>
        <v>46656</v>
      </c>
      <c r="B637" s="42" t="str">
        <f t="shared" si="28"/>
        <v>set/27</v>
      </c>
      <c r="C637" s="39"/>
      <c r="D637" s="40"/>
      <c r="E637" s="182">
        <v>0</v>
      </c>
      <c r="F637" s="39"/>
      <c r="G637" s="40"/>
      <c r="H637" s="182">
        <v>0</v>
      </c>
      <c r="I637" s="39"/>
      <c r="J637" s="40"/>
      <c r="K637" s="5">
        <v>0</v>
      </c>
      <c r="L637" s="157"/>
      <c r="M637" s="41">
        <v>0</v>
      </c>
      <c r="O637" s="29"/>
      <c r="P637" s="5"/>
      <c r="R637" s="5"/>
      <c r="S637" s="5"/>
      <c r="U637" s="5"/>
    </row>
    <row r="638" spans="1:21" x14ac:dyDescent="0.25">
      <c r="A638" s="49">
        <f t="shared" si="29"/>
        <v>46657</v>
      </c>
      <c r="B638" s="42" t="str">
        <f t="shared" si="28"/>
        <v>set/27</v>
      </c>
      <c r="C638" s="39"/>
      <c r="D638" s="40"/>
      <c r="E638" s="182">
        <v>0</v>
      </c>
      <c r="F638" s="39"/>
      <c r="G638" s="40"/>
      <c r="H638" s="182">
        <v>0</v>
      </c>
      <c r="I638" s="39"/>
      <c r="J638" s="40"/>
      <c r="K638" s="5">
        <v>1923.0769230769231</v>
      </c>
      <c r="L638" s="157"/>
      <c r="M638" s="41">
        <v>0</v>
      </c>
      <c r="O638" s="29"/>
      <c r="P638" s="5"/>
      <c r="R638" s="5"/>
      <c r="S638" s="5"/>
      <c r="U638" s="5"/>
    </row>
    <row r="639" spans="1:21" x14ac:dyDescent="0.25">
      <c r="A639" s="49">
        <f t="shared" si="29"/>
        <v>46658</v>
      </c>
      <c r="B639" s="42" t="str">
        <f t="shared" si="28"/>
        <v>set/27</v>
      </c>
      <c r="C639" s="39"/>
      <c r="D639" s="40"/>
      <c r="E639" s="182">
        <v>0</v>
      </c>
      <c r="F639" s="39"/>
      <c r="G639" s="40"/>
      <c r="H639" s="182">
        <v>0</v>
      </c>
      <c r="I639" s="39"/>
      <c r="J639" s="40"/>
      <c r="K639" s="5">
        <v>1923.0769230769231</v>
      </c>
      <c r="L639" s="157"/>
      <c r="M639" s="41">
        <v>0</v>
      </c>
      <c r="O639" s="29"/>
      <c r="P639" s="5"/>
      <c r="R639" s="5"/>
      <c r="S639" s="5"/>
      <c r="U639" s="5"/>
    </row>
    <row r="640" spans="1:21" x14ac:dyDescent="0.25">
      <c r="A640" s="49">
        <f t="shared" si="29"/>
        <v>46659</v>
      </c>
      <c r="B640" s="42" t="str">
        <f t="shared" si="28"/>
        <v>set/27</v>
      </c>
      <c r="C640" s="39"/>
      <c r="D640" s="40"/>
      <c r="E640" s="182">
        <v>0</v>
      </c>
      <c r="F640" s="39"/>
      <c r="G640" s="40"/>
      <c r="H640" s="182">
        <v>0</v>
      </c>
      <c r="I640" s="39"/>
      <c r="J640" s="40"/>
      <c r="K640" s="5">
        <v>1923.0769230769231</v>
      </c>
      <c r="L640" s="157"/>
      <c r="M640" s="41">
        <v>0</v>
      </c>
      <c r="O640" s="29"/>
      <c r="P640" s="5"/>
      <c r="R640" s="5"/>
      <c r="S640" s="5"/>
      <c r="U640" s="5"/>
    </row>
    <row r="641" spans="1:21" x14ac:dyDescent="0.25">
      <c r="A641" s="49">
        <f t="shared" si="29"/>
        <v>46660</v>
      </c>
      <c r="B641" s="42" t="str">
        <f t="shared" si="28"/>
        <v>set/27</v>
      </c>
      <c r="C641" s="39"/>
      <c r="D641" s="40"/>
      <c r="E641" s="182">
        <v>0</v>
      </c>
      <c r="F641" s="39"/>
      <c r="G641" s="40"/>
      <c r="H641" s="182">
        <v>0</v>
      </c>
      <c r="I641" s="39"/>
      <c r="J641" s="40"/>
      <c r="K641" s="5">
        <v>1923.0769230769231</v>
      </c>
      <c r="L641" s="157"/>
      <c r="M641" s="41">
        <v>0</v>
      </c>
      <c r="O641" s="29"/>
      <c r="P641" s="5"/>
      <c r="R641" s="5"/>
      <c r="S641" s="5"/>
      <c r="U641" s="5"/>
    </row>
    <row r="642" spans="1:21" x14ac:dyDescent="0.25">
      <c r="A642" s="49">
        <f t="shared" si="29"/>
        <v>46661</v>
      </c>
      <c r="B642" s="42" t="str">
        <f t="shared" si="28"/>
        <v>out/27</v>
      </c>
      <c r="C642" s="39"/>
      <c r="D642" s="40"/>
      <c r="E642" s="42">
        <v>0</v>
      </c>
      <c r="F642" s="39"/>
      <c r="G642" s="40"/>
      <c r="H642" s="42">
        <v>0</v>
      </c>
      <c r="I642" s="39"/>
      <c r="J642" s="40"/>
      <c r="K642" s="5">
        <v>0</v>
      </c>
      <c r="L642" s="157"/>
      <c r="M642" s="41">
        <v>0</v>
      </c>
      <c r="O642" s="29"/>
      <c r="P642" s="5"/>
      <c r="R642" s="5"/>
      <c r="S642" s="5"/>
      <c r="U642" s="5"/>
    </row>
    <row r="643" spans="1:21" x14ac:dyDescent="0.25">
      <c r="A643" s="49">
        <f t="shared" si="29"/>
        <v>46662</v>
      </c>
      <c r="B643" s="42" t="str">
        <f t="shared" si="28"/>
        <v>out/27</v>
      </c>
      <c r="C643" s="39"/>
      <c r="D643" s="40"/>
      <c r="E643" s="42">
        <v>0</v>
      </c>
      <c r="F643" s="39"/>
      <c r="G643" s="40"/>
      <c r="H643" s="42">
        <v>0</v>
      </c>
      <c r="I643" s="39"/>
      <c r="J643" s="40"/>
      <c r="K643" s="5">
        <v>0</v>
      </c>
      <c r="L643" s="157"/>
      <c r="M643" s="41">
        <v>0</v>
      </c>
      <c r="O643" s="29"/>
      <c r="P643" s="5"/>
      <c r="R643" s="5"/>
      <c r="S643" s="5"/>
      <c r="U643" s="5"/>
    </row>
    <row r="644" spans="1:21" x14ac:dyDescent="0.25">
      <c r="A644" s="49">
        <f t="shared" si="29"/>
        <v>46663</v>
      </c>
      <c r="B644" s="42" t="str">
        <f t="shared" si="28"/>
        <v>out/27</v>
      </c>
      <c r="C644" s="39"/>
      <c r="D644" s="40"/>
      <c r="E644" s="42">
        <v>0</v>
      </c>
      <c r="F644" s="39"/>
      <c r="G644" s="40"/>
      <c r="H644" s="42">
        <v>0</v>
      </c>
      <c r="I644" s="39"/>
      <c r="J644" s="40"/>
      <c r="K644" s="5">
        <v>0</v>
      </c>
      <c r="L644" s="157"/>
      <c r="M644" s="41">
        <v>0</v>
      </c>
      <c r="O644" s="29"/>
      <c r="P644" s="5"/>
      <c r="R644" s="5"/>
      <c r="S644" s="5"/>
      <c r="U644" s="5"/>
    </row>
    <row r="645" spans="1:21" x14ac:dyDescent="0.25">
      <c r="A645" s="49">
        <f t="shared" si="29"/>
        <v>46664</v>
      </c>
      <c r="B645" s="42" t="str">
        <f t="shared" ref="B645:B708" si="30">TEXT(A645,"MMM/AA")</f>
        <v>out/27</v>
      </c>
      <c r="C645" s="39"/>
      <c r="D645" s="40"/>
      <c r="E645" s="42">
        <v>0</v>
      </c>
      <c r="F645" s="39"/>
      <c r="G645" s="40"/>
      <c r="H645" s="42">
        <v>0</v>
      </c>
      <c r="I645" s="39"/>
      <c r="J645" s="40"/>
      <c r="K645" s="5">
        <v>0</v>
      </c>
      <c r="L645" s="157"/>
      <c r="M645" s="41">
        <v>0</v>
      </c>
      <c r="O645" s="29"/>
      <c r="P645" s="5"/>
      <c r="R645" s="5"/>
      <c r="S645" s="5"/>
      <c r="U645" s="5"/>
    </row>
    <row r="646" spans="1:21" x14ac:dyDescent="0.25">
      <c r="A646" s="49">
        <f t="shared" si="29"/>
        <v>46665</v>
      </c>
      <c r="B646" s="42" t="str">
        <f t="shared" si="30"/>
        <v>out/27</v>
      </c>
      <c r="C646" s="39"/>
      <c r="D646" s="40"/>
      <c r="E646" s="42">
        <v>0</v>
      </c>
      <c r="F646" s="39"/>
      <c r="G646" s="40"/>
      <c r="H646" s="42">
        <v>0</v>
      </c>
      <c r="I646" s="39"/>
      <c r="J646" s="40"/>
      <c r="K646" s="5">
        <v>0</v>
      </c>
      <c r="L646" s="157"/>
      <c r="M646" s="41">
        <v>0</v>
      </c>
      <c r="O646" s="29"/>
      <c r="P646" s="5"/>
      <c r="R646" s="5"/>
      <c r="S646" s="5"/>
      <c r="U646" s="5"/>
    </row>
    <row r="647" spans="1:21" x14ac:dyDescent="0.25">
      <c r="A647" s="49">
        <f t="shared" si="29"/>
        <v>46666</v>
      </c>
      <c r="B647" s="42" t="str">
        <f t="shared" si="30"/>
        <v>out/27</v>
      </c>
      <c r="C647" s="39"/>
      <c r="D647" s="40"/>
      <c r="E647" s="42">
        <v>0</v>
      </c>
      <c r="F647" s="39"/>
      <c r="G647" s="40"/>
      <c r="H647" s="42">
        <v>0</v>
      </c>
      <c r="I647" s="39"/>
      <c r="J647" s="40"/>
      <c r="K647" s="5">
        <v>0</v>
      </c>
      <c r="L647" s="157"/>
      <c r="M647" s="41">
        <v>0</v>
      </c>
      <c r="O647" s="29"/>
      <c r="P647" s="5"/>
      <c r="R647" s="5"/>
      <c r="S647" s="5"/>
      <c r="U647" s="5"/>
    </row>
    <row r="648" spans="1:21" x14ac:dyDescent="0.25">
      <c r="A648" s="49">
        <f t="shared" si="29"/>
        <v>46667</v>
      </c>
      <c r="B648" s="42" t="str">
        <f t="shared" si="30"/>
        <v>out/27</v>
      </c>
      <c r="C648" s="39"/>
      <c r="D648" s="40"/>
      <c r="E648" s="42">
        <v>0</v>
      </c>
      <c r="F648" s="39"/>
      <c r="G648" s="40"/>
      <c r="H648" s="42">
        <v>0</v>
      </c>
      <c r="I648" s="39"/>
      <c r="J648" s="40"/>
      <c r="K648" s="5">
        <v>0</v>
      </c>
      <c r="L648" s="157"/>
      <c r="M648" s="41">
        <v>0</v>
      </c>
      <c r="O648" s="29"/>
      <c r="P648" s="5"/>
      <c r="R648" s="5"/>
      <c r="S648" s="5"/>
      <c r="U648" s="5"/>
    </row>
    <row r="649" spans="1:21" x14ac:dyDescent="0.25">
      <c r="A649" s="49">
        <f t="shared" si="29"/>
        <v>46668</v>
      </c>
      <c r="B649" s="42" t="str">
        <f t="shared" si="30"/>
        <v>out/27</v>
      </c>
      <c r="C649" s="39"/>
      <c r="D649" s="40"/>
      <c r="E649" s="42">
        <v>0</v>
      </c>
      <c r="F649" s="39"/>
      <c r="G649" s="40"/>
      <c r="H649" s="42">
        <v>0</v>
      </c>
      <c r="I649" s="39"/>
      <c r="J649" s="40"/>
      <c r="K649" s="5">
        <v>0</v>
      </c>
      <c r="L649" s="157"/>
      <c r="M649" s="41">
        <v>0</v>
      </c>
      <c r="O649" s="29"/>
      <c r="P649" s="5"/>
      <c r="R649" s="5"/>
      <c r="S649" s="5"/>
      <c r="U649" s="5"/>
    </row>
    <row r="650" spans="1:21" x14ac:dyDescent="0.25">
      <c r="A650" s="49">
        <f t="shared" si="29"/>
        <v>46669</v>
      </c>
      <c r="B650" s="42" t="str">
        <f t="shared" si="30"/>
        <v>out/27</v>
      </c>
      <c r="C650" s="39"/>
      <c r="D650" s="40"/>
      <c r="E650" s="42">
        <v>0</v>
      </c>
      <c r="F650" s="39"/>
      <c r="G650" s="40"/>
      <c r="H650" s="42">
        <v>0</v>
      </c>
      <c r="I650" s="39"/>
      <c r="J650" s="40"/>
      <c r="K650" s="5">
        <v>0</v>
      </c>
      <c r="L650" s="157"/>
      <c r="M650" s="41">
        <v>0</v>
      </c>
      <c r="O650" s="29"/>
      <c r="P650" s="5"/>
      <c r="R650" s="5"/>
      <c r="S650" s="5"/>
      <c r="U650" s="5"/>
    </row>
    <row r="651" spans="1:21" x14ac:dyDescent="0.25">
      <c r="A651" s="49">
        <f t="shared" si="29"/>
        <v>46670</v>
      </c>
      <c r="B651" s="42" t="str">
        <f t="shared" si="30"/>
        <v>out/27</v>
      </c>
      <c r="C651" s="39"/>
      <c r="D651" s="40"/>
      <c r="E651" s="42">
        <v>0</v>
      </c>
      <c r="F651" s="39"/>
      <c r="G651" s="40"/>
      <c r="H651" s="42">
        <v>0</v>
      </c>
      <c r="I651" s="39"/>
      <c r="J651" s="40"/>
      <c r="K651" s="5">
        <v>0</v>
      </c>
      <c r="L651" s="157"/>
      <c r="M651" s="41">
        <v>0</v>
      </c>
      <c r="O651" s="29"/>
      <c r="P651" s="5"/>
      <c r="R651" s="5"/>
      <c r="S651" s="5"/>
      <c r="U651" s="5"/>
    </row>
    <row r="652" spans="1:21" x14ac:dyDescent="0.25">
      <c r="A652" s="49">
        <f t="shared" si="29"/>
        <v>46671</v>
      </c>
      <c r="B652" s="42" t="str">
        <f t="shared" si="30"/>
        <v>out/27</v>
      </c>
      <c r="C652" s="39"/>
      <c r="D652" s="40"/>
      <c r="E652" s="42">
        <v>0</v>
      </c>
      <c r="F652" s="39"/>
      <c r="G652" s="40"/>
      <c r="H652" s="42">
        <v>0</v>
      </c>
      <c r="I652" s="39"/>
      <c r="J652" s="40"/>
      <c r="K652" s="5">
        <v>0</v>
      </c>
      <c r="L652" s="157"/>
      <c r="M652" s="41">
        <v>0</v>
      </c>
      <c r="O652" s="29"/>
      <c r="P652" s="5"/>
      <c r="R652" s="5"/>
      <c r="S652" s="5"/>
      <c r="U652" s="5"/>
    </row>
    <row r="653" spans="1:21" x14ac:dyDescent="0.25">
      <c r="A653" s="49">
        <f t="shared" si="29"/>
        <v>46672</v>
      </c>
      <c r="B653" s="42" t="str">
        <f t="shared" si="30"/>
        <v>out/27</v>
      </c>
      <c r="C653" s="39"/>
      <c r="D653" s="40"/>
      <c r="E653" s="42">
        <v>0</v>
      </c>
      <c r="F653" s="39"/>
      <c r="G653" s="40"/>
      <c r="H653" s="42">
        <v>0</v>
      </c>
      <c r="I653" s="39"/>
      <c r="J653" s="40"/>
      <c r="K653" s="5">
        <v>0</v>
      </c>
      <c r="L653" s="157"/>
      <c r="M653" s="41">
        <v>0</v>
      </c>
      <c r="O653" s="29"/>
      <c r="P653" s="5"/>
      <c r="R653" s="5"/>
      <c r="S653" s="5"/>
      <c r="U653" s="5"/>
    </row>
    <row r="654" spans="1:21" x14ac:dyDescent="0.25">
      <c r="A654" s="49">
        <f t="shared" si="29"/>
        <v>46673</v>
      </c>
      <c r="B654" s="42" t="str">
        <f t="shared" si="30"/>
        <v>out/27</v>
      </c>
      <c r="C654" s="39"/>
      <c r="D654" s="40"/>
      <c r="E654" s="42">
        <v>0</v>
      </c>
      <c r="F654" s="39"/>
      <c r="G654" s="40"/>
      <c r="H654" s="42">
        <v>0</v>
      </c>
      <c r="I654" s="39"/>
      <c r="J654" s="40"/>
      <c r="K654" s="5">
        <v>0</v>
      </c>
      <c r="L654" s="157"/>
      <c r="M654" s="41">
        <v>0</v>
      </c>
      <c r="O654" s="29"/>
      <c r="P654" s="5"/>
      <c r="R654" s="5"/>
      <c r="S654" s="5"/>
      <c r="U654" s="5"/>
    </row>
    <row r="655" spans="1:21" x14ac:dyDescent="0.25">
      <c r="A655" s="49">
        <f t="shared" si="29"/>
        <v>46674</v>
      </c>
      <c r="B655" s="42" t="str">
        <f t="shared" si="30"/>
        <v>out/27</v>
      </c>
      <c r="C655" s="39"/>
      <c r="D655" s="40"/>
      <c r="E655" s="42">
        <v>0</v>
      </c>
      <c r="F655" s="39"/>
      <c r="G655" s="40"/>
      <c r="H655" s="42">
        <v>0</v>
      </c>
      <c r="I655" s="39"/>
      <c r="J655" s="40"/>
      <c r="K655" s="5">
        <v>0</v>
      </c>
      <c r="L655" s="157"/>
      <c r="M655" s="41">
        <v>0</v>
      </c>
      <c r="O655" s="29"/>
      <c r="P655" s="5"/>
      <c r="R655" s="5"/>
      <c r="S655" s="5"/>
      <c r="U655" s="5"/>
    </row>
    <row r="656" spans="1:21" x14ac:dyDescent="0.25">
      <c r="A656" s="49">
        <f t="shared" si="29"/>
        <v>46675</v>
      </c>
      <c r="B656" s="42" t="str">
        <f t="shared" si="30"/>
        <v>out/27</v>
      </c>
      <c r="C656" s="39"/>
      <c r="D656" s="40"/>
      <c r="E656" s="42">
        <v>0</v>
      </c>
      <c r="F656" s="39"/>
      <c r="G656" s="40"/>
      <c r="H656" s="42">
        <v>0</v>
      </c>
      <c r="I656" s="39"/>
      <c r="J656" s="40"/>
      <c r="K656" s="5">
        <v>0</v>
      </c>
      <c r="L656" s="157"/>
      <c r="M656" s="41">
        <v>0</v>
      </c>
      <c r="O656" s="29"/>
      <c r="P656" s="5"/>
      <c r="R656" s="5"/>
      <c r="S656" s="5"/>
      <c r="U656" s="5"/>
    </row>
    <row r="657" spans="1:21" x14ac:dyDescent="0.25">
      <c r="A657" s="49">
        <f t="shared" si="29"/>
        <v>46676</v>
      </c>
      <c r="B657" s="42" t="str">
        <f t="shared" si="30"/>
        <v>out/27</v>
      </c>
      <c r="C657" s="39"/>
      <c r="D657" s="40"/>
      <c r="E657" s="42">
        <v>0</v>
      </c>
      <c r="F657" s="39"/>
      <c r="G657" s="40"/>
      <c r="H657" s="42">
        <v>0</v>
      </c>
      <c r="I657" s="39"/>
      <c r="J657" s="40"/>
      <c r="K657" s="5">
        <v>0</v>
      </c>
      <c r="L657" s="157"/>
      <c r="M657" s="41">
        <v>0</v>
      </c>
      <c r="O657" s="29"/>
      <c r="P657" s="5"/>
      <c r="R657" s="5"/>
      <c r="S657" s="5"/>
      <c r="U657" s="5"/>
    </row>
    <row r="658" spans="1:21" x14ac:dyDescent="0.25">
      <c r="A658" s="49">
        <f t="shared" si="29"/>
        <v>46677</v>
      </c>
      <c r="B658" s="42" t="str">
        <f t="shared" si="30"/>
        <v>out/27</v>
      </c>
      <c r="C658" s="39"/>
      <c r="D658" s="40"/>
      <c r="E658" s="42">
        <v>0</v>
      </c>
      <c r="F658" s="39"/>
      <c r="G658" s="40"/>
      <c r="H658" s="42">
        <v>0</v>
      </c>
      <c r="I658" s="39"/>
      <c r="J658" s="40"/>
      <c r="K658" s="5">
        <v>0</v>
      </c>
      <c r="L658" s="157"/>
      <c r="M658" s="41">
        <v>0</v>
      </c>
      <c r="O658" s="29"/>
      <c r="P658" s="5"/>
      <c r="R658" s="5"/>
      <c r="S658" s="5"/>
      <c r="U658" s="5"/>
    </row>
    <row r="659" spans="1:21" x14ac:dyDescent="0.25">
      <c r="A659" s="49">
        <f t="shared" si="29"/>
        <v>46678</v>
      </c>
      <c r="B659" s="42" t="str">
        <f t="shared" si="30"/>
        <v>out/27</v>
      </c>
      <c r="C659" s="39"/>
      <c r="D659" s="40"/>
      <c r="E659" s="42">
        <v>0</v>
      </c>
      <c r="F659" s="39"/>
      <c r="G659" s="40"/>
      <c r="H659" s="42">
        <v>0</v>
      </c>
      <c r="I659" s="39"/>
      <c r="J659" s="40"/>
      <c r="K659" s="5">
        <v>0</v>
      </c>
      <c r="L659" s="157"/>
      <c r="M659" s="41">
        <v>0</v>
      </c>
      <c r="O659" s="29"/>
      <c r="P659" s="5"/>
      <c r="R659" s="5"/>
      <c r="S659" s="5"/>
      <c r="U659" s="5"/>
    </row>
    <row r="660" spans="1:21" x14ac:dyDescent="0.25">
      <c r="A660" s="49">
        <f t="shared" si="29"/>
        <v>46679</v>
      </c>
      <c r="B660" s="42" t="str">
        <f t="shared" si="30"/>
        <v>out/27</v>
      </c>
      <c r="C660" s="39"/>
      <c r="D660" s="40"/>
      <c r="E660" s="42">
        <v>0</v>
      </c>
      <c r="F660" s="39"/>
      <c r="G660" s="40"/>
      <c r="H660" s="42">
        <v>0</v>
      </c>
      <c r="I660" s="39"/>
      <c r="J660" s="40"/>
      <c r="K660" s="5">
        <v>0</v>
      </c>
      <c r="L660" s="157"/>
      <c r="M660" s="41">
        <v>0</v>
      </c>
      <c r="O660" s="29"/>
      <c r="P660" s="5"/>
      <c r="R660" s="5"/>
      <c r="S660" s="5"/>
      <c r="U660" s="5"/>
    </row>
    <row r="661" spans="1:21" x14ac:dyDescent="0.25">
      <c r="A661" s="49">
        <f t="shared" si="29"/>
        <v>46680</v>
      </c>
      <c r="B661" s="42" t="str">
        <f t="shared" si="30"/>
        <v>out/27</v>
      </c>
      <c r="C661" s="39"/>
      <c r="D661" s="40"/>
      <c r="E661" s="42">
        <v>0</v>
      </c>
      <c r="F661" s="39"/>
      <c r="G661" s="40"/>
      <c r="H661" s="42">
        <v>0</v>
      </c>
      <c r="I661" s="39"/>
      <c r="J661" s="40"/>
      <c r="K661" s="5">
        <v>0</v>
      </c>
      <c r="L661" s="157"/>
      <c r="M661" s="41">
        <v>0</v>
      </c>
      <c r="O661" s="29"/>
      <c r="P661" s="5"/>
      <c r="R661" s="5"/>
      <c r="S661" s="5"/>
      <c r="U661" s="5"/>
    </row>
    <row r="662" spans="1:21" x14ac:dyDescent="0.25">
      <c r="A662" s="49">
        <f t="shared" si="29"/>
        <v>46681</v>
      </c>
      <c r="B662" s="42" t="str">
        <f t="shared" si="30"/>
        <v>out/27</v>
      </c>
      <c r="C662" s="39"/>
      <c r="D662" s="40"/>
      <c r="E662" s="42">
        <v>0</v>
      </c>
      <c r="F662" s="39"/>
      <c r="G662" s="40"/>
      <c r="H662" s="42">
        <v>0</v>
      </c>
      <c r="I662" s="39"/>
      <c r="J662" s="40"/>
      <c r="K662" s="5">
        <v>0</v>
      </c>
      <c r="L662" s="157"/>
      <c r="M662" s="41">
        <v>0</v>
      </c>
      <c r="O662" s="29"/>
      <c r="P662" s="5"/>
      <c r="R662" s="5"/>
      <c r="S662" s="5"/>
      <c r="U662" s="5"/>
    </row>
    <row r="663" spans="1:21" x14ac:dyDescent="0.25">
      <c r="A663" s="49">
        <f t="shared" si="29"/>
        <v>46682</v>
      </c>
      <c r="B663" s="42" t="str">
        <f t="shared" si="30"/>
        <v>out/27</v>
      </c>
      <c r="C663" s="39"/>
      <c r="D663" s="40"/>
      <c r="E663" s="42">
        <v>0</v>
      </c>
      <c r="F663" s="39"/>
      <c r="G663" s="40"/>
      <c r="H663" s="42">
        <v>0</v>
      </c>
      <c r="I663" s="39"/>
      <c r="J663" s="40"/>
      <c r="K663" s="5">
        <v>0</v>
      </c>
      <c r="L663" s="157"/>
      <c r="M663" s="41">
        <v>0</v>
      </c>
      <c r="O663" s="29"/>
      <c r="P663" s="5"/>
      <c r="R663" s="5"/>
      <c r="S663" s="5"/>
      <c r="U663" s="5"/>
    </row>
    <row r="664" spans="1:21" x14ac:dyDescent="0.25">
      <c r="A664" s="49">
        <f t="shared" si="29"/>
        <v>46683</v>
      </c>
      <c r="B664" s="42" t="str">
        <f t="shared" si="30"/>
        <v>out/27</v>
      </c>
      <c r="C664" s="39"/>
      <c r="D664" s="40"/>
      <c r="E664" s="42">
        <v>0</v>
      </c>
      <c r="F664" s="39"/>
      <c r="G664" s="40"/>
      <c r="H664" s="42">
        <v>0</v>
      </c>
      <c r="I664" s="39"/>
      <c r="J664" s="40"/>
      <c r="K664" s="5">
        <v>0</v>
      </c>
      <c r="L664" s="157"/>
      <c r="M664" s="41">
        <v>0</v>
      </c>
      <c r="O664" s="29"/>
      <c r="P664" s="5"/>
      <c r="R664" s="5"/>
      <c r="S664" s="5"/>
      <c r="U664" s="5"/>
    </row>
    <row r="665" spans="1:21" x14ac:dyDescent="0.25">
      <c r="A665" s="49">
        <f t="shared" si="29"/>
        <v>46684</v>
      </c>
      <c r="B665" s="42" t="str">
        <f t="shared" si="30"/>
        <v>out/27</v>
      </c>
      <c r="C665" s="39"/>
      <c r="D665" s="40"/>
      <c r="E665" s="42">
        <v>0</v>
      </c>
      <c r="F665" s="39"/>
      <c r="G665" s="40"/>
      <c r="H665" s="42">
        <v>0</v>
      </c>
      <c r="I665" s="39"/>
      <c r="J665" s="40"/>
      <c r="K665" s="5">
        <v>0</v>
      </c>
      <c r="L665" s="157"/>
      <c r="M665" s="41">
        <v>0</v>
      </c>
      <c r="O665" s="29"/>
      <c r="P665" s="5"/>
      <c r="R665" s="5"/>
      <c r="S665" s="5"/>
      <c r="U665" s="5"/>
    </row>
    <row r="666" spans="1:21" x14ac:dyDescent="0.25">
      <c r="A666" s="49">
        <f t="shared" si="29"/>
        <v>46685</v>
      </c>
      <c r="B666" s="42" t="str">
        <f t="shared" si="30"/>
        <v>out/27</v>
      </c>
      <c r="C666" s="39"/>
      <c r="D666" s="40"/>
      <c r="E666" s="42">
        <v>0</v>
      </c>
      <c r="F666" s="39"/>
      <c r="G666" s="40"/>
      <c r="H666" s="42">
        <v>0</v>
      </c>
      <c r="I666" s="39"/>
      <c r="J666" s="40"/>
      <c r="K666" s="5">
        <v>0</v>
      </c>
      <c r="L666" s="157"/>
      <c r="M666" s="41">
        <v>0</v>
      </c>
      <c r="O666" s="29"/>
      <c r="P666" s="5"/>
      <c r="R666" s="5"/>
      <c r="S666" s="5"/>
      <c r="U666" s="5"/>
    </row>
    <row r="667" spans="1:21" x14ac:dyDescent="0.25">
      <c r="A667" s="49">
        <f t="shared" si="29"/>
        <v>46686</v>
      </c>
      <c r="B667" s="42" t="str">
        <f t="shared" si="30"/>
        <v>out/27</v>
      </c>
      <c r="C667" s="39"/>
      <c r="D667" s="40"/>
      <c r="E667" s="42">
        <v>0</v>
      </c>
      <c r="F667" s="39"/>
      <c r="G667" s="40"/>
      <c r="H667" s="42">
        <v>0</v>
      </c>
      <c r="I667" s="39"/>
      <c r="J667" s="40"/>
      <c r="K667" s="5">
        <v>0</v>
      </c>
      <c r="L667" s="157"/>
      <c r="M667" s="41">
        <v>0</v>
      </c>
      <c r="O667" s="29"/>
      <c r="P667" s="5"/>
      <c r="R667" s="5"/>
      <c r="S667" s="5"/>
      <c r="U667" s="5"/>
    </row>
    <row r="668" spans="1:21" x14ac:dyDescent="0.25">
      <c r="A668" s="49">
        <f t="shared" si="29"/>
        <v>46687</v>
      </c>
      <c r="B668" s="42" t="str">
        <f t="shared" si="30"/>
        <v>out/27</v>
      </c>
      <c r="C668" s="39"/>
      <c r="D668" s="40"/>
      <c r="E668" s="42">
        <v>0</v>
      </c>
      <c r="F668" s="39"/>
      <c r="G668" s="40"/>
      <c r="H668" s="42">
        <v>0</v>
      </c>
      <c r="I668" s="39"/>
      <c r="J668" s="40"/>
      <c r="K668" s="5">
        <v>0</v>
      </c>
      <c r="L668" s="157"/>
      <c r="M668" s="41">
        <v>0</v>
      </c>
      <c r="O668" s="29"/>
      <c r="P668" s="5"/>
      <c r="R668" s="5"/>
      <c r="S668" s="5"/>
      <c r="U668" s="5"/>
    </row>
    <row r="669" spans="1:21" x14ac:dyDescent="0.25">
      <c r="A669" s="49">
        <f t="shared" si="29"/>
        <v>46688</v>
      </c>
      <c r="B669" s="42" t="str">
        <f t="shared" si="30"/>
        <v>out/27</v>
      </c>
      <c r="C669" s="39"/>
      <c r="D669" s="40"/>
      <c r="E669" s="42">
        <v>0</v>
      </c>
      <c r="F669" s="39"/>
      <c r="G669" s="40"/>
      <c r="H669" s="42">
        <v>0</v>
      </c>
      <c r="I669" s="39"/>
      <c r="J669" s="40"/>
      <c r="K669" s="5">
        <v>0</v>
      </c>
      <c r="L669" s="157"/>
      <c r="M669" s="41">
        <v>0</v>
      </c>
      <c r="O669" s="29"/>
      <c r="P669" s="5"/>
      <c r="R669" s="5"/>
      <c r="S669" s="5"/>
      <c r="U669" s="5"/>
    </row>
    <row r="670" spans="1:21" x14ac:dyDescent="0.25">
      <c r="A670" s="49">
        <f t="shared" si="29"/>
        <v>46689</v>
      </c>
      <c r="B670" s="42" t="str">
        <f t="shared" si="30"/>
        <v>out/27</v>
      </c>
      <c r="C670" s="39"/>
      <c r="D670" s="40"/>
      <c r="E670" s="42">
        <v>0</v>
      </c>
      <c r="F670" s="39"/>
      <c r="G670" s="40"/>
      <c r="H670" s="42">
        <v>0</v>
      </c>
      <c r="I670" s="39"/>
      <c r="J670" s="40"/>
      <c r="K670" s="5">
        <v>0</v>
      </c>
      <c r="L670" s="157"/>
      <c r="M670" s="41">
        <v>0</v>
      </c>
      <c r="O670" s="29"/>
      <c r="P670" s="5"/>
      <c r="R670" s="5"/>
      <c r="S670" s="5"/>
      <c r="U670" s="5"/>
    </row>
    <row r="671" spans="1:21" x14ac:dyDescent="0.25">
      <c r="A671" s="49">
        <f t="shared" si="29"/>
        <v>46690</v>
      </c>
      <c r="B671" s="42" t="str">
        <f t="shared" si="30"/>
        <v>out/27</v>
      </c>
      <c r="C671" s="39"/>
      <c r="D671" s="40"/>
      <c r="E671" s="42">
        <v>0</v>
      </c>
      <c r="F671" s="39"/>
      <c r="G671" s="40"/>
      <c r="H671" s="42">
        <v>0</v>
      </c>
      <c r="I671" s="39"/>
      <c r="J671" s="40"/>
      <c r="K671" s="5">
        <v>0</v>
      </c>
      <c r="L671" s="157"/>
      <c r="M671" s="41">
        <v>0</v>
      </c>
      <c r="O671" s="29"/>
      <c r="P671" s="5"/>
      <c r="R671" s="5"/>
      <c r="S671" s="5"/>
      <c r="U671" s="5"/>
    </row>
    <row r="672" spans="1:21" x14ac:dyDescent="0.25">
      <c r="A672" s="49">
        <f t="shared" si="29"/>
        <v>46691</v>
      </c>
      <c r="B672" s="42" t="str">
        <f t="shared" si="30"/>
        <v>out/27</v>
      </c>
      <c r="C672" s="39"/>
      <c r="D672" s="40"/>
      <c r="E672" s="42">
        <v>0</v>
      </c>
      <c r="F672" s="39"/>
      <c r="G672" s="40"/>
      <c r="H672" s="42">
        <v>0</v>
      </c>
      <c r="I672" s="39"/>
      <c r="J672" s="40"/>
      <c r="K672" s="5">
        <v>0</v>
      </c>
      <c r="L672" s="157"/>
      <c r="M672" s="41">
        <v>0</v>
      </c>
      <c r="O672" s="29"/>
      <c r="P672" s="5"/>
      <c r="R672" s="5"/>
      <c r="S672" s="5"/>
      <c r="U672" s="5"/>
    </row>
    <row r="673" spans="1:21" x14ac:dyDescent="0.25">
      <c r="A673" s="49">
        <f t="shared" si="29"/>
        <v>46692</v>
      </c>
      <c r="B673" s="42" t="str">
        <f t="shared" si="30"/>
        <v>nov/27</v>
      </c>
      <c r="C673" s="39"/>
      <c r="D673" s="40"/>
      <c r="E673" s="42">
        <v>0</v>
      </c>
      <c r="F673" s="39"/>
      <c r="G673" s="40"/>
      <c r="H673" s="42">
        <v>0</v>
      </c>
      <c r="I673" s="39"/>
      <c r="J673" s="40"/>
      <c r="K673" s="5">
        <v>0</v>
      </c>
      <c r="L673" s="157"/>
      <c r="M673" s="41">
        <v>0</v>
      </c>
      <c r="O673" s="29"/>
      <c r="P673" s="5"/>
      <c r="R673" s="5"/>
      <c r="S673" s="5"/>
      <c r="U673" s="5"/>
    </row>
    <row r="674" spans="1:21" x14ac:dyDescent="0.25">
      <c r="A674" s="49">
        <f t="shared" si="29"/>
        <v>46693</v>
      </c>
      <c r="B674" s="42" t="str">
        <f t="shared" si="30"/>
        <v>nov/27</v>
      </c>
      <c r="C674" s="39"/>
      <c r="D674" s="40"/>
      <c r="E674" s="42">
        <v>0</v>
      </c>
      <c r="F674" s="39"/>
      <c r="G674" s="40"/>
      <c r="H674" s="42">
        <v>0</v>
      </c>
      <c r="I674" s="39"/>
      <c r="J674" s="40"/>
      <c r="K674" s="5">
        <v>0</v>
      </c>
      <c r="L674" s="157"/>
      <c r="M674" s="41">
        <v>0</v>
      </c>
      <c r="O674" s="29"/>
      <c r="P674" s="5"/>
      <c r="R674" s="5"/>
      <c r="S674" s="5"/>
      <c r="U674" s="5"/>
    </row>
    <row r="675" spans="1:21" x14ac:dyDescent="0.25">
      <c r="A675" s="49">
        <f t="shared" si="29"/>
        <v>46694</v>
      </c>
      <c r="B675" s="42" t="str">
        <f t="shared" si="30"/>
        <v>nov/27</v>
      </c>
      <c r="C675" s="39"/>
      <c r="D675" s="40"/>
      <c r="E675" s="42">
        <v>0</v>
      </c>
      <c r="F675" s="39"/>
      <c r="G675" s="40"/>
      <c r="H675" s="42">
        <v>0</v>
      </c>
      <c r="I675" s="39"/>
      <c r="J675" s="40"/>
      <c r="K675" s="5">
        <v>0</v>
      </c>
      <c r="L675" s="157"/>
      <c r="M675" s="41">
        <v>0</v>
      </c>
      <c r="O675" s="29"/>
      <c r="P675" s="5"/>
      <c r="R675" s="5"/>
      <c r="S675" s="5"/>
      <c r="U675" s="5"/>
    </row>
    <row r="676" spans="1:21" x14ac:dyDescent="0.25">
      <c r="A676" s="49">
        <f t="shared" si="29"/>
        <v>46695</v>
      </c>
      <c r="B676" s="42" t="str">
        <f t="shared" si="30"/>
        <v>nov/27</v>
      </c>
      <c r="C676" s="39"/>
      <c r="D676" s="40"/>
      <c r="E676" s="42">
        <v>0</v>
      </c>
      <c r="F676" s="39"/>
      <c r="G676" s="40"/>
      <c r="H676" s="42">
        <v>0</v>
      </c>
      <c r="I676" s="39"/>
      <c r="J676" s="40"/>
      <c r="K676" s="5">
        <v>0</v>
      </c>
      <c r="L676" s="157"/>
      <c r="M676" s="41">
        <v>0</v>
      </c>
      <c r="O676" s="29"/>
      <c r="P676" s="5"/>
      <c r="R676" s="5"/>
      <c r="S676" s="5"/>
      <c r="U676" s="5"/>
    </row>
    <row r="677" spans="1:21" x14ac:dyDescent="0.25">
      <c r="A677" s="49">
        <f t="shared" si="29"/>
        <v>46696</v>
      </c>
      <c r="B677" s="42" t="str">
        <f t="shared" si="30"/>
        <v>nov/27</v>
      </c>
      <c r="C677" s="39"/>
      <c r="D677" s="40"/>
      <c r="E677" s="42">
        <v>0</v>
      </c>
      <c r="F677" s="39"/>
      <c r="G677" s="40"/>
      <c r="H677" s="42">
        <v>0</v>
      </c>
      <c r="I677" s="39"/>
      <c r="J677" s="40"/>
      <c r="K677" s="5">
        <v>0</v>
      </c>
      <c r="L677" s="157"/>
      <c r="M677" s="41">
        <v>0</v>
      </c>
      <c r="O677" s="29"/>
      <c r="P677" s="5"/>
      <c r="R677" s="5"/>
      <c r="S677" s="5"/>
      <c r="U677" s="5"/>
    </row>
    <row r="678" spans="1:21" x14ac:dyDescent="0.25">
      <c r="A678" s="49">
        <f t="shared" si="29"/>
        <v>46697</v>
      </c>
      <c r="B678" s="42" t="str">
        <f t="shared" si="30"/>
        <v>nov/27</v>
      </c>
      <c r="C678" s="39"/>
      <c r="D678" s="40"/>
      <c r="E678" s="42">
        <v>0</v>
      </c>
      <c r="F678" s="39"/>
      <c r="G678" s="40"/>
      <c r="H678" s="42">
        <v>0</v>
      </c>
      <c r="I678" s="39"/>
      <c r="J678" s="40"/>
      <c r="K678" s="5">
        <v>0</v>
      </c>
      <c r="L678" s="157"/>
      <c r="M678" s="41">
        <v>0</v>
      </c>
      <c r="O678" s="29"/>
      <c r="P678" s="5"/>
      <c r="R678" s="5"/>
      <c r="S678" s="5"/>
      <c r="U678" s="5"/>
    </row>
    <row r="679" spans="1:21" x14ac:dyDescent="0.25">
      <c r="A679" s="49">
        <f t="shared" si="29"/>
        <v>46698</v>
      </c>
      <c r="B679" s="42" t="str">
        <f t="shared" si="30"/>
        <v>nov/27</v>
      </c>
      <c r="C679" s="39"/>
      <c r="D679" s="40"/>
      <c r="E679" s="42">
        <v>0</v>
      </c>
      <c r="F679" s="39"/>
      <c r="G679" s="40"/>
      <c r="H679" s="42">
        <v>0</v>
      </c>
      <c r="I679" s="39"/>
      <c r="J679" s="40"/>
      <c r="K679" s="5">
        <v>0</v>
      </c>
      <c r="L679" s="157"/>
      <c r="M679" s="41">
        <v>0</v>
      </c>
      <c r="O679" s="29"/>
      <c r="P679" s="5"/>
      <c r="R679" s="5"/>
      <c r="S679" s="5"/>
      <c r="U679" s="5"/>
    </row>
    <row r="680" spans="1:21" x14ac:dyDescent="0.25">
      <c r="A680" s="49">
        <f t="shared" si="29"/>
        <v>46699</v>
      </c>
      <c r="B680" s="42" t="str">
        <f t="shared" si="30"/>
        <v>nov/27</v>
      </c>
      <c r="C680" s="39"/>
      <c r="D680" s="40"/>
      <c r="E680" s="42">
        <v>0</v>
      </c>
      <c r="F680" s="39"/>
      <c r="G680" s="40"/>
      <c r="H680" s="42">
        <v>0</v>
      </c>
      <c r="I680" s="39"/>
      <c r="J680" s="40"/>
      <c r="K680" s="5">
        <v>0</v>
      </c>
      <c r="L680" s="157"/>
      <c r="M680" s="41">
        <v>0</v>
      </c>
      <c r="O680" s="29"/>
      <c r="P680" s="5"/>
      <c r="R680" s="5"/>
      <c r="S680" s="5"/>
      <c r="U680" s="5"/>
    </row>
    <row r="681" spans="1:21" x14ac:dyDescent="0.25">
      <c r="A681" s="49">
        <f t="shared" si="29"/>
        <v>46700</v>
      </c>
      <c r="B681" s="42" t="str">
        <f t="shared" si="30"/>
        <v>nov/27</v>
      </c>
      <c r="C681" s="39"/>
      <c r="D681" s="40"/>
      <c r="E681" s="42">
        <v>0</v>
      </c>
      <c r="F681" s="39"/>
      <c r="G681" s="40"/>
      <c r="H681" s="42">
        <v>0</v>
      </c>
      <c r="I681" s="39"/>
      <c r="J681" s="40"/>
      <c r="K681" s="5">
        <v>0</v>
      </c>
      <c r="L681" s="157"/>
      <c r="M681" s="41">
        <v>0</v>
      </c>
      <c r="O681" s="29"/>
      <c r="P681" s="5"/>
      <c r="R681" s="5"/>
      <c r="S681" s="5"/>
      <c r="U681" s="5"/>
    </row>
    <row r="682" spans="1:21" x14ac:dyDescent="0.25">
      <c r="A682" s="49">
        <f t="shared" si="29"/>
        <v>46701</v>
      </c>
      <c r="B682" s="42" t="str">
        <f t="shared" si="30"/>
        <v>nov/27</v>
      </c>
      <c r="C682" s="39"/>
      <c r="D682" s="40"/>
      <c r="E682" s="42">
        <v>0</v>
      </c>
      <c r="F682" s="39"/>
      <c r="G682" s="40"/>
      <c r="H682" s="42">
        <v>0</v>
      </c>
      <c r="I682" s="39"/>
      <c r="J682" s="40"/>
      <c r="K682" s="5">
        <v>0</v>
      </c>
      <c r="L682" s="157"/>
      <c r="M682" s="41">
        <v>0</v>
      </c>
      <c r="O682" s="29"/>
      <c r="P682" s="5"/>
      <c r="R682" s="5"/>
      <c r="S682" s="5"/>
      <c r="U682" s="5"/>
    </row>
    <row r="683" spans="1:21" x14ac:dyDescent="0.25">
      <c r="A683" s="49">
        <f t="shared" si="29"/>
        <v>46702</v>
      </c>
      <c r="B683" s="42" t="str">
        <f t="shared" si="30"/>
        <v>nov/27</v>
      </c>
      <c r="C683" s="39"/>
      <c r="D683" s="40"/>
      <c r="E683" s="42">
        <v>0</v>
      </c>
      <c r="F683" s="39"/>
      <c r="G683" s="40"/>
      <c r="H683" s="42">
        <v>0</v>
      </c>
      <c r="I683" s="39"/>
      <c r="J683" s="40"/>
      <c r="K683" s="5">
        <v>0</v>
      </c>
      <c r="L683" s="157"/>
      <c r="M683" s="41">
        <v>0</v>
      </c>
      <c r="O683" s="29"/>
      <c r="P683" s="5"/>
      <c r="R683" s="5"/>
      <c r="S683" s="5"/>
      <c r="U683" s="5"/>
    </row>
    <row r="684" spans="1:21" x14ac:dyDescent="0.25">
      <c r="A684" s="49">
        <f t="shared" si="29"/>
        <v>46703</v>
      </c>
      <c r="B684" s="42" t="str">
        <f t="shared" si="30"/>
        <v>nov/27</v>
      </c>
      <c r="C684" s="39"/>
      <c r="D684" s="40"/>
      <c r="E684" s="42">
        <v>0</v>
      </c>
      <c r="F684" s="39"/>
      <c r="G684" s="40"/>
      <c r="H684" s="42">
        <v>0</v>
      </c>
      <c r="I684" s="39"/>
      <c r="J684" s="40"/>
      <c r="K684" s="5">
        <v>0</v>
      </c>
      <c r="L684" s="157"/>
      <c r="M684" s="41">
        <v>0</v>
      </c>
      <c r="O684" s="29"/>
      <c r="P684" s="5"/>
      <c r="R684" s="5"/>
      <c r="S684" s="5"/>
      <c r="U684" s="5"/>
    </row>
    <row r="685" spans="1:21" x14ac:dyDescent="0.25">
      <c r="A685" s="49">
        <f t="shared" si="29"/>
        <v>46704</v>
      </c>
      <c r="B685" s="42" t="str">
        <f t="shared" si="30"/>
        <v>nov/27</v>
      </c>
      <c r="C685" s="39"/>
      <c r="D685" s="40"/>
      <c r="E685" s="42">
        <v>0</v>
      </c>
      <c r="F685" s="39"/>
      <c r="G685" s="40"/>
      <c r="H685" s="42">
        <v>0</v>
      </c>
      <c r="I685" s="39"/>
      <c r="J685" s="40"/>
      <c r="K685" s="5">
        <v>0</v>
      </c>
      <c r="L685" s="157"/>
      <c r="M685" s="41">
        <v>0</v>
      </c>
      <c r="O685" s="29"/>
      <c r="P685" s="5"/>
      <c r="R685" s="5"/>
      <c r="S685" s="5"/>
      <c r="U685" s="5"/>
    </row>
    <row r="686" spans="1:21" x14ac:dyDescent="0.25">
      <c r="A686" s="49">
        <f t="shared" si="29"/>
        <v>46705</v>
      </c>
      <c r="B686" s="42" t="str">
        <f t="shared" si="30"/>
        <v>nov/27</v>
      </c>
      <c r="C686" s="39"/>
      <c r="D686" s="40"/>
      <c r="E686" s="42">
        <v>0</v>
      </c>
      <c r="F686" s="39"/>
      <c r="G686" s="40"/>
      <c r="H686" s="42">
        <v>0</v>
      </c>
      <c r="I686" s="39"/>
      <c r="J686" s="40"/>
      <c r="K686" s="5">
        <v>0</v>
      </c>
      <c r="L686" s="157"/>
      <c r="M686" s="41">
        <v>0</v>
      </c>
      <c r="O686" s="29"/>
      <c r="P686" s="5"/>
      <c r="R686" s="5"/>
      <c r="S686" s="5"/>
      <c r="U686" s="5"/>
    </row>
    <row r="687" spans="1:21" x14ac:dyDescent="0.25">
      <c r="A687" s="49">
        <f t="shared" si="29"/>
        <v>46706</v>
      </c>
      <c r="B687" s="42" t="str">
        <f t="shared" si="30"/>
        <v>nov/27</v>
      </c>
      <c r="C687" s="39"/>
      <c r="D687" s="40"/>
      <c r="E687" s="42">
        <v>0</v>
      </c>
      <c r="F687" s="39"/>
      <c r="G687" s="40"/>
      <c r="H687" s="42">
        <v>0</v>
      </c>
      <c r="I687" s="39"/>
      <c r="J687" s="40"/>
      <c r="K687" s="5">
        <v>0</v>
      </c>
      <c r="L687" s="157"/>
      <c r="M687" s="41">
        <v>0</v>
      </c>
      <c r="O687" s="29"/>
      <c r="P687" s="5"/>
      <c r="R687" s="5"/>
      <c r="S687" s="5"/>
      <c r="U687" s="5"/>
    </row>
    <row r="688" spans="1:21" x14ac:dyDescent="0.25">
      <c r="A688" s="49">
        <f t="shared" si="29"/>
        <v>46707</v>
      </c>
      <c r="B688" s="42" t="str">
        <f t="shared" si="30"/>
        <v>nov/27</v>
      </c>
      <c r="C688" s="39"/>
      <c r="D688" s="40"/>
      <c r="E688" s="42">
        <v>0</v>
      </c>
      <c r="F688" s="39"/>
      <c r="G688" s="40"/>
      <c r="H688" s="42">
        <v>0</v>
      </c>
      <c r="I688" s="39"/>
      <c r="J688" s="40"/>
      <c r="K688" s="5">
        <v>0</v>
      </c>
      <c r="L688" s="157"/>
      <c r="M688" s="41">
        <v>0</v>
      </c>
      <c r="O688" s="29"/>
      <c r="P688" s="5"/>
      <c r="R688" s="5"/>
      <c r="S688" s="5"/>
      <c r="U688" s="5"/>
    </row>
    <row r="689" spans="1:21" x14ac:dyDescent="0.25">
      <c r="A689" s="49">
        <f t="shared" si="29"/>
        <v>46708</v>
      </c>
      <c r="B689" s="42" t="str">
        <f t="shared" si="30"/>
        <v>nov/27</v>
      </c>
      <c r="C689" s="39"/>
      <c r="D689" s="40"/>
      <c r="E689" s="42">
        <v>0</v>
      </c>
      <c r="F689" s="39"/>
      <c r="G689" s="40"/>
      <c r="H689" s="42">
        <v>0</v>
      </c>
      <c r="I689" s="39"/>
      <c r="J689" s="40"/>
      <c r="K689" s="5">
        <v>0</v>
      </c>
      <c r="L689" s="157"/>
      <c r="M689" s="41">
        <v>0</v>
      </c>
      <c r="O689" s="29"/>
      <c r="P689" s="5"/>
      <c r="R689" s="5"/>
      <c r="S689" s="5"/>
      <c r="U689" s="5"/>
    </row>
    <row r="690" spans="1:21" x14ac:dyDescent="0.25">
      <c r="A690" s="49">
        <f t="shared" si="29"/>
        <v>46709</v>
      </c>
      <c r="B690" s="42" t="str">
        <f t="shared" si="30"/>
        <v>nov/27</v>
      </c>
      <c r="C690" s="39"/>
      <c r="D690" s="40"/>
      <c r="E690" s="42">
        <v>0</v>
      </c>
      <c r="F690" s="39"/>
      <c r="G690" s="40"/>
      <c r="H690" s="42">
        <v>0</v>
      </c>
      <c r="I690" s="39"/>
      <c r="J690" s="40"/>
      <c r="K690" s="5">
        <v>0</v>
      </c>
      <c r="L690" s="157"/>
      <c r="M690" s="41">
        <v>0</v>
      </c>
      <c r="O690" s="29"/>
      <c r="P690" s="5"/>
      <c r="R690" s="5"/>
      <c r="S690" s="5"/>
      <c r="U690" s="5"/>
    </row>
    <row r="691" spans="1:21" x14ac:dyDescent="0.25">
      <c r="A691" s="49">
        <f t="shared" si="29"/>
        <v>46710</v>
      </c>
      <c r="B691" s="42" t="str">
        <f t="shared" si="30"/>
        <v>nov/27</v>
      </c>
      <c r="C691" s="39"/>
      <c r="D691" s="40"/>
      <c r="E691" s="42">
        <v>0</v>
      </c>
      <c r="F691" s="39"/>
      <c r="G691" s="40"/>
      <c r="H691" s="42">
        <v>0</v>
      </c>
      <c r="I691" s="39"/>
      <c r="J691" s="40"/>
      <c r="K691" s="5">
        <v>0</v>
      </c>
      <c r="L691" s="157"/>
      <c r="M691" s="41">
        <v>0</v>
      </c>
      <c r="O691" s="29"/>
      <c r="P691" s="5"/>
      <c r="R691" s="5"/>
      <c r="S691" s="5"/>
      <c r="U691" s="5"/>
    </row>
    <row r="692" spans="1:21" x14ac:dyDescent="0.25">
      <c r="A692" s="49">
        <f t="shared" si="29"/>
        <v>46711</v>
      </c>
      <c r="B692" s="42" t="str">
        <f t="shared" si="30"/>
        <v>nov/27</v>
      </c>
      <c r="C692" s="39"/>
      <c r="D692" s="40"/>
      <c r="E692" s="42">
        <v>0</v>
      </c>
      <c r="F692" s="39"/>
      <c r="G692" s="40"/>
      <c r="H692" s="42">
        <v>0</v>
      </c>
      <c r="I692" s="39"/>
      <c r="J692" s="40"/>
      <c r="K692" s="5">
        <v>0</v>
      </c>
      <c r="L692" s="157"/>
      <c r="M692" s="41">
        <v>0</v>
      </c>
      <c r="O692" s="29"/>
      <c r="P692" s="5"/>
      <c r="R692" s="5"/>
      <c r="S692" s="5"/>
      <c r="U692" s="5"/>
    </row>
    <row r="693" spans="1:21" x14ac:dyDescent="0.25">
      <c r="A693" s="49">
        <f t="shared" si="29"/>
        <v>46712</v>
      </c>
      <c r="B693" s="42" t="str">
        <f t="shared" si="30"/>
        <v>nov/27</v>
      </c>
      <c r="C693" s="39"/>
      <c r="D693" s="40"/>
      <c r="E693" s="42">
        <v>0</v>
      </c>
      <c r="F693" s="39"/>
      <c r="G693" s="40"/>
      <c r="H693" s="42">
        <v>0</v>
      </c>
      <c r="I693" s="39"/>
      <c r="J693" s="40"/>
      <c r="K693" s="5">
        <v>0</v>
      </c>
      <c r="L693" s="157"/>
      <c r="M693" s="41">
        <v>0</v>
      </c>
      <c r="O693" s="29"/>
      <c r="P693" s="5"/>
      <c r="R693" s="5"/>
      <c r="S693" s="5"/>
      <c r="U693" s="5"/>
    </row>
    <row r="694" spans="1:21" x14ac:dyDescent="0.25">
      <c r="A694" s="49">
        <f t="shared" si="29"/>
        <v>46713</v>
      </c>
      <c r="B694" s="42" t="str">
        <f t="shared" si="30"/>
        <v>nov/27</v>
      </c>
      <c r="C694" s="39"/>
      <c r="D694" s="40"/>
      <c r="E694" s="42">
        <v>0</v>
      </c>
      <c r="F694" s="39"/>
      <c r="G694" s="40"/>
      <c r="H694" s="42">
        <v>0</v>
      </c>
      <c r="I694" s="39"/>
      <c r="J694" s="40"/>
      <c r="K694" s="5">
        <v>0</v>
      </c>
      <c r="L694" s="157"/>
      <c r="M694" s="41">
        <v>0</v>
      </c>
      <c r="O694" s="29"/>
      <c r="P694" s="5"/>
      <c r="R694" s="5"/>
      <c r="S694" s="5"/>
      <c r="U694" s="5"/>
    </row>
    <row r="695" spans="1:21" x14ac:dyDescent="0.25">
      <c r="A695" s="49">
        <f t="shared" si="29"/>
        <v>46714</v>
      </c>
      <c r="B695" s="42" t="str">
        <f t="shared" si="30"/>
        <v>nov/27</v>
      </c>
      <c r="C695" s="39"/>
      <c r="D695" s="40"/>
      <c r="E695" s="42">
        <v>0</v>
      </c>
      <c r="F695" s="39"/>
      <c r="G695" s="40"/>
      <c r="H695" s="42">
        <v>0</v>
      </c>
      <c r="I695" s="39"/>
      <c r="J695" s="40"/>
      <c r="K695" s="5">
        <v>0</v>
      </c>
      <c r="L695" s="157"/>
      <c r="M695" s="41">
        <v>0</v>
      </c>
      <c r="O695" s="29"/>
      <c r="P695" s="5"/>
      <c r="R695" s="5"/>
      <c r="S695" s="5"/>
      <c r="U695" s="5"/>
    </row>
    <row r="696" spans="1:21" x14ac:dyDescent="0.25">
      <c r="A696" s="49">
        <f t="shared" ref="A696:A733" si="31">A695+1</f>
        <v>46715</v>
      </c>
      <c r="B696" s="42" t="str">
        <f t="shared" si="30"/>
        <v>nov/27</v>
      </c>
      <c r="C696" s="39"/>
      <c r="D696" s="40"/>
      <c r="E696" s="42">
        <v>0</v>
      </c>
      <c r="F696" s="39"/>
      <c r="G696" s="40"/>
      <c r="H696" s="42">
        <v>0</v>
      </c>
      <c r="I696" s="39"/>
      <c r="J696" s="40"/>
      <c r="K696" s="5">
        <v>0</v>
      </c>
      <c r="L696" s="157"/>
      <c r="M696" s="41">
        <v>0</v>
      </c>
      <c r="O696" s="29"/>
      <c r="P696" s="5"/>
      <c r="R696" s="5"/>
      <c r="S696" s="5"/>
      <c r="U696" s="5"/>
    </row>
    <row r="697" spans="1:21" x14ac:dyDescent="0.25">
      <c r="A697" s="49">
        <f t="shared" si="31"/>
        <v>46716</v>
      </c>
      <c r="B697" s="42" t="str">
        <f t="shared" si="30"/>
        <v>nov/27</v>
      </c>
      <c r="C697" s="39"/>
      <c r="D697" s="40"/>
      <c r="E697" s="42">
        <v>0</v>
      </c>
      <c r="F697" s="39"/>
      <c r="G697" s="40"/>
      <c r="H697" s="42">
        <v>0</v>
      </c>
      <c r="I697" s="39"/>
      <c r="J697" s="40"/>
      <c r="K697" s="5">
        <v>0</v>
      </c>
      <c r="L697" s="157"/>
      <c r="M697" s="41">
        <v>0</v>
      </c>
      <c r="O697" s="29"/>
      <c r="P697" s="5"/>
      <c r="R697" s="5"/>
      <c r="S697" s="5"/>
      <c r="U697" s="5"/>
    </row>
    <row r="698" spans="1:21" x14ac:dyDescent="0.25">
      <c r="A698" s="49">
        <f t="shared" si="31"/>
        <v>46717</v>
      </c>
      <c r="B698" s="42" t="str">
        <f t="shared" si="30"/>
        <v>nov/27</v>
      </c>
      <c r="C698" s="39"/>
      <c r="D698" s="40"/>
      <c r="E698" s="42">
        <v>0</v>
      </c>
      <c r="F698" s="39"/>
      <c r="G698" s="40"/>
      <c r="H698" s="42">
        <v>0</v>
      </c>
      <c r="I698" s="39"/>
      <c r="J698" s="40"/>
      <c r="K698" s="5">
        <v>0</v>
      </c>
      <c r="L698" s="157"/>
      <c r="M698" s="41">
        <v>0</v>
      </c>
      <c r="O698" s="29"/>
      <c r="P698" s="5"/>
      <c r="R698" s="5"/>
      <c r="S698" s="5"/>
      <c r="U698" s="5"/>
    </row>
    <row r="699" spans="1:21" x14ac:dyDescent="0.25">
      <c r="A699" s="49">
        <f t="shared" si="31"/>
        <v>46718</v>
      </c>
      <c r="B699" s="42" t="str">
        <f t="shared" si="30"/>
        <v>nov/27</v>
      </c>
      <c r="C699" s="39"/>
      <c r="D699" s="40"/>
      <c r="E699" s="42">
        <v>0</v>
      </c>
      <c r="F699" s="39"/>
      <c r="G699" s="40"/>
      <c r="H699" s="42">
        <v>0</v>
      </c>
      <c r="I699" s="39"/>
      <c r="J699" s="40"/>
      <c r="K699" s="5">
        <v>0</v>
      </c>
      <c r="L699" s="157"/>
      <c r="M699" s="41">
        <v>0</v>
      </c>
      <c r="O699" s="29"/>
      <c r="P699" s="5"/>
      <c r="R699" s="5"/>
      <c r="S699" s="5"/>
      <c r="U699" s="5"/>
    </row>
    <row r="700" spans="1:21" x14ac:dyDescent="0.25">
      <c r="A700" s="49">
        <f t="shared" si="31"/>
        <v>46719</v>
      </c>
      <c r="B700" s="42" t="str">
        <f t="shared" si="30"/>
        <v>nov/27</v>
      </c>
      <c r="C700" s="39"/>
      <c r="D700" s="40"/>
      <c r="E700" s="42">
        <v>0</v>
      </c>
      <c r="F700" s="39"/>
      <c r="G700" s="40"/>
      <c r="H700" s="42">
        <v>0</v>
      </c>
      <c r="I700" s="39"/>
      <c r="J700" s="40"/>
      <c r="K700" s="5">
        <v>0</v>
      </c>
      <c r="L700" s="157"/>
      <c r="M700" s="41">
        <v>0</v>
      </c>
      <c r="O700" s="29"/>
      <c r="P700" s="5"/>
      <c r="R700" s="5"/>
      <c r="S700" s="5"/>
      <c r="U700" s="5"/>
    </row>
    <row r="701" spans="1:21" x14ac:dyDescent="0.25">
      <c r="A701" s="49">
        <f t="shared" si="31"/>
        <v>46720</v>
      </c>
      <c r="B701" s="42" t="str">
        <f t="shared" si="30"/>
        <v>nov/27</v>
      </c>
      <c r="C701" s="39"/>
      <c r="D701" s="40"/>
      <c r="E701" s="42">
        <v>0</v>
      </c>
      <c r="F701" s="39"/>
      <c r="G701" s="40"/>
      <c r="H701" s="42">
        <v>0</v>
      </c>
      <c r="I701" s="39"/>
      <c r="J701" s="40"/>
      <c r="K701" s="5">
        <v>0</v>
      </c>
      <c r="L701" s="157"/>
      <c r="M701" s="41">
        <v>0</v>
      </c>
      <c r="O701" s="29"/>
      <c r="P701" s="5"/>
      <c r="R701" s="5"/>
      <c r="S701" s="5"/>
      <c r="U701" s="5"/>
    </row>
    <row r="702" spans="1:21" x14ac:dyDescent="0.25">
      <c r="A702" s="49">
        <f t="shared" si="31"/>
        <v>46721</v>
      </c>
      <c r="B702" s="42" t="str">
        <f t="shared" si="30"/>
        <v>nov/27</v>
      </c>
      <c r="C702" s="39"/>
      <c r="D702" s="40"/>
      <c r="E702" s="42">
        <v>0</v>
      </c>
      <c r="F702" s="39"/>
      <c r="G702" s="40"/>
      <c r="H702" s="42">
        <v>0</v>
      </c>
      <c r="I702" s="39"/>
      <c r="J702" s="40"/>
      <c r="K702" s="5">
        <v>0</v>
      </c>
      <c r="L702" s="157"/>
      <c r="M702" s="41">
        <v>0</v>
      </c>
      <c r="O702" s="29"/>
      <c r="P702" s="5"/>
      <c r="R702" s="5"/>
      <c r="S702" s="5"/>
      <c r="U702" s="5"/>
    </row>
    <row r="703" spans="1:21" x14ac:dyDescent="0.25">
      <c r="A703" s="49">
        <f t="shared" si="31"/>
        <v>46722</v>
      </c>
      <c r="B703" s="42" t="str">
        <f t="shared" si="30"/>
        <v>dez/27</v>
      </c>
      <c r="C703" s="39"/>
      <c r="D703" s="40"/>
      <c r="E703" s="42">
        <v>0</v>
      </c>
      <c r="F703" s="39"/>
      <c r="G703" s="40"/>
      <c r="H703" s="42">
        <v>0</v>
      </c>
      <c r="I703" s="39"/>
      <c r="J703" s="40"/>
      <c r="K703" s="5">
        <v>0</v>
      </c>
      <c r="L703" s="157"/>
      <c r="M703" s="41">
        <v>0</v>
      </c>
      <c r="O703" s="29"/>
      <c r="P703" s="5"/>
      <c r="R703" s="5"/>
      <c r="S703" s="5"/>
      <c r="U703" s="5"/>
    </row>
    <row r="704" spans="1:21" x14ac:dyDescent="0.25">
      <c r="A704" s="49">
        <f t="shared" si="31"/>
        <v>46723</v>
      </c>
      <c r="B704" s="42" t="str">
        <f t="shared" si="30"/>
        <v>dez/27</v>
      </c>
      <c r="C704" s="39"/>
      <c r="D704" s="40"/>
      <c r="E704" s="42">
        <v>0</v>
      </c>
      <c r="F704" s="39"/>
      <c r="G704" s="40"/>
      <c r="H704" s="42">
        <v>0</v>
      </c>
      <c r="I704" s="39"/>
      <c r="J704" s="40"/>
      <c r="K704" s="5">
        <v>0</v>
      </c>
      <c r="L704" s="157"/>
      <c r="M704" s="41">
        <v>0</v>
      </c>
      <c r="O704" s="29"/>
      <c r="P704" s="5"/>
      <c r="R704" s="5"/>
      <c r="S704" s="5"/>
      <c r="U704" s="5"/>
    </row>
    <row r="705" spans="1:21" x14ac:dyDescent="0.25">
      <c r="A705" s="49">
        <f t="shared" si="31"/>
        <v>46724</v>
      </c>
      <c r="B705" s="42" t="str">
        <f t="shared" si="30"/>
        <v>dez/27</v>
      </c>
      <c r="C705" s="39"/>
      <c r="D705" s="40"/>
      <c r="E705" s="42">
        <v>0</v>
      </c>
      <c r="F705" s="39"/>
      <c r="G705" s="40"/>
      <c r="H705" s="42">
        <v>0</v>
      </c>
      <c r="I705" s="39"/>
      <c r="J705" s="40"/>
      <c r="K705" s="5">
        <v>0</v>
      </c>
      <c r="L705" s="157"/>
      <c r="M705" s="41">
        <v>0</v>
      </c>
      <c r="O705" s="29"/>
      <c r="P705" s="5"/>
      <c r="R705" s="5"/>
      <c r="S705" s="5"/>
      <c r="U705" s="5"/>
    </row>
    <row r="706" spans="1:21" x14ac:dyDescent="0.25">
      <c r="A706" s="49">
        <f t="shared" si="31"/>
        <v>46725</v>
      </c>
      <c r="B706" s="42" t="str">
        <f t="shared" si="30"/>
        <v>dez/27</v>
      </c>
      <c r="C706" s="39"/>
      <c r="D706" s="40"/>
      <c r="E706" s="42">
        <v>0</v>
      </c>
      <c r="F706" s="39"/>
      <c r="G706" s="40"/>
      <c r="H706" s="42">
        <v>0</v>
      </c>
      <c r="I706" s="39"/>
      <c r="J706" s="40"/>
      <c r="K706" s="5">
        <v>0</v>
      </c>
      <c r="L706" s="157"/>
      <c r="M706" s="41">
        <v>0</v>
      </c>
      <c r="O706" s="29"/>
      <c r="P706" s="5"/>
      <c r="R706" s="5"/>
      <c r="S706" s="5"/>
      <c r="U706" s="5"/>
    </row>
    <row r="707" spans="1:21" x14ac:dyDescent="0.25">
      <c r="A707" s="49">
        <f t="shared" si="31"/>
        <v>46726</v>
      </c>
      <c r="B707" s="42" t="str">
        <f t="shared" si="30"/>
        <v>dez/27</v>
      </c>
      <c r="C707" s="39"/>
      <c r="D707" s="40"/>
      <c r="E707" s="42">
        <v>0</v>
      </c>
      <c r="F707" s="39"/>
      <c r="G707" s="40"/>
      <c r="H707" s="42">
        <v>0</v>
      </c>
      <c r="I707" s="39"/>
      <c r="J707" s="40"/>
      <c r="K707" s="5">
        <v>0</v>
      </c>
      <c r="L707" s="157"/>
      <c r="M707" s="41">
        <v>0</v>
      </c>
      <c r="O707" s="29"/>
      <c r="P707" s="5"/>
      <c r="R707" s="5"/>
      <c r="S707" s="5"/>
      <c r="U707" s="5"/>
    </row>
    <row r="708" spans="1:21" x14ac:dyDescent="0.25">
      <c r="A708" s="49">
        <f t="shared" si="31"/>
        <v>46727</v>
      </c>
      <c r="B708" s="42" t="str">
        <f t="shared" si="30"/>
        <v>dez/27</v>
      </c>
      <c r="C708" s="39"/>
      <c r="D708" s="40"/>
      <c r="E708" s="42">
        <v>0</v>
      </c>
      <c r="F708" s="39"/>
      <c r="G708" s="40"/>
      <c r="H708" s="42">
        <v>0</v>
      </c>
      <c r="I708" s="39"/>
      <c r="J708" s="40"/>
      <c r="K708" s="5">
        <v>0</v>
      </c>
      <c r="L708" s="157"/>
      <c r="M708" s="41">
        <v>0</v>
      </c>
      <c r="O708" s="29"/>
      <c r="P708" s="5"/>
      <c r="R708" s="5"/>
      <c r="S708" s="5"/>
      <c r="U708" s="5"/>
    </row>
    <row r="709" spans="1:21" x14ac:dyDescent="0.25">
      <c r="A709" s="49">
        <f t="shared" si="31"/>
        <v>46728</v>
      </c>
      <c r="B709" s="42" t="str">
        <f t="shared" ref="B709:B733" si="32">TEXT(A709,"MMM/AA")</f>
        <v>dez/27</v>
      </c>
      <c r="C709" s="39"/>
      <c r="D709" s="40"/>
      <c r="E709" s="42">
        <v>0</v>
      </c>
      <c r="F709" s="39"/>
      <c r="G709" s="40"/>
      <c r="H709" s="42">
        <v>0</v>
      </c>
      <c r="I709" s="39"/>
      <c r="J709" s="40"/>
      <c r="K709" s="5">
        <v>0</v>
      </c>
      <c r="L709" s="157"/>
      <c r="M709" s="41">
        <v>0</v>
      </c>
      <c r="O709" s="29"/>
      <c r="P709" s="5"/>
      <c r="R709" s="5"/>
      <c r="S709" s="5"/>
      <c r="U709" s="5"/>
    </row>
    <row r="710" spans="1:21" x14ac:dyDescent="0.25">
      <c r="A710" s="49">
        <f t="shared" si="31"/>
        <v>46729</v>
      </c>
      <c r="B710" s="42" t="str">
        <f t="shared" si="32"/>
        <v>dez/27</v>
      </c>
      <c r="C710" s="39"/>
      <c r="D710" s="40"/>
      <c r="E710" s="42">
        <v>0</v>
      </c>
      <c r="F710" s="39"/>
      <c r="G710" s="40"/>
      <c r="H710" s="42">
        <v>0</v>
      </c>
      <c r="I710" s="39"/>
      <c r="J710" s="40"/>
      <c r="K710" s="5">
        <v>0</v>
      </c>
      <c r="L710" s="157"/>
      <c r="M710" s="41">
        <v>0</v>
      </c>
      <c r="O710" s="29"/>
      <c r="P710" s="5"/>
      <c r="R710" s="5"/>
      <c r="S710" s="5"/>
      <c r="U710" s="5"/>
    </row>
    <row r="711" spans="1:21" x14ac:dyDescent="0.25">
      <c r="A711" s="49">
        <f t="shared" si="31"/>
        <v>46730</v>
      </c>
      <c r="B711" s="42" t="str">
        <f t="shared" si="32"/>
        <v>dez/27</v>
      </c>
      <c r="C711" s="39"/>
      <c r="D711" s="40"/>
      <c r="E711" s="42">
        <v>0</v>
      </c>
      <c r="F711" s="39"/>
      <c r="G711" s="40"/>
      <c r="H711" s="42">
        <v>0</v>
      </c>
      <c r="I711" s="39"/>
      <c r="J711" s="40"/>
      <c r="K711" s="5">
        <v>0</v>
      </c>
      <c r="L711" s="157"/>
      <c r="M711" s="41">
        <v>0</v>
      </c>
      <c r="O711" s="29"/>
      <c r="P711" s="5"/>
      <c r="R711" s="5"/>
      <c r="S711" s="5"/>
      <c r="U711" s="5"/>
    </row>
    <row r="712" spans="1:21" x14ac:dyDescent="0.25">
      <c r="A712" s="49">
        <f t="shared" si="31"/>
        <v>46731</v>
      </c>
      <c r="B712" s="42" t="str">
        <f t="shared" si="32"/>
        <v>dez/27</v>
      </c>
      <c r="C712" s="39"/>
      <c r="D712" s="40"/>
      <c r="E712" s="42">
        <v>0</v>
      </c>
      <c r="F712" s="39"/>
      <c r="G712" s="40"/>
      <c r="H712" s="42">
        <v>0</v>
      </c>
      <c r="I712" s="39"/>
      <c r="J712" s="40"/>
      <c r="K712" s="5">
        <v>0</v>
      </c>
      <c r="L712" s="157"/>
      <c r="M712" s="41">
        <v>0</v>
      </c>
      <c r="O712" s="29"/>
      <c r="P712" s="5"/>
      <c r="R712" s="5"/>
      <c r="S712" s="5"/>
      <c r="U712" s="5"/>
    </row>
    <row r="713" spans="1:21" x14ac:dyDescent="0.25">
      <c r="A713" s="49">
        <f t="shared" si="31"/>
        <v>46732</v>
      </c>
      <c r="B713" s="42" t="str">
        <f t="shared" si="32"/>
        <v>dez/27</v>
      </c>
      <c r="C713" s="39"/>
      <c r="D713" s="40"/>
      <c r="E713" s="42">
        <v>0</v>
      </c>
      <c r="F713" s="39"/>
      <c r="G713" s="40"/>
      <c r="H713" s="42">
        <v>0</v>
      </c>
      <c r="I713" s="39"/>
      <c r="J713" s="40"/>
      <c r="K713" s="5">
        <v>0</v>
      </c>
      <c r="L713" s="157"/>
      <c r="M713" s="41">
        <v>0</v>
      </c>
      <c r="O713" s="29"/>
      <c r="P713" s="5"/>
      <c r="R713" s="5"/>
      <c r="S713" s="5"/>
      <c r="U713" s="5"/>
    </row>
    <row r="714" spans="1:21" x14ac:dyDescent="0.25">
      <c r="A714" s="49">
        <f t="shared" si="31"/>
        <v>46733</v>
      </c>
      <c r="B714" s="42" t="str">
        <f t="shared" si="32"/>
        <v>dez/27</v>
      </c>
      <c r="C714" s="39"/>
      <c r="D714" s="40"/>
      <c r="E714" s="42">
        <v>0</v>
      </c>
      <c r="F714" s="39"/>
      <c r="G714" s="40"/>
      <c r="H714" s="42">
        <v>0</v>
      </c>
      <c r="I714" s="39"/>
      <c r="J714" s="40"/>
      <c r="K714" s="5">
        <v>0</v>
      </c>
      <c r="L714" s="157"/>
      <c r="M714" s="41">
        <v>0</v>
      </c>
      <c r="O714" s="29"/>
      <c r="P714" s="5"/>
      <c r="R714" s="5"/>
      <c r="S714" s="5"/>
      <c r="U714" s="5"/>
    </row>
    <row r="715" spans="1:21" x14ac:dyDescent="0.25">
      <c r="A715" s="49">
        <f t="shared" si="31"/>
        <v>46734</v>
      </c>
      <c r="B715" s="42" t="str">
        <f t="shared" si="32"/>
        <v>dez/27</v>
      </c>
      <c r="C715" s="39"/>
      <c r="D715" s="40"/>
      <c r="E715" s="42">
        <v>0</v>
      </c>
      <c r="F715" s="39"/>
      <c r="G715" s="40"/>
      <c r="H715" s="42">
        <v>0</v>
      </c>
      <c r="I715" s="39"/>
      <c r="J715" s="40"/>
      <c r="K715" s="5">
        <v>0</v>
      </c>
      <c r="L715" s="157"/>
      <c r="M715" s="41">
        <v>0</v>
      </c>
      <c r="O715" s="29"/>
      <c r="P715" s="5"/>
      <c r="R715" s="5"/>
      <c r="S715" s="5"/>
      <c r="U715" s="5"/>
    </row>
    <row r="716" spans="1:21" x14ac:dyDescent="0.25">
      <c r="A716" s="49">
        <f t="shared" si="31"/>
        <v>46735</v>
      </c>
      <c r="B716" s="42" t="str">
        <f t="shared" si="32"/>
        <v>dez/27</v>
      </c>
      <c r="C716" s="39"/>
      <c r="D716" s="40"/>
      <c r="E716" s="42">
        <v>0</v>
      </c>
      <c r="F716" s="39"/>
      <c r="G716" s="40"/>
      <c r="H716" s="42">
        <v>0</v>
      </c>
      <c r="I716" s="39"/>
      <c r="J716" s="40"/>
      <c r="K716" s="5">
        <v>0</v>
      </c>
      <c r="L716" s="157"/>
      <c r="M716" s="41">
        <v>0</v>
      </c>
      <c r="O716" s="29"/>
      <c r="P716" s="5"/>
      <c r="R716" s="5"/>
      <c r="S716" s="5"/>
      <c r="U716" s="5"/>
    </row>
    <row r="717" spans="1:21" x14ac:dyDescent="0.25">
      <c r="A717" s="49">
        <f t="shared" si="31"/>
        <v>46736</v>
      </c>
      <c r="B717" s="42" t="str">
        <f t="shared" si="32"/>
        <v>dez/27</v>
      </c>
      <c r="C717" s="39"/>
      <c r="D717" s="40"/>
      <c r="E717" s="42">
        <v>0</v>
      </c>
      <c r="F717" s="39"/>
      <c r="G717" s="40"/>
      <c r="H717" s="42">
        <v>0</v>
      </c>
      <c r="I717" s="39"/>
      <c r="J717" s="40"/>
      <c r="K717" s="5">
        <v>0</v>
      </c>
      <c r="L717" s="157"/>
      <c r="M717" s="41">
        <v>0</v>
      </c>
      <c r="O717" s="29"/>
      <c r="P717" s="5"/>
      <c r="R717" s="5"/>
      <c r="S717" s="5"/>
      <c r="U717" s="5"/>
    </row>
    <row r="718" spans="1:21" x14ac:dyDescent="0.25">
      <c r="A718" s="49">
        <f t="shared" si="31"/>
        <v>46737</v>
      </c>
      <c r="B718" s="42" t="str">
        <f t="shared" si="32"/>
        <v>dez/27</v>
      </c>
      <c r="C718" s="39"/>
      <c r="D718" s="40"/>
      <c r="E718" s="42">
        <v>0</v>
      </c>
      <c r="F718" s="39"/>
      <c r="G718" s="40"/>
      <c r="H718" s="42">
        <v>0</v>
      </c>
      <c r="I718" s="39"/>
      <c r="J718" s="40"/>
      <c r="K718" s="5">
        <v>0</v>
      </c>
      <c r="L718" s="157"/>
      <c r="M718" s="41">
        <v>0</v>
      </c>
      <c r="O718" s="29"/>
      <c r="P718" s="5"/>
      <c r="R718" s="5"/>
      <c r="S718" s="5"/>
      <c r="U718" s="5"/>
    </row>
    <row r="719" spans="1:21" x14ac:dyDescent="0.25">
      <c r="A719" s="49">
        <f t="shared" si="31"/>
        <v>46738</v>
      </c>
      <c r="B719" s="42" t="str">
        <f t="shared" si="32"/>
        <v>dez/27</v>
      </c>
      <c r="C719" s="39"/>
      <c r="D719" s="40"/>
      <c r="E719" s="42">
        <v>0</v>
      </c>
      <c r="F719" s="39"/>
      <c r="G719" s="40"/>
      <c r="H719" s="42">
        <v>0</v>
      </c>
      <c r="I719" s="39"/>
      <c r="J719" s="40"/>
      <c r="K719" s="5">
        <v>0</v>
      </c>
      <c r="L719" s="157"/>
      <c r="M719" s="41">
        <v>0</v>
      </c>
      <c r="O719" s="29"/>
      <c r="P719" s="5"/>
      <c r="R719" s="5"/>
      <c r="S719" s="5"/>
      <c r="U719" s="5"/>
    </row>
    <row r="720" spans="1:21" x14ac:dyDescent="0.25">
      <c r="A720" s="49">
        <f t="shared" si="31"/>
        <v>46739</v>
      </c>
      <c r="B720" s="42" t="str">
        <f t="shared" si="32"/>
        <v>dez/27</v>
      </c>
      <c r="C720" s="39"/>
      <c r="D720" s="40"/>
      <c r="E720" s="42">
        <v>0</v>
      </c>
      <c r="F720" s="39"/>
      <c r="G720" s="40"/>
      <c r="H720" s="42">
        <v>0</v>
      </c>
      <c r="I720" s="39"/>
      <c r="J720" s="40"/>
      <c r="K720" s="5">
        <v>0</v>
      </c>
      <c r="L720" s="157"/>
      <c r="M720" s="41">
        <v>0</v>
      </c>
      <c r="O720" s="29"/>
      <c r="P720" s="5"/>
      <c r="R720" s="5"/>
      <c r="S720" s="5"/>
      <c r="U720" s="5"/>
    </row>
    <row r="721" spans="1:21" x14ac:dyDescent="0.25">
      <c r="A721" s="49">
        <f t="shared" si="31"/>
        <v>46740</v>
      </c>
      <c r="B721" s="42" t="str">
        <f t="shared" si="32"/>
        <v>dez/27</v>
      </c>
      <c r="C721" s="39"/>
      <c r="D721" s="40"/>
      <c r="E721" s="42">
        <v>0</v>
      </c>
      <c r="F721" s="39"/>
      <c r="G721" s="40"/>
      <c r="H721" s="42">
        <v>0</v>
      </c>
      <c r="I721" s="39"/>
      <c r="J721" s="40"/>
      <c r="K721" s="5">
        <v>0</v>
      </c>
      <c r="L721" s="157"/>
      <c r="M721" s="41">
        <v>0</v>
      </c>
      <c r="O721" s="29"/>
      <c r="P721" s="5"/>
      <c r="R721" s="5"/>
      <c r="S721" s="5"/>
      <c r="U721" s="5"/>
    </row>
    <row r="722" spans="1:21" x14ac:dyDescent="0.25">
      <c r="A722" s="49">
        <f t="shared" si="31"/>
        <v>46741</v>
      </c>
      <c r="B722" s="42" t="str">
        <f t="shared" si="32"/>
        <v>dez/27</v>
      </c>
      <c r="C722" s="39"/>
      <c r="D722" s="40"/>
      <c r="E722" s="42">
        <v>0</v>
      </c>
      <c r="F722" s="39"/>
      <c r="G722" s="40"/>
      <c r="H722" s="42">
        <v>0</v>
      </c>
      <c r="I722" s="39"/>
      <c r="J722" s="40"/>
      <c r="K722" s="5">
        <v>0</v>
      </c>
      <c r="L722" s="157"/>
      <c r="M722" s="41">
        <v>0</v>
      </c>
      <c r="O722" s="29"/>
      <c r="P722" s="5"/>
      <c r="R722" s="5"/>
      <c r="S722" s="5"/>
      <c r="U722" s="5"/>
    </row>
    <row r="723" spans="1:21" x14ac:dyDescent="0.25">
      <c r="A723" s="49">
        <f t="shared" si="31"/>
        <v>46742</v>
      </c>
      <c r="B723" s="42" t="str">
        <f t="shared" si="32"/>
        <v>dez/27</v>
      </c>
      <c r="C723" s="39"/>
      <c r="D723" s="40"/>
      <c r="E723" s="42">
        <v>0</v>
      </c>
      <c r="F723" s="39"/>
      <c r="G723" s="40"/>
      <c r="H723" s="42">
        <v>0</v>
      </c>
      <c r="I723" s="39"/>
      <c r="J723" s="40"/>
      <c r="K723" s="5">
        <v>0</v>
      </c>
      <c r="L723" s="157"/>
      <c r="M723" s="41">
        <v>0</v>
      </c>
      <c r="O723" s="29"/>
      <c r="P723" s="5"/>
      <c r="R723" s="5"/>
      <c r="S723" s="5"/>
      <c r="U723" s="5"/>
    </row>
    <row r="724" spans="1:21" x14ac:dyDescent="0.25">
      <c r="A724" s="49">
        <f t="shared" si="31"/>
        <v>46743</v>
      </c>
      <c r="B724" s="42" t="str">
        <f t="shared" si="32"/>
        <v>dez/27</v>
      </c>
      <c r="C724" s="39"/>
      <c r="D724" s="40"/>
      <c r="E724" s="42">
        <v>0</v>
      </c>
      <c r="F724" s="39"/>
      <c r="G724" s="40"/>
      <c r="H724" s="42">
        <v>0</v>
      </c>
      <c r="I724" s="39"/>
      <c r="J724" s="40"/>
      <c r="K724" s="5">
        <v>0</v>
      </c>
      <c r="L724" s="157"/>
      <c r="M724" s="41">
        <v>0</v>
      </c>
      <c r="O724" s="29"/>
      <c r="P724" s="5"/>
      <c r="R724" s="5"/>
      <c r="S724" s="5"/>
      <c r="U724" s="5"/>
    </row>
    <row r="725" spans="1:21" x14ac:dyDescent="0.25">
      <c r="A725" s="49">
        <f t="shared" si="31"/>
        <v>46744</v>
      </c>
      <c r="B725" s="42" t="str">
        <f t="shared" si="32"/>
        <v>dez/27</v>
      </c>
      <c r="C725" s="39"/>
      <c r="D725" s="40"/>
      <c r="E725" s="42">
        <v>0</v>
      </c>
      <c r="F725" s="39"/>
      <c r="G725" s="40"/>
      <c r="H725" s="42">
        <v>0</v>
      </c>
      <c r="I725" s="39"/>
      <c r="J725" s="40"/>
      <c r="K725" s="5">
        <v>0</v>
      </c>
      <c r="L725" s="157"/>
      <c r="M725" s="41">
        <v>0</v>
      </c>
      <c r="O725" s="29"/>
      <c r="P725" s="5"/>
      <c r="R725" s="5"/>
      <c r="S725" s="5"/>
      <c r="U725" s="5"/>
    </row>
    <row r="726" spans="1:21" x14ac:dyDescent="0.25">
      <c r="A726" s="49">
        <f t="shared" si="31"/>
        <v>46745</v>
      </c>
      <c r="B726" s="42" t="str">
        <f t="shared" si="32"/>
        <v>dez/27</v>
      </c>
      <c r="C726" s="39"/>
      <c r="D726" s="40"/>
      <c r="E726" s="42">
        <v>0</v>
      </c>
      <c r="F726" s="39"/>
      <c r="G726" s="40"/>
      <c r="H726" s="42">
        <v>0</v>
      </c>
      <c r="I726" s="39"/>
      <c r="J726" s="40"/>
      <c r="K726" s="5">
        <v>0</v>
      </c>
      <c r="L726" s="157"/>
      <c r="M726" s="41">
        <v>0</v>
      </c>
      <c r="O726" s="29"/>
      <c r="P726" s="5"/>
      <c r="R726" s="5"/>
      <c r="S726" s="5"/>
      <c r="U726" s="5"/>
    </row>
    <row r="727" spans="1:21" x14ac:dyDescent="0.25">
      <c r="A727" s="49">
        <f t="shared" si="31"/>
        <v>46746</v>
      </c>
      <c r="B727" s="42" t="str">
        <f t="shared" si="32"/>
        <v>dez/27</v>
      </c>
      <c r="C727" s="39"/>
      <c r="D727" s="40"/>
      <c r="E727" s="42">
        <v>0</v>
      </c>
      <c r="F727" s="39"/>
      <c r="G727" s="40"/>
      <c r="H727" s="42">
        <v>0</v>
      </c>
      <c r="I727" s="39"/>
      <c r="J727" s="40"/>
      <c r="K727" s="5">
        <v>0</v>
      </c>
      <c r="L727" s="157"/>
      <c r="M727" s="41">
        <v>0</v>
      </c>
      <c r="O727" s="29"/>
      <c r="P727" s="5"/>
      <c r="R727" s="5"/>
      <c r="S727" s="5"/>
      <c r="U727" s="5"/>
    </row>
    <row r="728" spans="1:21" x14ac:dyDescent="0.25">
      <c r="A728" s="49">
        <f t="shared" si="31"/>
        <v>46747</v>
      </c>
      <c r="B728" s="42" t="str">
        <f t="shared" si="32"/>
        <v>dez/27</v>
      </c>
      <c r="C728" s="39"/>
      <c r="D728" s="40"/>
      <c r="E728" s="42">
        <v>0</v>
      </c>
      <c r="F728" s="39"/>
      <c r="G728" s="40"/>
      <c r="H728" s="42">
        <v>0</v>
      </c>
      <c r="I728" s="39"/>
      <c r="J728" s="40"/>
      <c r="K728" s="5">
        <v>0</v>
      </c>
      <c r="L728" s="157"/>
      <c r="M728" s="41">
        <v>0</v>
      </c>
      <c r="O728" s="29"/>
      <c r="P728" s="5"/>
      <c r="R728" s="5"/>
      <c r="S728" s="5"/>
      <c r="U728" s="5"/>
    </row>
    <row r="729" spans="1:21" x14ac:dyDescent="0.25">
      <c r="A729" s="49">
        <f t="shared" si="31"/>
        <v>46748</v>
      </c>
      <c r="B729" s="42" t="str">
        <f t="shared" si="32"/>
        <v>dez/27</v>
      </c>
      <c r="C729" s="39"/>
      <c r="D729" s="40"/>
      <c r="E729" s="42">
        <v>0</v>
      </c>
      <c r="F729" s="39"/>
      <c r="G729" s="40"/>
      <c r="H729" s="42">
        <v>0</v>
      </c>
      <c r="I729" s="39"/>
      <c r="J729" s="40"/>
      <c r="K729" s="5">
        <v>0</v>
      </c>
      <c r="L729" s="157"/>
      <c r="M729" s="41">
        <v>0</v>
      </c>
      <c r="O729" s="29"/>
      <c r="P729" s="5"/>
      <c r="R729" s="5"/>
      <c r="S729" s="5"/>
      <c r="U729" s="5"/>
    </row>
    <row r="730" spans="1:21" x14ac:dyDescent="0.25">
      <c r="A730" s="49">
        <f t="shared" si="31"/>
        <v>46749</v>
      </c>
      <c r="B730" s="42" t="str">
        <f t="shared" si="32"/>
        <v>dez/27</v>
      </c>
      <c r="C730" s="39"/>
      <c r="D730" s="40"/>
      <c r="E730" s="42">
        <v>0</v>
      </c>
      <c r="F730" s="39"/>
      <c r="G730" s="40"/>
      <c r="H730" s="42">
        <v>0</v>
      </c>
      <c r="I730" s="39"/>
      <c r="J730" s="40"/>
      <c r="K730" s="5">
        <v>0</v>
      </c>
      <c r="L730" s="157"/>
      <c r="M730" s="41">
        <v>0</v>
      </c>
      <c r="O730" s="29"/>
      <c r="P730" s="5"/>
      <c r="R730" s="5"/>
      <c r="S730" s="5"/>
      <c r="U730" s="5"/>
    </row>
    <row r="731" spans="1:21" x14ac:dyDescent="0.25">
      <c r="A731" s="49">
        <f t="shared" si="31"/>
        <v>46750</v>
      </c>
      <c r="B731" s="42" t="str">
        <f t="shared" si="32"/>
        <v>dez/27</v>
      </c>
      <c r="C731" s="39"/>
      <c r="D731" s="40"/>
      <c r="E731" s="42">
        <v>0</v>
      </c>
      <c r="F731" s="39"/>
      <c r="G731" s="40"/>
      <c r="H731" s="42">
        <v>0</v>
      </c>
      <c r="I731" s="39"/>
      <c r="J731" s="40"/>
      <c r="K731" s="5">
        <v>0</v>
      </c>
      <c r="L731" s="157"/>
      <c r="M731" s="41">
        <v>0</v>
      </c>
      <c r="O731" s="29"/>
      <c r="P731" s="5"/>
      <c r="R731" s="5"/>
      <c r="S731" s="5"/>
      <c r="U731" s="5"/>
    </row>
    <row r="732" spans="1:21" x14ac:dyDescent="0.25">
      <c r="A732" s="49">
        <f t="shared" si="31"/>
        <v>46751</v>
      </c>
      <c r="B732" s="42" t="str">
        <f t="shared" si="32"/>
        <v>dez/27</v>
      </c>
      <c r="C732" s="39"/>
      <c r="D732" s="40"/>
      <c r="E732" s="42">
        <v>0</v>
      </c>
      <c r="F732" s="39"/>
      <c r="G732" s="40"/>
      <c r="H732" s="42">
        <v>0</v>
      </c>
      <c r="I732" s="39"/>
      <c r="J732" s="40"/>
      <c r="K732" s="5">
        <v>0</v>
      </c>
      <c r="L732" s="157"/>
      <c r="M732" s="41">
        <v>0</v>
      </c>
      <c r="O732" s="29"/>
      <c r="P732" s="5"/>
      <c r="R732" s="5"/>
      <c r="S732" s="5"/>
      <c r="U732" s="5"/>
    </row>
    <row r="733" spans="1:21" x14ac:dyDescent="0.25">
      <c r="A733" s="53">
        <f t="shared" si="31"/>
        <v>46752</v>
      </c>
      <c r="B733" s="54" t="str">
        <f t="shared" si="32"/>
        <v>dez/27</v>
      </c>
      <c r="C733" s="55"/>
      <c r="D733" s="56"/>
      <c r="E733" s="54">
        <v>0</v>
      </c>
      <c r="F733" s="55"/>
      <c r="G733" s="56"/>
      <c r="H733" s="54">
        <v>0</v>
      </c>
      <c r="I733" s="55"/>
      <c r="J733" s="56"/>
      <c r="K733" s="162">
        <v>0</v>
      </c>
      <c r="L733" s="163"/>
      <c r="M733" s="162">
        <v>0</v>
      </c>
      <c r="O733" s="29"/>
      <c r="P733" s="5"/>
      <c r="R733" s="5"/>
      <c r="S733" s="5"/>
      <c r="U733" s="5"/>
    </row>
    <row r="734" spans="1:21" x14ac:dyDescent="0.25">
      <c r="A734" s="52"/>
    </row>
    <row r="735" spans="1:21" x14ac:dyDescent="0.25">
      <c r="A735" s="52"/>
    </row>
    <row r="736" spans="1:21" x14ac:dyDescent="0.25">
      <c r="A736" s="52"/>
    </row>
    <row r="737" spans="1:1" x14ac:dyDescent="0.25">
      <c r="A737" s="52"/>
    </row>
    <row r="738" spans="1:1" x14ac:dyDescent="0.25">
      <c r="A738" s="52"/>
    </row>
    <row r="739" spans="1:1" x14ac:dyDescent="0.25">
      <c r="A739" s="52"/>
    </row>
    <row r="740" spans="1:1" x14ac:dyDescent="0.25">
      <c r="A740" s="52"/>
    </row>
    <row r="741" spans="1:1" x14ac:dyDescent="0.25">
      <c r="A741" s="52"/>
    </row>
    <row r="742" spans="1:1" x14ac:dyDescent="0.25">
      <c r="A742" s="52"/>
    </row>
    <row r="743" spans="1:1" x14ac:dyDescent="0.25">
      <c r="A743" s="52"/>
    </row>
    <row r="744" spans="1:1" x14ac:dyDescent="0.25">
      <c r="A744" s="52"/>
    </row>
    <row r="745" spans="1:1" x14ac:dyDescent="0.25">
      <c r="A745" s="52"/>
    </row>
    <row r="746" spans="1:1" x14ac:dyDescent="0.25">
      <c r="A746" s="52"/>
    </row>
    <row r="747" spans="1:1" x14ac:dyDescent="0.25">
      <c r="A747" s="52"/>
    </row>
    <row r="748" spans="1:1" x14ac:dyDescent="0.25">
      <c r="A748" s="52"/>
    </row>
    <row r="749" spans="1:1" x14ac:dyDescent="0.25">
      <c r="A749" s="52"/>
    </row>
    <row r="750" spans="1:1" x14ac:dyDescent="0.25">
      <c r="A750" s="52"/>
    </row>
    <row r="751" spans="1:1" x14ac:dyDescent="0.25">
      <c r="A751" s="52"/>
    </row>
    <row r="752" spans="1:1" x14ac:dyDescent="0.25">
      <c r="A752" s="52"/>
    </row>
    <row r="753" spans="1:1" x14ac:dyDescent="0.25">
      <c r="A753" s="52"/>
    </row>
    <row r="754" spans="1:1" x14ac:dyDescent="0.25">
      <c r="A754" s="52"/>
    </row>
    <row r="755" spans="1:1" x14ac:dyDescent="0.25">
      <c r="A755" s="52"/>
    </row>
    <row r="756" spans="1:1" x14ac:dyDescent="0.25">
      <c r="A756" s="52"/>
    </row>
    <row r="757" spans="1:1" x14ac:dyDescent="0.25">
      <c r="A757" s="52"/>
    </row>
    <row r="758" spans="1:1" x14ac:dyDescent="0.25">
      <c r="A758" s="52"/>
    </row>
    <row r="759" spans="1:1" x14ac:dyDescent="0.25">
      <c r="A759" s="52"/>
    </row>
    <row r="760" spans="1:1" x14ac:dyDescent="0.25">
      <c r="A760" s="52"/>
    </row>
    <row r="761" spans="1:1" x14ac:dyDescent="0.25">
      <c r="A761" s="52"/>
    </row>
    <row r="762" spans="1:1" x14ac:dyDescent="0.25">
      <c r="A762" s="52"/>
    </row>
    <row r="763" spans="1:1" x14ac:dyDescent="0.25">
      <c r="A763" s="52"/>
    </row>
    <row r="764" spans="1:1" x14ac:dyDescent="0.25">
      <c r="A764" s="52"/>
    </row>
    <row r="765" spans="1:1" x14ac:dyDescent="0.25">
      <c r="A765" s="52"/>
    </row>
    <row r="766" spans="1:1" x14ac:dyDescent="0.25">
      <c r="A766" s="52"/>
    </row>
    <row r="767" spans="1:1" x14ac:dyDescent="0.25">
      <c r="A767" s="52"/>
    </row>
    <row r="768" spans="1:1" x14ac:dyDescent="0.25">
      <c r="A768" s="52"/>
    </row>
    <row r="769" spans="1:1" x14ac:dyDescent="0.25">
      <c r="A769" s="52"/>
    </row>
    <row r="770" spans="1:1" x14ac:dyDescent="0.25">
      <c r="A770" s="52"/>
    </row>
    <row r="771" spans="1:1" x14ac:dyDescent="0.25">
      <c r="A771" s="52"/>
    </row>
    <row r="772" spans="1:1" x14ac:dyDescent="0.25">
      <c r="A772" s="52"/>
    </row>
    <row r="773" spans="1:1" x14ac:dyDescent="0.25">
      <c r="A773" s="52"/>
    </row>
    <row r="774" spans="1:1" x14ac:dyDescent="0.25">
      <c r="A774" s="52"/>
    </row>
    <row r="775" spans="1:1" x14ac:dyDescent="0.25">
      <c r="A775" s="52"/>
    </row>
    <row r="776" spans="1:1" x14ac:dyDescent="0.25">
      <c r="A776" s="52"/>
    </row>
    <row r="777" spans="1:1" x14ac:dyDescent="0.25">
      <c r="A777" s="52"/>
    </row>
    <row r="778" spans="1:1" x14ac:dyDescent="0.25">
      <c r="A778" s="52"/>
    </row>
    <row r="779" spans="1:1" x14ac:dyDescent="0.25">
      <c r="A779" s="52"/>
    </row>
    <row r="780" spans="1:1" x14ac:dyDescent="0.25">
      <c r="A780" s="52"/>
    </row>
    <row r="781" spans="1:1" x14ac:dyDescent="0.25">
      <c r="A781" s="52"/>
    </row>
    <row r="782" spans="1:1" x14ac:dyDescent="0.25">
      <c r="A782" s="52"/>
    </row>
    <row r="783" spans="1:1" x14ac:dyDescent="0.25">
      <c r="A783" s="52"/>
    </row>
    <row r="784" spans="1:1" x14ac:dyDescent="0.25">
      <c r="A784" s="52"/>
    </row>
    <row r="785" spans="1:1" x14ac:dyDescent="0.25">
      <c r="A785" s="52"/>
    </row>
    <row r="786" spans="1:1" x14ac:dyDescent="0.25">
      <c r="A786" s="52"/>
    </row>
    <row r="787" spans="1:1" x14ac:dyDescent="0.25">
      <c r="A787" s="52"/>
    </row>
    <row r="788" spans="1:1" x14ac:dyDescent="0.25">
      <c r="A788" s="5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W17"/>
  <sheetViews>
    <sheetView workbookViewId="0">
      <selection activeCell="M15" sqref="M15"/>
    </sheetView>
  </sheetViews>
  <sheetFormatPr defaultRowHeight="15" x14ac:dyDescent="0.25"/>
  <cols>
    <col min="1" max="1" width="24.42578125" customWidth="1"/>
    <col min="3" max="4" width="8.140625" bestFit="1" customWidth="1"/>
    <col min="5" max="11" width="7.28515625" bestFit="1" customWidth="1"/>
    <col min="12" max="12" width="9.28515625" bestFit="1" customWidth="1"/>
    <col min="13" max="13" width="15.140625" bestFit="1" customWidth="1"/>
    <col min="14" max="14" width="17.85546875" bestFit="1" customWidth="1"/>
    <col min="17" max="17" width="30.5703125" customWidth="1"/>
    <col min="18" max="18" width="9.5703125" bestFit="1" customWidth="1"/>
    <col min="22" max="22" width="14.28515625" bestFit="1" customWidth="1"/>
    <col min="23" max="23" width="10.5703125" bestFit="1" customWidth="1"/>
  </cols>
  <sheetData>
    <row r="1" spans="1:23" x14ac:dyDescent="0.25">
      <c r="A1" s="164" t="s">
        <v>217</v>
      </c>
      <c r="B1" s="165" t="s">
        <v>218</v>
      </c>
      <c r="C1" s="165" t="s">
        <v>219</v>
      </c>
      <c r="D1" s="165" t="s">
        <v>220</v>
      </c>
      <c r="E1" s="165" t="s">
        <v>221</v>
      </c>
      <c r="F1" s="165" t="s">
        <v>222</v>
      </c>
      <c r="G1" s="165" t="s">
        <v>223</v>
      </c>
      <c r="H1" s="165" t="s">
        <v>224</v>
      </c>
      <c r="I1" s="165" t="s">
        <v>225</v>
      </c>
      <c r="J1" s="165" t="s">
        <v>226</v>
      </c>
      <c r="K1" s="165" t="s">
        <v>227</v>
      </c>
      <c r="L1" s="165" t="s">
        <v>228</v>
      </c>
      <c r="M1" s="165" t="s">
        <v>229</v>
      </c>
      <c r="N1" s="165" t="s">
        <v>230</v>
      </c>
    </row>
    <row r="2" spans="1:23" x14ac:dyDescent="0.25">
      <c r="A2" s="166" t="s">
        <v>231</v>
      </c>
      <c r="B2" s="167" t="s">
        <v>232</v>
      </c>
      <c r="C2" s="57">
        <v>965.57</v>
      </c>
      <c r="D2" s="57">
        <v>3095.56</v>
      </c>
      <c r="E2" s="57">
        <v>4304.07</v>
      </c>
      <c r="F2" s="57">
        <v>4331.22</v>
      </c>
      <c r="G2" s="57">
        <v>3487.24</v>
      </c>
      <c r="H2" s="57">
        <v>4599.99</v>
      </c>
      <c r="I2" s="57">
        <v>7716.24</v>
      </c>
      <c r="J2" s="57">
        <v>2066.23</v>
      </c>
      <c r="K2" s="57">
        <v>6521.77</v>
      </c>
      <c r="L2" s="57">
        <v>37087.89</v>
      </c>
      <c r="M2" s="72">
        <v>21970.61</v>
      </c>
      <c r="N2" s="72">
        <v>9537.1200000000008</v>
      </c>
      <c r="O2" s="29">
        <f>M2-N2</f>
        <v>12433.49</v>
      </c>
      <c r="P2" s="29"/>
      <c r="S2">
        <v>60</v>
      </c>
      <c r="T2">
        <v>24</v>
      </c>
      <c r="U2">
        <f>T2*S2</f>
        <v>1440</v>
      </c>
    </row>
    <row r="3" spans="1:23" x14ac:dyDescent="0.25">
      <c r="A3" s="166" t="s">
        <v>233</v>
      </c>
      <c r="B3" s="167" t="s">
        <v>234</v>
      </c>
      <c r="C3" s="57">
        <v>13164</v>
      </c>
      <c r="D3" s="57">
        <v>42444</v>
      </c>
      <c r="E3" s="57">
        <v>59170</v>
      </c>
      <c r="F3" s="57">
        <v>59546</v>
      </c>
      <c r="G3" s="57">
        <v>47865</v>
      </c>
      <c r="H3" s="57">
        <v>63266</v>
      </c>
      <c r="I3" s="57">
        <v>105516</v>
      </c>
      <c r="J3" s="57">
        <v>28198</v>
      </c>
      <c r="K3" s="57">
        <v>89864</v>
      </c>
      <c r="L3" s="57">
        <v>509033</v>
      </c>
      <c r="M3" s="72">
        <v>305602</v>
      </c>
      <c r="N3" s="72">
        <v>185168</v>
      </c>
      <c r="O3" s="29">
        <f t="shared" ref="O3:O15" si="0">M3-N3</f>
        <v>120434</v>
      </c>
      <c r="P3" s="29"/>
      <c r="Q3" s="195" t="s">
        <v>396</v>
      </c>
      <c r="R3">
        <v>6623</v>
      </c>
    </row>
    <row r="4" spans="1:23" x14ac:dyDescent="0.25">
      <c r="A4" s="166" t="s">
        <v>235</v>
      </c>
      <c r="B4" s="167" t="s">
        <v>234</v>
      </c>
      <c r="C4" s="57">
        <v>52656</v>
      </c>
      <c r="D4" s="57">
        <v>169776</v>
      </c>
      <c r="E4" s="57">
        <v>236680</v>
      </c>
      <c r="F4" s="57">
        <v>238184</v>
      </c>
      <c r="G4" s="57">
        <v>191460</v>
      </c>
      <c r="H4" s="57">
        <v>253064</v>
      </c>
      <c r="I4" s="57">
        <v>422064</v>
      </c>
      <c r="J4" s="57">
        <v>112792</v>
      </c>
      <c r="K4" s="57">
        <v>359456</v>
      </c>
      <c r="L4" s="57">
        <v>2036132</v>
      </c>
      <c r="M4" s="72">
        <v>1287858</v>
      </c>
      <c r="N4" s="72">
        <f>M3*4</f>
        <v>1222408</v>
      </c>
      <c r="O4" s="29">
        <f t="shared" si="0"/>
        <v>65450</v>
      </c>
      <c r="P4" s="29"/>
      <c r="Q4" s="195" t="s">
        <v>397</v>
      </c>
      <c r="R4" s="194">
        <f>W4</f>
        <v>9537.1200000000008</v>
      </c>
      <c r="T4">
        <v>9659</v>
      </c>
      <c r="V4" s="193">
        <f>U2*R3</f>
        <v>9537120</v>
      </c>
      <c r="W4" s="194">
        <f>V4/1000</f>
        <v>9537.1200000000008</v>
      </c>
    </row>
    <row r="5" spans="1:23" x14ac:dyDescent="0.25">
      <c r="A5" s="166" t="s">
        <v>236</v>
      </c>
      <c r="B5" s="167" t="s">
        <v>234</v>
      </c>
      <c r="C5" s="57">
        <v>26328</v>
      </c>
      <c r="D5" s="57">
        <v>84888</v>
      </c>
      <c r="E5" s="57">
        <v>118340</v>
      </c>
      <c r="F5" s="57">
        <v>119092</v>
      </c>
      <c r="G5" s="57">
        <v>95730</v>
      </c>
      <c r="H5" s="57">
        <v>126532</v>
      </c>
      <c r="I5" s="57">
        <v>211032</v>
      </c>
      <c r="J5" s="57">
        <v>56396</v>
      </c>
      <c r="K5" s="57">
        <v>179728</v>
      </c>
      <c r="L5" s="57">
        <v>1018066</v>
      </c>
      <c r="M5" s="72">
        <v>397675</v>
      </c>
      <c r="N5" s="72">
        <v>319386</v>
      </c>
      <c r="O5" s="29">
        <f t="shared" si="0"/>
        <v>78289</v>
      </c>
      <c r="P5" s="29"/>
      <c r="V5" s="193">
        <f>U2*T4</f>
        <v>13908960</v>
      </c>
    </row>
    <row r="6" spans="1:23" x14ac:dyDescent="0.25">
      <c r="A6" s="166" t="s">
        <v>237</v>
      </c>
      <c r="B6" s="167" t="s">
        <v>234</v>
      </c>
      <c r="C6" s="57">
        <v>52656</v>
      </c>
      <c r="D6" s="57">
        <v>169776</v>
      </c>
      <c r="E6" s="57">
        <v>236680</v>
      </c>
      <c r="F6" s="57">
        <v>238184</v>
      </c>
      <c r="G6" s="57">
        <v>191460</v>
      </c>
      <c r="H6" s="57">
        <v>253064</v>
      </c>
      <c r="I6" s="57">
        <v>422064</v>
      </c>
      <c r="J6" s="57">
        <v>112792</v>
      </c>
      <c r="K6" s="57">
        <v>359456</v>
      </c>
      <c r="L6" s="57">
        <v>2036132</v>
      </c>
      <c r="M6" s="72">
        <v>795977</v>
      </c>
      <c r="N6" s="72">
        <v>642561</v>
      </c>
      <c r="O6" s="29">
        <f t="shared" si="0"/>
        <v>153416</v>
      </c>
      <c r="P6" s="29"/>
    </row>
    <row r="7" spans="1:23" x14ac:dyDescent="0.25">
      <c r="A7" s="166" t="s">
        <v>238</v>
      </c>
      <c r="B7" s="167" t="s">
        <v>234</v>
      </c>
      <c r="C7" s="57">
        <v>53388</v>
      </c>
      <c r="D7" s="57">
        <v>171240</v>
      </c>
      <c r="E7" s="57">
        <v>238144</v>
      </c>
      <c r="F7" s="57">
        <v>239648</v>
      </c>
      <c r="G7" s="57">
        <v>192924</v>
      </c>
      <c r="H7" s="57">
        <v>254528</v>
      </c>
      <c r="I7" s="57">
        <v>426384</v>
      </c>
      <c r="J7" s="57">
        <v>114256</v>
      </c>
      <c r="K7" s="57">
        <v>360920</v>
      </c>
      <c r="L7" s="57">
        <v>2051432</v>
      </c>
      <c r="M7" s="72">
        <v>750000</v>
      </c>
      <c r="N7" s="72">
        <v>557904</v>
      </c>
      <c r="O7" s="29">
        <f t="shared" si="0"/>
        <v>192096</v>
      </c>
      <c r="P7" s="29"/>
    </row>
    <row r="8" spans="1:23" x14ac:dyDescent="0.25">
      <c r="A8" s="166" t="s">
        <v>239</v>
      </c>
      <c r="B8" s="167" t="s">
        <v>234</v>
      </c>
      <c r="C8" s="57">
        <v>924</v>
      </c>
      <c r="D8" s="57">
        <v>82</v>
      </c>
      <c r="E8" s="57">
        <v>92</v>
      </c>
      <c r="F8" s="57">
        <v>92</v>
      </c>
      <c r="G8" s="57">
        <v>85</v>
      </c>
      <c r="H8" s="57">
        <v>38</v>
      </c>
      <c r="I8" s="57">
        <v>65</v>
      </c>
      <c r="J8" s="57">
        <v>17</v>
      </c>
      <c r="K8" s="57"/>
      <c r="L8" s="57">
        <v>1395</v>
      </c>
      <c r="M8" s="72">
        <v>1694</v>
      </c>
      <c r="N8" s="72">
        <v>962</v>
      </c>
      <c r="O8" s="29">
        <f t="shared" si="0"/>
        <v>732</v>
      </c>
      <c r="P8" s="29"/>
    </row>
    <row r="9" spans="1:23" x14ac:dyDescent="0.25">
      <c r="A9" s="166" t="s">
        <v>240</v>
      </c>
      <c r="B9" s="167" t="s">
        <v>241</v>
      </c>
      <c r="C9" s="57">
        <v>1959</v>
      </c>
      <c r="D9" s="57">
        <v>487</v>
      </c>
      <c r="E9" s="57">
        <v>613</v>
      </c>
      <c r="F9" s="57">
        <v>616</v>
      </c>
      <c r="G9" s="57">
        <v>528</v>
      </c>
      <c r="H9" s="57">
        <v>643</v>
      </c>
      <c r="I9" s="57">
        <v>1419</v>
      </c>
      <c r="J9" s="57">
        <v>380</v>
      </c>
      <c r="K9" s="57">
        <v>168</v>
      </c>
      <c r="L9" s="57">
        <v>6813</v>
      </c>
      <c r="M9" s="72">
        <v>7151</v>
      </c>
      <c r="N9" s="72">
        <v>3432</v>
      </c>
      <c r="O9" s="29">
        <f t="shared" si="0"/>
        <v>3719</v>
      </c>
      <c r="P9" s="29"/>
    </row>
    <row r="10" spans="1:23" x14ac:dyDescent="0.25">
      <c r="A10" s="166" t="s">
        <v>242</v>
      </c>
      <c r="B10" s="167" t="s">
        <v>241</v>
      </c>
      <c r="C10" s="58">
        <v>1</v>
      </c>
      <c r="D10" s="58">
        <v>2</v>
      </c>
      <c r="E10" s="58">
        <v>2</v>
      </c>
      <c r="F10" s="58">
        <v>2</v>
      </c>
      <c r="G10" s="58">
        <v>2</v>
      </c>
      <c r="H10" s="58">
        <v>2</v>
      </c>
      <c r="I10" s="58">
        <v>4</v>
      </c>
      <c r="J10" s="58">
        <v>2</v>
      </c>
      <c r="K10" s="58">
        <v>2</v>
      </c>
      <c r="L10" s="57">
        <v>19</v>
      </c>
      <c r="M10" s="72">
        <v>13</v>
      </c>
      <c r="N10" s="72">
        <v>7</v>
      </c>
      <c r="O10" s="29">
        <f t="shared" si="0"/>
        <v>6</v>
      </c>
      <c r="P10" s="29"/>
    </row>
    <row r="11" spans="1:23" x14ac:dyDescent="0.25">
      <c r="A11" s="166" t="s">
        <v>243</v>
      </c>
      <c r="B11" s="167" t="s">
        <v>241</v>
      </c>
      <c r="C11" s="58">
        <v>0</v>
      </c>
      <c r="D11" s="58">
        <v>0</v>
      </c>
      <c r="E11" s="58">
        <v>0</v>
      </c>
      <c r="F11" s="58">
        <v>0</v>
      </c>
      <c r="G11" s="58">
        <v>0</v>
      </c>
      <c r="H11" s="58">
        <v>0</v>
      </c>
      <c r="I11" s="58">
        <v>4</v>
      </c>
      <c r="J11" s="58">
        <v>0</v>
      </c>
      <c r="K11" s="58">
        <v>0</v>
      </c>
      <c r="L11" s="57">
        <v>4</v>
      </c>
      <c r="M11" s="72">
        <v>0</v>
      </c>
      <c r="N11" s="72">
        <v>0</v>
      </c>
      <c r="O11" s="29">
        <f t="shared" si="0"/>
        <v>0</v>
      </c>
      <c r="P11" s="29"/>
    </row>
    <row r="12" spans="1:23" x14ac:dyDescent="0.25">
      <c r="A12" s="166" t="s">
        <v>244</v>
      </c>
      <c r="B12" s="167" t="s">
        <v>245</v>
      </c>
      <c r="C12" s="57">
        <v>1</v>
      </c>
      <c r="D12" s="57">
        <v>2</v>
      </c>
      <c r="E12" s="57">
        <v>2</v>
      </c>
      <c r="F12" s="57">
        <v>2</v>
      </c>
      <c r="G12" s="57">
        <v>2</v>
      </c>
      <c r="H12" s="57">
        <v>2</v>
      </c>
      <c r="I12" s="57">
        <v>4</v>
      </c>
      <c r="J12" s="57">
        <v>2</v>
      </c>
      <c r="K12" s="57">
        <v>2</v>
      </c>
      <c r="L12" s="57">
        <v>19</v>
      </c>
      <c r="M12" s="72">
        <v>9</v>
      </c>
      <c r="N12" s="72">
        <v>6</v>
      </c>
      <c r="O12" s="29">
        <f t="shared" si="0"/>
        <v>3</v>
      </c>
      <c r="P12" s="29"/>
    </row>
    <row r="13" spans="1:23" x14ac:dyDescent="0.25">
      <c r="A13" s="166" t="s">
        <v>246</v>
      </c>
      <c r="B13" s="167" t="s">
        <v>245</v>
      </c>
      <c r="C13" s="58">
        <v>0</v>
      </c>
      <c r="D13" s="58">
        <v>0</v>
      </c>
      <c r="E13" s="58">
        <v>0</v>
      </c>
      <c r="F13" s="58">
        <v>0</v>
      </c>
      <c r="G13" s="58">
        <v>0</v>
      </c>
      <c r="H13" s="58">
        <v>0</v>
      </c>
      <c r="I13" s="58">
        <v>4</v>
      </c>
      <c r="J13" s="58">
        <v>0</v>
      </c>
      <c r="K13" s="58">
        <v>0</v>
      </c>
      <c r="L13" s="57">
        <v>4</v>
      </c>
      <c r="M13" s="72">
        <v>0</v>
      </c>
      <c r="N13" s="72">
        <v>0</v>
      </c>
      <c r="O13" s="29">
        <f t="shared" si="0"/>
        <v>0</v>
      </c>
      <c r="P13" s="29"/>
    </row>
    <row r="14" spans="1:23" x14ac:dyDescent="0.25">
      <c r="A14" s="166" t="s">
        <v>247</v>
      </c>
      <c r="B14" s="167" t="s">
        <v>248</v>
      </c>
      <c r="C14" s="57">
        <v>155</v>
      </c>
      <c r="D14" s="57">
        <v>279</v>
      </c>
      <c r="E14" s="57">
        <v>384</v>
      </c>
      <c r="F14" s="57">
        <v>386</v>
      </c>
      <c r="G14" s="57">
        <v>313</v>
      </c>
      <c r="H14" s="57">
        <v>409</v>
      </c>
      <c r="I14" s="57">
        <v>712</v>
      </c>
      <c r="J14" s="57">
        <v>190</v>
      </c>
      <c r="K14" s="57">
        <v>575</v>
      </c>
      <c r="L14" s="57">
        <v>3403</v>
      </c>
      <c r="M14" s="72">
        <v>1592</v>
      </c>
      <c r="N14" s="72">
        <v>603</v>
      </c>
      <c r="O14" s="29">
        <f t="shared" si="0"/>
        <v>989</v>
      </c>
      <c r="P14" s="29"/>
    </row>
    <row r="15" spans="1:23" x14ac:dyDescent="0.25">
      <c r="A15" s="166" t="s">
        <v>249</v>
      </c>
      <c r="B15" s="167" t="s">
        <v>250</v>
      </c>
      <c r="C15" s="57">
        <v>18029.528704</v>
      </c>
      <c r="D15" s="57">
        <v>60526.263893999996</v>
      </c>
      <c r="E15" s="57">
        <v>83599.324625999972</v>
      </c>
      <c r="F15" s="57">
        <v>83466.22335999996</v>
      </c>
      <c r="G15" s="57">
        <v>67666.073100000009</v>
      </c>
      <c r="H15" s="57">
        <v>88569.56</v>
      </c>
      <c r="I15" s="57">
        <v>150758.29536000016</v>
      </c>
      <c r="J15" s="57">
        <v>40440.949999999997</v>
      </c>
      <c r="K15" s="57">
        <v>125180.54999999994</v>
      </c>
      <c r="L15" s="57">
        <v>718236.76904399996</v>
      </c>
      <c r="M15" s="72">
        <v>392805.34</v>
      </c>
      <c r="N15" s="72">
        <v>389206.69</v>
      </c>
      <c r="O15" s="29">
        <f t="shared" si="0"/>
        <v>3598.6500000000233</v>
      </c>
      <c r="P15" s="29"/>
    </row>
    <row r="17" spans="14:14" x14ac:dyDescent="0.25">
      <c r="N17" s="16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5"/>
  <sheetViews>
    <sheetView showGridLines="0" topLeftCell="A23" workbookViewId="0">
      <selection activeCell="C25" sqref="C25"/>
    </sheetView>
  </sheetViews>
  <sheetFormatPr defaultColWidth="8.7109375" defaultRowHeight="15" x14ac:dyDescent="0.25"/>
  <cols>
    <col min="1" max="1" width="23" style="169" customWidth="1"/>
    <col min="2" max="2" width="52" style="169" customWidth="1"/>
    <col min="3" max="3" width="66" style="169" customWidth="1"/>
    <col min="4" max="4" width="22" style="169" customWidth="1"/>
    <col min="5" max="5" width="14" style="169" customWidth="1"/>
    <col min="6" max="6" width="18" style="169" customWidth="1"/>
    <col min="7" max="7" width="34" style="169" customWidth="1"/>
    <col min="8" max="16384" width="8.7109375" style="169"/>
  </cols>
  <sheetData>
    <row r="1" spans="1:7" x14ac:dyDescent="0.25">
      <c r="A1" s="209" t="s">
        <v>251</v>
      </c>
      <c r="B1" s="209" t="s">
        <v>251</v>
      </c>
      <c r="C1" s="209" t="s">
        <v>251</v>
      </c>
      <c r="D1" s="209" t="s">
        <v>251</v>
      </c>
      <c r="E1" s="209" t="s">
        <v>251</v>
      </c>
      <c r="F1" s="209" t="s">
        <v>251</v>
      </c>
      <c r="G1" s="209" t="s">
        <v>251</v>
      </c>
    </row>
    <row r="2" spans="1:7" x14ac:dyDescent="0.25">
      <c r="A2" s="170" t="s">
        <v>252</v>
      </c>
      <c r="B2" s="171">
        <v>46268</v>
      </c>
    </row>
    <row r="4" spans="1:7" x14ac:dyDescent="0.25">
      <c r="A4" s="172" t="s">
        <v>253</v>
      </c>
      <c r="B4" s="172" t="s">
        <v>254</v>
      </c>
      <c r="C4" s="172" t="s">
        <v>255</v>
      </c>
      <c r="D4" s="172" t="s">
        <v>256</v>
      </c>
      <c r="E4" s="172" t="s">
        <v>257</v>
      </c>
      <c r="F4" s="172" t="s">
        <v>258</v>
      </c>
      <c r="G4" s="172" t="s">
        <v>259</v>
      </c>
    </row>
    <row r="5" spans="1:7" ht="45" x14ac:dyDescent="0.25">
      <c r="A5" s="173" t="s">
        <v>163</v>
      </c>
      <c r="B5" s="173" t="s">
        <v>260</v>
      </c>
      <c r="C5" s="173" t="s">
        <v>261</v>
      </c>
      <c r="D5" s="173" t="s">
        <v>262</v>
      </c>
      <c r="E5" s="174">
        <v>46231</v>
      </c>
      <c r="F5" s="173" t="s">
        <v>263</v>
      </c>
      <c r="G5" s="173" t="s">
        <v>264</v>
      </c>
    </row>
    <row r="6" spans="1:7" ht="45" x14ac:dyDescent="0.25">
      <c r="A6" s="173" t="s">
        <v>265</v>
      </c>
      <c r="B6" s="173" t="s">
        <v>266</v>
      </c>
      <c r="C6" s="173" t="s">
        <v>267</v>
      </c>
      <c r="D6" s="173" t="s">
        <v>262</v>
      </c>
      <c r="E6" s="174">
        <v>46231</v>
      </c>
      <c r="F6" s="173" t="s">
        <v>263</v>
      </c>
      <c r="G6" s="173" t="s">
        <v>264</v>
      </c>
    </row>
    <row r="7" spans="1:7" ht="105" x14ac:dyDescent="0.25">
      <c r="A7" s="173" t="s">
        <v>9</v>
      </c>
      <c r="B7" s="173" t="s">
        <v>268</v>
      </c>
      <c r="C7" s="173" t="s">
        <v>269</v>
      </c>
      <c r="D7" s="173" t="s">
        <v>262</v>
      </c>
      <c r="E7" s="174">
        <v>46287</v>
      </c>
      <c r="F7" s="173" t="s">
        <v>263</v>
      </c>
      <c r="G7" s="173" t="s">
        <v>270</v>
      </c>
    </row>
    <row r="8" spans="1:7" ht="90" x14ac:dyDescent="0.25">
      <c r="A8" s="173" t="s">
        <v>193</v>
      </c>
      <c r="B8" s="173" t="s">
        <v>271</v>
      </c>
      <c r="C8" s="173" t="s">
        <v>272</v>
      </c>
      <c r="D8" s="173" t="s">
        <v>273</v>
      </c>
      <c r="E8" s="174">
        <v>46244</v>
      </c>
      <c r="F8" s="173" t="s">
        <v>263</v>
      </c>
      <c r="G8" s="173" t="s">
        <v>274</v>
      </c>
    </row>
    <row r="9" spans="1:7" ht="75" x14ac:dyDescent="0.25">
      <c r="A9" s="173" t="s">
        <v>275</v>
      </c>
      <c r="B9" s="173" t="s">
        <v>276</v>
      </c>
      <c r="C9" s="173" t="s">
        <v>277</v>
      </c>
      <c r="D9" s="173" t="s">
        <v>273</v>
      </c>
      <c r="E9" s="174">
        <v>46242</v>
      </c>
      <c r="F9" s="173" t="s">
        <v>263</v>
      </c>
      <c r="G9" s="173" t="s">
        <v>278</v>
      </c>
    </row>
    <row r="10" spans="1:7" ht="105" x14ac:dyDescent="0.25">
      <c r="A10" s="173" t="s">
        <v>21</v>
      </c>
      <c r="B10" s="173" t="s">
        <v>279</v>
      </c>
      <c r="C10" s="173" t="s">
        <v>280</v>
      </c>
      <c r="D10" s="173" t="s">
        <v>273</v>
      </c>
      <c r="E10" s="174">
        <v>46232</v>
      </c>
      <c r="F10" s="173" t="s">
        <v>263</v>
      </c>
      <c r="G10" s="173" t="s">
        <v>281</v>
      </c>
    </row>
    <row r="11" spans="1:7" ht="90" x14ac:dyDescent="0.25">
      <c r="A11" s="173" t="s">
        <v>282</v>
      </c>
      <c r="B11" s="173" t="s">
        <v>283</v>
      </c>
      <c r="C11" s="173" t="s">
        <v>284</v>
      </c>
      <c r="D11" s="173" t="s">
        <v>273</v>
      </c>
      <c r="E11" s="174">
        <v>46239</v>
      </c>
      <c r="F11" s="173" t="s">
        <v>263</v>
      </c>
      <c r="G11" s="173" t="s">
        <v>285</v>
      </c>
    </row>
    <row r="12" spans="1:7" ht="30" x14ac:dyDescent="0.25">
      <c r="A12" s="175" t="s">
        <v>265</v>
      </c>
      <c r="B12" s="175" t="s">
        <v>286</v>
      </c>
      <c r="C12" s="175" t="s">
        <v>287</v>
      </c>
      <c r="D12" s="175" t="s">
        <v>273</v>
      </c>
      <c r="E12" s="176">
        <v>46239</v>
      </c>
      <c r="F12" s="173" t="s">
        <v>263</v>
      </c>
      <c r="G12" s="175"/>
    </row>
    <row r="13" spans="1:7" ht="30" x14ac:dyDescent="0.25">
      <c r="A13" s="175" t="s">
        <v>9</v>
      </c>
      <c r="B13" s="175" t="s">
        <v>288</v>
      </c>
      <c r="C13" s="175" t="s">
        <v>289</v>
      </c>
      <c r="D13" s="175" t="s">
        <v>273</v>
      </c>
      <c r="E13" s="176">
        <v>46239</v>
      </c>
      <c r="F13" s="173" t="s">
        <v>263</v>
      </c>
      <c r="G13" s="175"/>
    </row>
    <row r="14" spans="1:7" x14ac:dyDescent="0.25">
      <c r="A14" s="175" t="s">
        <v>199</v>
      </c>
      <c r="B14" s="175" t="s">
        <v>290</v>
      </c>
      <c r="C14" s="175" t="s">
        <v>291</v>
      </c>
      <c r="D14" s="175" t="s">
        <v>292</v>
      </c>
      <c r="E14" s="176">
        <v>46241</v>
      </c>
      <c r="F14" s="173" t="s">
        <v>263</v>
      </c>
      <c r="G14" s="175"/>
    </row>
    <row r="15" spans="1:7" ht="45" x14ac:dyDescent="0.25">
      <c r="A15" s="175" t="s">
        <v>293</v>
      </c>
      <c r="B15" s="175" t="s">
        <v>294</v>
      </c>
      <c r="C15" s="175" t="s">
        <v>295</v>
      </c>
      <c r="D15" s="175" t="s">
        <v>262</v>
      </c>
      <c r="E15" s="176">
        <v>46241</v>
      </c>
      <c r="F15" s="173" t="s">
        <v>263</v>
      </c>
      <c r="G15" s="175"/>
    </row>
    <row r="16" spans="1:7" s="186" customFormat="1" ht="45" x14ac:dyDescent="0.25">
      <c r="A16" s="183" t="s">
        <v>296</v>
      </c>
      <c r="B16" s="183" t="s">
        <v>297</v>
      </c>
      <c r="C16" s="183" t="s">
        <v>298</v>
      </c>
      <c r="D16" s="183" t="s">
        <v>262</v>
      </c>
      <c r="E16" s="184">
        <v>46273</v>
      </c>
      <c r="F16" s="185" t="s">
        <v>299</v>
      </c>
      <c r="G16" s="183"/>
    </row>
    <row r="17" spans="1:7" s="186" customFormat="1" ht="45" x14ac:dyDescent="0.25">
      <c r="A17" s="183" t="s">
        <v>296</v>
      </c>
      <c r="B17" s="183" t="s">
        <v>297</v>
      </c>
      <c r="C17" s="183" t="s">
        <v>300</v>
      </c>
      <c r="D17" s="183" t="s">
        <v>262</v>
      </c>
      <c r="E17" s="184">
        <v>46273</v>
      </c>
      <c r="F17" s="185" t="s">
        <v>299</v>
      </c>
      <c r="G17" s="183"/>
    </row>
    <row r="18" spans="1:7" s="186" customFormat="1" x14ac:dyDescent="0.25">
      <c r="A18" s="183" t="s">
        <v>301</v>
      </c>
      <c r="B18" s="183" t="s">
        <v>302</v>
      </c>
      <c r="C18" s="183" t="s">
        <v>303</v>
      </c>
      <c r="D18" s="183" t="s">
        <v>262</v>
      </c>
      <c r="E18" s="184">
        <v>46275</v>
      </c>
      <c r="F18" s="185" t="s">
        <v>299</v>
      </c>
      <c r="G18" s="183"/>
    </row>
    <row r="19" spans="1:7" s="186" customFormat="1" ht="30" x14ac:dyDescent="0.25">
      <c r="A19" s="183" t="s">
        <v>304</v>
      </c>
      <c r="B19" s="183" t="s">
        <v>305</v>
      </c>
      <c r="C19" s="183" t="s">
        <v>306</v>
      </c>
      <c r="D19" s="183" t="s">
        <v>292</v>
      </c>
      <c r="E19" s="184">
        <v>46275</v>
      </c>
      <c r="F19" s="185" t="s">
        <v>299</v>
      </c>
      <c r="G19" s="183"/>
    </row>
    <row r="20" spans="1:7" s="186" customFormat="1" ht="30" x14ac:dyDescent="0.25">
      <c r="A20" s="183" t="s">
        <v>301</v>
      </c>
      <c r="B20" s="183" t="s">
        <v>307</v>
      </c>
      <c r="C20" s="183" t="s">
        <v>308</v>
      </c>
      <c r="D20" s="183" t="s">
        <v>292</v>
      </c>
      <c r="E20" s="184">
        <v>46272</v>
      </c>
      <c r="F20" s="185" t="s">
        <v>299</v>
      </c>
      <c r="G20" s="183"/>
    </row>
    <row r="21" spans="1:7" s="186" customFormat="1" ht="30" x14ac:dyDescent="0.25">
      <c r="A21" s="183" t="s">
        <v>265</v>
      </c>
      <c r="B21" s="183" t="s">
        <v>309</v>
      </c>
      <c r="C21" s="183" t="s">
        <v>310</v>
      </c>
      <c r="D21" s="183" t="s">
        <v>292</v>
      </c>
      <c r="E21" s="184">
        <v>46269</v>
      </c>
      <c r="F21" s="185" t="s">
        <v>263</v>
      </c>
      <c r="G21" s="183"/>
    </row>
    <row r="22" spans="1:7" s="186" customFormat="1" ht="30" x14ac:dyDescent="0.25">
      <c r="A22" s="183" t="s">
        <v>265</v>
      </c>
      <c r="B22" s="183" t="s">
        <v>309</v>
      </c>
      <c r="C22" s="183" t="s">
        <v>311</v>
      </c>
      <c r="D22" s="183" t="s">
        <v>312</v>
      </c>
      <c r="E22" s="184">
        <v>46275</v>
      </c>
      <c r="F22" s="185" t="s">
        <v>299</v>
      </c>
      <c r="G22" s="183"/>
    </row>
    <row r="23" spans="1:7" s="186" customFormat="1" x14ac:dyDescent="0.25">
      <c r="A23" s="183" t="s">
        <v>282</v>
      </c>
      <c r="B23" s="183" t="s">
        <v>313</v>
      </c>
      <c r="C23" s="183" t="s">
        <v>314</v>
      </c>
      <c r="D23" s="183" t="s">
        <v>262</v>
      </c>
      <c r="E23" s="184">
        <v>46283</v>
      </c>
      <c r="F23" s="185" t="s">
        <v>299</v>
      </c>
      <c r="G23" s="183"/>
    </row>
    <row r="24" spans="1:7" s="186" customFormat="1" x14ac:dyDescent="0.25">
      <c r="A24" s="183" t="s">
        <v>282</v>
      </c>
      <c r="B24" s="183" t="s">
        <v>313</v>
      </c>
      <c r="C24" s="183" t="s">
        <v>315</v>
      </c>
      <c r="D24" s="183" t="s">
        <v>312</v>
      </c>
      <c r="E24" s="184">
        <v>46275</v>
      </c>
      <c r="F24" s="185" t="s">
        <v>299</v>
      </c>
      <c r="G24" s="183"/>
    </row>
    <row r="25" spans="1:7" s="186" customFormat="1" ht="30" x14ac:dyDescent="0.25">
      <c r="A25" s="183" t="s">
        <v>316</v>
      </c>
      <c r="B25" s="183" t="s">
        <v>317</v>
      </c>
      <c r="C25" s="183" t="s">
        <v>318</v>
      </c>
      <c r="D25" s="183" t="s">
        <v>262</v>
      </c>
      <c r="E25" s="184">
        <v>46275</v>
      </c>
      <c r="F25" s="185" t="s">
        <v>299</v>
      </c>
      <c r="G25" s="183"/>
    </row>
  </sheetData>
  <mergeCells count="1">
    <mergeCell ref="A1:G1"/>
  </mergeCells>
  <conditionalFormatting sqref="A5:G25">
    <cfRule type="expression" dxfId="5" priority="2">
      <formula>AND($F5&lt;&gt;"Concluído",$E5&lt;&gt;"",$E5&lt;TODAY())</formula>
    </cfRule>
  </conditionalFormatting>
  <conditionalFormatting sqref="D13:G14">
    <cfRule type="expression" dxfId="4" priority="1">
      <formula>AND($F13&lt;&gt;"Concluído",$E13&lt;&gt;"",$E13&lt;TODAY())</formula>
    </cfRule>
  </conditionalFormatting>
  <dataValidations count="1">
    <dataValidation type="list" sqref="F5:F101" xr:uid="{D90C6B71-199B-4902-9326-962A048EE0BD}">
      <formula1>"Não iniciado,Em andamento,Impedido,Concluído"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N29"/>
  <sheetViews>
    <sheetView showGridLines="0" topLeftCell="A8" workbookViewId="0">
      <selection activeCell="B35" sqref="B35"/>
    </sheetView>
  </sheetViews>
  <sheetFormatPr defaultColWidth="8.7109375" defaultRowHeight="15" x14ac:dyDescent="0.25"/>
  <cols>
    <col min="1" max="1" width="25" style="169" customWidth="1"/>
    <col min="2" max="2" width="52" style="169" customWidth="1"/>
    <col min="3" max="3" width="70" style="169" customWidth="1"/>
    <col min="4" max="5" width="18" style="169" customWidth="1"/>
    <col min="6" max="6" width="16" style="169" customWidth="1"/>
    <col min="7" max="7" width="22" style="169" customWidth="1"/>
    <col min="8" max="8" width="32" style="169" customWidth="1"/>
    <col min="9" max="16384" width="8.7109375" style="169"/>
  </cols>
  <sheetData>
    <row r="1" spans="1:14" ht="30" customHeight="1" x14ac:dyDescent="0.25">
      <c r="A1" s="210" t="s">
        <v>319</v>
      </c>
      <c r="B1" s="210" t="s">
        <v>319</v>
      </c>
      <c r="C1" s="210" t="s">
        <v>319</v>
      </c>
      <c r="D1" s="210" t="s">
        <v>319</v>
      </c>
      <c r="E1" s="210" t="s">
        <v>319</v>
      </c>
      <c r="F1" s="210" t="s">
        <v>319</v>
      </c>
      <c r="G1" s="210" t="s">
        <v>319</v>
      </c>
      <c r="H1" s="210" t="s">
        <v>319</v>
      </c>
      <c r="J1" s="211" t="s">
        <v>320</v>
      </c>
      <c r="K1" s="211" t="s">
        <v>320</v>
      </c>
      <c r="L1" s="211" t="s">
        <v>320</v>
      </c>
      <c r="M1" s="211" t="s">
        <v>320</v>
      </c>
      <c r="N1" s="211" t="s">
        <v>320</v>
      </c>
    </row>
    <row r="2" spans="1:14" x14ac:dyDescent="0.25">
      <c r="A2" s="177" t="s">
        <v>252</v>
      </c>
      <c r="B2" s="178">
        <v>46265</v>
      </c>
      <c r="J2" s="179" t="s">
        <v>321</v>
      </c>
      <c r="K2" s="180">
        <f>COUNTIF($D$5:$D$29,"&lt;&gt;Concluído")</f>
        <v>9</v>
      </c>
      <c r="L2" s="179" t="s">
        <v>322</v>
      </c>
      <c r="M2" s="180">
        <f ca="1">COUNTIFS($D$5:$D$29,"&lt;&gt;Concluído",$F$5:$F$29,"&lt;&gt;",$F$5:$F$29,"&lt;"&amp;TODAY())</f>
        <v>8</v>
      </c>
    </row>
    <row r="3" spans="1:14" x14ac:dyDescent="0.25">
      <c r="J3" s="179" t="s">
        <v>323</v>
      </c>
      <c r="K3" s="180">
        <f>COUNTIF($D$5:$D$29,"Concluído")</f>
        <v>16</v>
      </c>
      <c r="L3" s="179" t="s">
        <v>324</v>
      </c>
      <c r="M3" s="180">
        <f>COUNTIF($D$5:$D$29,"Impedido")</f>
        <v>2</v>
      </c>
    </row>
    <row r="4" spans="1:14" ht="24" customHeight="1" x14ac:dyDescent="0.25">
      <c r="A4" s="181" t="s">
        <v>253</v>
      </c>
      <c r="B4" s="181" t="s">
        <v>325</v>
      </c>
      <c r="C4" s="181" t="s">
        <v>326</v>
      </c>
      <c r="D4" s="181" t="s">
        <v>258</v>
      </c>
      <c r="E4" s="181" t="s">
        <v>327</v>
      </c>
      <c r="F4" s="181" t="s">
        <v>328</v>
      </c>
      <c r="G4" s="181" t="s">
        <v>256</v>
      </c>
      <c r="H4" s="181" t="s">
        <v>259</v>
      </c>
    </row>
    <row r="5" spans="1:14" ht="135.94999999999999" customHeight="1" x14ac:dyDescent="0.25">
      <c r="A5" s="187" t="s">
        <v>329</v>
      </c>
      <c r="B5" s="187" t="s">
        <v>330</v>
      </c>
      <c r="C5" s="187" t="s">
        <v>331</v>
      </c>
      <c r="D5" s="187" t="s">
        <v>263</v>
      </c>
      <c r="E5" s="188">
        <v>46251</v>
      </c>
      <c r="F5" s="188">
        <v>46234</v>
      </c>
      <c r="G5" s="187" t="s">
        <v>332</v>
      </c>
      <c r="H5" s="187"/>
    </row>
    <row r="6" spans="1:14" ht="243" customHeight="1" x14ac:dyDescent="0.25">
      <c r="A6" s="187" t="s">
        <v>333</v>
      </c>
      <c r="B6" s="187" t="s">
        <v>334</v>
      </c>
      <c r="C6" s="187" t="s">
        <v>335</v>
      </c>
      <c r="D6" s="187" t="s">
        <v>263</v>
      </c>
      <c r="E6" s="188">
        <v>46251</v>
      </c>
      <c r="F6" s="188">
        <v>46234</v>
      </c>
      <c r="G6" s="187" t="s">
        <v>336</v>
      </c>
      <c r="H6" s="187"/>
    </row>
    <row r="7" spans="1:14" ht="215.1" customHeight="1" x14ac:dyDescent="0.25">
      <c r="A7" s="187" t="s">
        <v>337</v>
      </c>
      <c r="B7" s="187" t="s">
        <v>338</v>
      </c>
      <c r="C7" s="187" t="s">
        <v>339</v>
      </c>
      <c r="D7" s="187" t="s">
        <v>299</v>
      </c>
      <c r="E7" s="188">
        <v>46251</v>
      </c>
      <c r="F7" s="188">
        <v>46234</v>
      </c>
      <c r="G7" s="187" t="s">
        <v>336</v>
      </c>
      <c r="H7" s="187"/>
    </row>
    <row r="8" spans="1:14" ht="240.6" customHeight="1" x14ac:dyDescent="0.25">
      <c r="A8" s="187" t="s">
        <v>340</v>
      </c>
      <c r="B8" s="187" t="s">
        <v>341</v>
      </c>
      <c r="C8" s="187" t="s">
        <v>342</v>
      </c>
      <c r="D8" s="187" t="s">
        <v>263</v>
      </c>
      <c r="E8" s="188">
        <v>46244</v>
      </c>
      <c r="F8" s="188">
        <v>46234</v>
      </c>
      <c r="G8" s="187" t="s">
        <v>332</v>
      </c>
      <c r="H8" s="187"/>
    </row>
    <row r="9" spans="1:14" ht="108.75" customHeight="1" x14ac:dyDescent="0.25">
      <c r="A9" s="187" t="s">
        <v>340</v>
      </c>
      <c r="B9" s="187" t="s">
        <v>341</v>
      </c>
      <c r="C9" s="187" t="s">
        <v>343</v>
      </c>
      <c r="D9" s="187" t="s">
        <v>299</v>
      </c>
      <c r="E9" s="188">
        <v>46251</v>
      </c>
      <c r="F9" s="188">
        <v>46241</v>
      </c>
      <c r="G9" s="187" t="s">
        <v>344</v>
      </c>
      <c r="H9" s="187"/>
    </row>
    <row r="10" spans="1:14" ht="198" customHeight="1" x14ac:dyDescent="0.25">
      <c r="A10" s="187" t="s">
        <v>345</v>
      </c>
      <c r="B10" s="187" t="s">
        <v>346</v>
      </c>
      <c r="C10" s="187" t="s">
        <v>347</v>
      </c>
      <c r="D10" s="187" t="s">
        <v>299</v>
      </c>
      <c r="E10" s="188">
        <v>46251</v>
      </c>
      <c r="F10" s="188">
        <v>46217</v>
      </c>
      <c r="G10" s="187" t="s">
        <v>348</v>
      </c>
      <c r="H10" s="187"/>
    </row>
    <row r="11" spans="1:14" ht="149.25" customHeight="1" x14ac:dyDescent="0.25">
      <c r="A11" s="187" t="s">
        <v>345</v>
      </c>
      <c r="B11" s="187" t="s">
        <v>346</v>
      </c>
      <c r="C11" s="187" t="s">
        <v>349</v>
      </c>
      <c r="D11" s="187" t="s">
        <v>350</v>
      </c>
      <c r="E11" s="188">
        <v>46244</v>
      </c>
      <c r="F11" s="188">
        <v>46234</v>
      </c>
      <c r="G11" s="187" t="s">
        <v>351</v>
      </c>
      <c r="H11" s="187"/>
    </row>
    <row r="12" spans="1:14" ht="118.9" customHeight="1" x14ac:dyDescent="0.25">
      <c r="A12" s="187" t="s">
        <v>345</v>
      </c>
      <c r="B12" s="187" t="s">
        <v>346</v>
      </c>
      <c r="C12" s="187" t="s">
        <v>352</v>
      </c>
      <c r="D12" s="187" t="s">
        <v>263</v>
      </c>
      <c r="E12" s="188">
        <v>46251</v>
      </c>
      <c r="F12" s="188">
        <v>46220</v>
      </c>
      <c r="G12" s="187" t="s">
        <v>344</v>
      </c>
      <c r="H12" s="187"/>
    </row>
    <row r="13" spans="1:14" ht="132" customHeight="1" x14ac:dyDescent="0.25">
      <c r="A13" s="187" t="s">
        <v>353</v>
      </c>
      <c r="B13" s="187" t="s">
        <v>354</v>
      </c>
      <c r="C13" s="187" t="s">
        <v>355</v>
      </c>
      <c r="D13" s="187" t="s">
        <v>263</v>
      </c>
      <c r="E13" s="188">
        <v>46244</v>
      </c>
      <c r="F13" s="188">
        <v>46217</v>
      </c>
      <c r="G13" s="187" t="s">
        <v>332</v>
      </c>
      <c r="H13" s="187"/>
    </row>
    <row r="14" spans="1:14" ht="118.9" customHeight="1" x14ac:dyDescent="0.25">
      <c r="A14" s="187" t="s">
        <v>353</v>
      </c>
      <c r="B14" s="187" t="s">
        <v>354</v>
      </c>
      <c r="C14" s="187" t="s">
        <v>356</v>
      </c>
      <c r="D14" s="187" t="s">
        <v>263</v>
      </c>
      <c r="E14" s="188">
        <v>46244</v>
      </c>
      <c r="F14" s="188">
        <v>46234</v>
      </c>
      <c r="G14" s="187" t="s">
        <v>332</v>
      </c>
      <c r="H14" s="187"/>
    </row>
    <row r="15" spans="1:14" ht="123.75" customHeight="1" x14ac:dyDescent="0.25">
      <c r="A15" s="187" t="s">
        <v>353</v>
      </c>
      <c r="B15" s="187" t="s">
        <v>354</v>
      </c>
      <c r="C15" s="187" t="s">
        <v>357</v>
      </c>
      <c r="D15" s="187" t="s">
        <v>350</v>
      </c>
      <c r="E15" s="188">
        <v>46234</v>
      </c>
      <c r="F15" s="188">
        <v>46234</v>
      </c>
      <c r="G15" s="187" t="s">
        <v>332</v>
      </c>
      <c r="H15" s="187" t="s">
        <v>358</v>
      </c>
    </row>
    <row r="16" spans="1:14" ht="216" customHeight="1" x14ac:dyDescent="0.25">
      <c r="A16" s="187" t="s">
        <v>359</v>
      </c>
      <c r="B16" s="187" t="s">
        <v>360</v>
      </c>
      <c r="C16" s="187" t="s">
        <v>361</v>
      </c>
      <c r="D16" s="187" t="s">
        <v>299</v>
      </c>
      <c r="E16" s="188">
        <v>46251</v>
      </c>
      <c r="F16" s="188">
        <v>46236</v>
      </c>
      <c r="G16" s="187" t="s">
        <v>336</v>
      </c>
      <c r="H16" s="187"/>
    </row>
    <row r="17" spans="1:8" ht="105.6" customHeight="1" x14ac:dyDescent="0.25">
      <c r="A17" s="187" t="s">
        <v>359</v>
      </c>
      <c r="B17" s="187" t="s">
        <v>362</v>
      </c>
      <c r="C17" s="187" t="s">
        <v>363</v>
      </c>
      <c r="D17" s="187" t="s">
        <v>263</v>
      </c>
      <c r="E17" s="188">
        <v>46217</v>
      </c>
      <c r="F17" s="188">
        <v>46256</v>
      </c>
      <c r="G17" s="187" t="s">
        <v>336</v>
      </c>
      <c r="H17" s="187"/>
    </row>
    <row r="18" spans="1:8" ht="79.150000000000006" customHeight="1" x14ac:dyDescent="0.25">
      <c r="A18" s="187" t="s">
        <v>364</v>
      </c>
      <c r="B18" s="187" t="s">
        <v>365</v>
      </c>
      <c r="C18" s="187" t="s">
        <v>366</v>
      </c>
      <c r="D18" s="187" t="s">
        <v>299</v>
      </c>
      <c r="E18" s="188">
        <v>46251</v>
      </c>
      <c r="F18" s="188">
        <v>46233</v>
      </c>
      <c r="G18" s="187" t="s">
        <v>344</v>
      </c>
      <c r="H18" s="187"/>
    </row>
    <row r="19" spans="1:8" ht="135.6" customHeight="1" x14ac:dyDescent="0.25">
      <c r="A19" s="187" t="s">
        <v>367</v>
      </c>
      <c r="B19" s="187" t="s">
        <v>368</v>
      </c>
      <c r="C19" s="187" t="s">
        <v>369</v>
      </c>
      <c r="D19" s="187" t="s">
        <v>263</v>
      </c>
      <c r="E19" s="188">
        <v>46237</v>
      </c>
      <c r="F19" s="188">
        <v>46223</v>
      </c>
      <c r="G19" s="187" t="s">
        <v>332</v>
      </c>
      <c r="H19" s="187"/>
    </row>
    <row r="20" spans="1:8" ht="105.6" customHeight="1" x14ac:dyDescent="0.25">
      <c r="A20" s="187" t="s">
        <v>367</v>
      </c>
      <c r="B20" s="187" t="s">
        <v>368</v>
      </c>
      <c r="C20" s="187" t="s">
        <v>370</v>
      </c>
      <c r="D20" s="187" t="s">
        <v>263</v>
      </c>
      <c r="E20" s="188">
        <v>46251</v>
      </c>
      <c r="F20" s="188">
        <v>46223</v>
      </c>
      <c r="G20" s="187" t="s">
        <v>336</v>
      </c>
      <c r="H20" s="187"/>
    </row>
    <row r="21" spans="1:8" ht="166.5" customHeight="1" x14ac:dyDescent="0.25">
      <c r="A21" s="187" t="s">
        <v>371</v>
      </c>
      <c r="B21" s="187" t="s">
        <v>372</v>
      </c>
      <c r="C21" s="187" t="s">
        <v>373</v>
      </c>
      <c r="D21" s="187" t="s">
        <v>299</v>
      </c>
      <c r="E21" s="188">
        <v>46242</v>
      </c>
      <c r="F21" s="188">
        <v>46220</v>
      </c>
      <c r="G21" s="187" t="s">
        <v>332</v>
      </c>
      <c r="H21" s="187"/>
    </row>
    <row r="22" spans="1:8" ht="105.6" customHeight="1" x14ac:dyDescent="0.25">
      <c r="A22" s="187" t="s">
        <v>374</v>
      </c>
      <c r="B22" s="187" t="s">
        <v>375</v>
      </c>
      <c r="C22" s="187" t="s">
        <v>376</v>
      </c>
      <c r="D22" s="187" t="s">
        <v>263</v>
      </c>
      <c r="E22" s="188">
        <v>46237</v>
      </c>
      <c r="F22" s="188">
        <v>46234</v>
      </c>
      <c r="G22" s="187" t="s">
        <v>377</v>
      </c>
      <c r="H22" s="187"/>
    </row>
    <row r="23" spans="1:8" ht="39.6" customHeight="1" x14ac:dyDescent="0.25">
      <c r="A23" s="187" t="s">
        <v>374</v>
      </c>
      <c r="B23" s="187" t="s">
        <v>375</v>
      </c>
      <c r="C23" s="187" t="s">
        <v>378</v>
      </c>
      <c r="D23" s="187" t="s">
        <v>263</v>
      </c>
      <c r="E23" s="188">
        <v>46237</v>
      </c>
      <c r="F23" s="188">
        <v>46230</v>
      </c>
      <c r="G23" s="187" t="s">
        <v>344</v>
      </c>
      <c r="H23" s="187" t="s">
        <v>379</v>
      </c>
    </row>
    <row r="24" spans="1:8" ht="66" customHeight="1" x14ac:dyDescent="0.25">
      <c r="A24" s="187" t="s">
        <v>380</v>
      </c>
      <c r="B24" s="187" t="s">
        <v>381</v>
      </c>
      <c r="C24" s="187" t="s">
        <v>382</v>
      </c>
      <c r="D24" s="187" t="s">
        <v>263</v>
      </c>
      <c r="E24" s="188">
        <v>46223</v>
      </c>
      <c r="F24" s="188">
        <v>46220</v>
      </c>
      <c r="G24" s="187" t="s">
        <v>344</v>
      </c>
      <c r="H24" s="187"/>
    </row>
    <row r="25" spans="1:8" ht="52.7" customHeight="1" x14ac:dyDescent="0.25">
      <c r="A25" s="187" t="s">
        <v>380</v>
      </c>
      <c r="B25" s="187" t="s">
        <v>381</v>
      </c>
      <c r="C25" s="187" t="s">
        <v>383</v>
      </c>
      <c r="D25" s="187" t="s">
        <v>263</v>
      </c>
      <c r="E25" s="188">
        <v>46230</v>
      </c>
      <c r="F25" s="188">
        <v>46234</v>
      </c>
      <c r="G25" s="187" t="s">
        <v>336</v>
      </c>
      <c r="H25" s="187"/>
    </row>
    <row r="26" spans="1:8" ht="52.7" customHeight="1" x14ac:dyDescent="0.25">
      <c r="A26" s="187" t="s">
        <v>380</v>
      </c>
      <c r="B26" s="187" t="s">
        <v>381</v>
      </c>
      <c r="C26" s="187" t="s">
        <v>384</v>
      </c>
      <c r="D26" s="187" t="s">
        <v>263</v>
      </c>
      <c r="E26" s="188">
        <v>46237</v>
      </c>
      <c r="F26" s="188">
        <v>46234</v>
      </c>
      <c r="G26" s="187" t="s">
        <v>336</v>
      </c>
      <c r="H26" s="187" t="s">
        <v>385</v>
      </c>
    </row>
    <row r="27" spans="1:8" ht="105.6" customHeight="1" x14ac:dyDescent="0.25">
      <c r="A27" s="187" t="s">
        <v>386</v>
      </c>
      <c r="B27" s="187" t="s">
        <v>387</v>
      </c>
      <c r="C27" s="187" t="s">
        <v>388</v>
      </c>
      <c r="D27" s="187" t="s">
        <v>263</v>
      </c>
      <c r="E27" s="188">
        <v>46230</v>
      </c>
      <c r="F27" s="188">
        <v>46240</v>
      </c>
      <c r="G27" s="187" t="s">
        <v>336</v>
      </c>
      <c r="H27" s="187"/>
    </row>
    <row r="28" spans="1:8" ht="92.45" customHeight="1" x14ac:dyDescent="0.25">
      <c r="A28" s="187" t="s">
        <v>389</v>
      </c>
      <c r="B28" s="187" t="s">
        <v>390</v>
      </c>
      <c r="C28" s="187" t="s">
        <v>391</v>
      </c>
      <c r="D28" s="187" t="s">
        <v>263</v>
      </c>
      <c r="E28" s="188">
        <v>46251</v>
      </c>
      <c r="F28" s="188" t="e">
        <f>[2]!PlanoAcaoCoordTable4[[#This Row],[Data da atualização]]</f>
        <v>#REF!</v>
      </c>
      <c r="G28" s="187" t="s">
        <v>392</v>
      </c>
      <c r="H28" s="187"/>
    </row>
    <row r="29" spans="1:8" ht="120" customHeight="1" x14ac:dyDescent="0.25">
      <c r="A29" s="189" t="s">
        <v>393</v>
      </c>
      <c r="B29" s="189" t="s">
        <v>394</v>
      </c>
      <c r="C29" s="189" t="s">
        <v>395</v>
      </c>
      <c r="D29" s="189" t="s">
        <v>299</v>
      </c>
      <c r="E29" s="190">
        <v>46251</v>
      </c>
      <c r="F29" s="190">
        <v>46368</v>
      </c>
      <c r="G29" s="189" t="s">
        <v>348</v>
      </c>
      <c r="H29" s="189"/>
    </row>
  </sheetData>
  <mergeCells count="2">
    <mergeCell ref="A1:H1"/>
    <mergeCell ref="J1:N1"/>
  </mergeCells>
  <conditionalFormatting sqref="A5:H29">
    <cfRule type="expression" dxfId="3" priority="3">
      <formula>AND($D5&lt;&gt;"Concluído",$F5&lt;&gt;"",$F5&lt;TODAY())</formula>
    </cfRule>
    <cfRule type="expression" dxfId="2" priority="4">
      <formula>$D5="Concluído"</formula>
    </cfRule>
  </conditionalFormatting>
  <conditionalFormatting sqref="A29:H29">
    <cfRule type="expression" dxfId="1" priority="1">
      <formula>AND($D29&lt;&gt;"Concluído",$F29&lt;&gt;"",$F29&lt;TODAY())</formula>
    </cfRule>
    <cfRule type="expression" dxfId="0" priority="2">
      <formula>$D29="Concluído"</formula>
    </cfRule>
  </conditionalFormatting>
  <dataValidations count="1">
    <dataValidation type="list" sqref="D5:D200" xr:uid="{DC488AAA-61B8-4A8E-A874-6D2B85D4D97C}">
      <formula1>"Não iniciado,Em andamento,Impedido,Concluído"</formula1>
    </dataValidation>
  </dataValidations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340ed6a7-0f03-43d9-901d-02d4a7e408aa}" enabled="1" method="Privileged" siteId="{7893571b-6c2c-4cef-b4da-7d4b266a06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ENTRADA</vt:lpstr>
      <vt:lpstr>CURVAS</vt:lpstr>
      <vt:lpstr>HISTOGRAMA</vt:lpstr>
      <vt:lpstr>SERVIÇOS NOTÁVEIS</vt:lpstr>
      <vt:lpstr>LASTRO</vt:lpstr>
      <vt:lpstr>MATERIAIS</vt:lpstr>
      <vt:lpstr>PONTOS DE ATENÇÃO</vt:lpstr>
      <vt:lpstr>PLANO DE AÇÃO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Thyago Viégas</dc:creator>
  <cp:keywords/>
  <dc:description/>
  <cp:lastModifiedBy>MARCO AURELIO GOMES ABREU_CONTR</cp:lastModifiedBy>
  <cp:revision/>
  <cp:lastPrinted>2026-10-20T13:11:35Z</cp:lastPrinted>
  <dcterms:created xsi:type="dcterms:W3CDTF">2026-08-27T18:25:05Z</dcterms:created>
  <dcterms:modified xsi:type="dcterms:W3CDTF">2026-10-20T13:18:03Z</dcterms:modified>
  <cp:category/>
  <cp:contentStatus/>
</cp:coreProperties>
</file>