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555" documentId="13_ncr:1_{4854DFB7-E9B4-409C-A843-569908145318}" xr6:coauthVersionLast="47" xr6:coauthVersionMax="47" xr10:uidLastSave="{598D903D-53BA-4F67-BFC9-0EBCDF09814A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6" l="1"/>
  <c r="N5" i="6"/>
  <c r="O5" i="6"/>
  <c r="P5" i="6"/>
  <c r="Q5" i="6"/>
  <c r="R5" i="6"/>
  <c r="S5" i="6"/>
  <c r="T5" i="6"/>
  <c r="U5" i="6"/>
  <c r="V5" i="6"/>
  <c r="W5" i="6"/>
  <c r="X5" i="6"/>
  <c r="L5" i="6"/>
  <c r="U2" i="18" l="1"/>
  <c r="V4" i="18" s="1"/>
  <c r="W4" i="18" s="1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2" i="18"/>
  <c r="V5" i="18" l="1"/>
  <c r="J17" i="6" l="1"/>
  <c r="J15" i="6"/>
  <c r="J5" i="6"/>
  <c r="J6" i="6"/>
  <c r="I62" i="8" l="1"/>
  <c r="I51" i="8"/>
  <c r="I29" i="8"/>
  <c r="I18" i="8"/>
  <c r="I7" i="8"/>
  <c r="K8" i="6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  <c r="L15" i="6" l="1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<sst xmlns="http://schemas.openxmlformats.org/spreadsheetml/2006/main" count="1089" uniqueCount="396">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</sst>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1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43" fontId="0" fillId="0" borderId="0" xfId="6" applyFont="1"/>
    <xf numFmtId="43" fontId="0" fillId="0" borderId="0" xfId="0" applyNumberFormat="1"/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10" workbookViewId="0">
      <pane xSplit="2" ySplit="4" topLeftCell="C26" activePane="bottomRight" state="frozen"/>
      <selection activeCell="A10" sqref="A10"/>
      <selection pane="topRight" activeCell="C10" sqref="C10"/>
      <selection pane="bottomLeft" activeCell="A14" sqref="A14"/>
      <selection pane="bottomRight" activeCell="E37" sqref="E37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6" hidden="1" x14ac:dyDescent="0.25"/>
    <row r="2" spans="2:16" ht="21.75" hidden="1" customHeight="1" x14ac:dyDescent="0.25">
      <c r="B2" s="193" t="s">
        <v>0</v>
      </c>
      <c r="C2" s="194"/>
      <c r="D2" s="194"/>
      <c r="E2" s="194"/>
      <c r="F2" s="194"/>
      <c r="G2" s="194"/>
    </row>
    <row r="3" spans="2:16" ht="15" hidden="1" customHeight="1" x14ac:dyDescent="0.25">
      <c r="B3" s="195" t="s">
        <v>1</v>
      </c>
      <c r="C3" s="196"/>
      <c r="D3" s="196"/>
      <c r="E3" s="196"/>
      <c r="F3" s="196"/>
      <c r="G3" s="197"/>
    </row>
    <row r="4" spans="2:16" ht="15" hidden="1" customHeight="1" x14ac:dyDescent="0.25">
      <c r="B4" s="198"/>
      <c r="C4" s="194"/>
      <c r="D4" s="194"/>
      <c r="E4" s="194"/>
      <c r="F4" s="194"/>
      <c r="G4" s="199"/>
    </row>
    <row r="5" spans="2:16" ht="15" hidden="1" customHeight="1" x14ac:dyDescent="0.25">
      <c r="B5" s="198"/>
      <c r="C5" s="194"/>
      <c r="D5" s="194"/>
      <c r="E5" s="194"/>
      <c r="F5" s="194"/>
      <c r="G5" s="199"/>
    </row>
    <row r="6" spans="2:16" ht="15" hidden="1" customHeight="1" x14ac:dyDescent="0.25">
      <c r="B6" s="198"/>
      <c r="C6" s="194"/>
      <c r="D6" s="194"/>
      <c r="E6" s="194"/>
      <c r="F6" s="194"/>
      <c r="G6" s="199"/>
    </row>
    <row r="7" spans="2:16" ht="15" hidden="1" customHeight="1" x14ac:dyDescent="0.25">
      <c r="B7" s="200"/>
      <c r="C7" s="201"/>
      <c r="D7" s="201"/>
      <c r="E7" s="201"/>
      <c r="F7" s="201"/>
      <c r="G7" s="202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0">
        <v>46291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</row>
    <row r="14" spans="2:16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>
        <v>105010</v>
      </c>
      <c r="N14" s="79">
        <v>105184</v>
      </c>
      <c r="O14" s="78"/>
      <c r="P14" s="79"/>
    </row>
    <row r="15" spans="2:16" ht="15" customHeight="1" x14ac:dyDescent="0.25">
      <c r="B15" s="77" t="s">
        <v>9</v>
      </c>
      <c r="C15" s="78">
        <v>0</v>
      </c>
      <c r="D15" s="79">
        <v>105300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</row>
    <row r="16" spans="2:16" ht="15" customHeight="1" x14ac:dyDescent="0.25">
      <c r="B16" s="77" t="s">
        <v>10</v>
      </c>
      <c r="C16" s="78">
        <v>0</v>
      </c>
      <c r="D16" s="79">
        <v>85240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</row>
    <row r="17" spans="2:16" ht="15" customHeight="1" x14ac:dyDescent="0.25">
      <c r="B17" s="77" t="s">
        <v>11</v>
      </c>
      <c r="C17" s="78">
        <v>0</v>
      </c>
      <c r="D17" s="79">
        <v>85220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</row>
    <row r="18" spans="2:16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  <c r="O18" s="78"/>
      <c r="P18" s="79"/>
    </row>
    <row r="19" spans="2:16" ht="15" customHeight="1" x14ac:dyDescent="0.25">
      <c r="B19" s="77" t="s">
        <v>13</v>
      </c>
      <c r="C19" s="78">
        <v>0</v>
      </c>
      <c r="D19" s="79">
        <v>52000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  <c r="O19" s="78"/>
      <c r="P19" s="79"/>
    </row>
    <row r="20" spans="2:16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55400</v>
      </c>
      <c r="G20" s="78">
        <v>60000</v>
      </c>
      <c r="H20" s="79">
        <v>71000</v>
      </c>
      <c r="I20" s="78">
        <v>71775</v>
      </c>
      <c r="J20" s="79">
        <v>75100</v>
      </c>
      <c r="K20" s="78"/>
      <c r="L20" s="79"/>
      <c r="M20" s="78"/>
      <c r="N20" s="79"/>
      <c r="O20" s="78"/>
      <c r="P20" s="79"/>
    </row>
    <row r="21" spans="2:16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40000</v>
      </c>
      <c r="I21" s="78">
        <v>40120</v>
      </c>
      <c r="J21" s="79">
        <v>45680</v>
      </c>
      <c r="K21" s="78">
        <v>71775</v>
      </c>
      <c r="L21" s="79">
        <v>71940</v>
      </c>
      <c r="M21" s="78">
        <v>47030</v>
      </c>
      <c r="N21" s="79">
        <v>48180</v>
      </c>
      <c r="O21" s="78">
        <v>61300</v>
      </c>
      <c r="P21" s="79">
        <v>61700</v>
      </c>
    </row>
    <row r="22" spans="2:16" ht="15" customHeight="1" x14ac:dyDescent="0.25">
      <c r="B22" s="77" t="s">
        <v>16</v>
      </c>
      <c r="C22" s="78">
        <v>0</v>
      </c>
      <c r="D22" s="79">
        <v>47000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</row>
    <row r="23" spans="2:16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40060</v>
      </c>
      <c r="K23" s="78">
        <v>40100</v>
      </c>
      <c r="L23" s="79">
        <v>41500</v>
      </c>
      <c r="M23" s="78">
        <v>41500</v>
      </c>
      <c r="N23" s="79">
        <v>47010</v>
      </c>
      <c r="O23" s="78"/>
      <c r="P23" s="79"/>
    </row>
    <row r="24" spans="2:16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45000</v>
      </c>
      <c r="G24" s="78"/>
      <c r="H24" s="79"/>
      <c r="I24" s="78"/>
      <c r="J24" s="79"/>
      <c r="K24" s="78"/>
      <c r="L24" s="79"/>
      <c r="M24" s="78"/>
      <c r="N24" s="79"/>
      <c r="O24" s="78"/>
      <c r="P24" s="79"/>
    </row>
    <row r="25" spans="2:16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  <c r="O25" s="78"/>
      <c r="P25" s="79"/>
    </row>
    <row r="26" spans="2:16" ht="15" customHeight="1" x14ac:dyDescent="0.25"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</row>
    <row r="27" spans="2:16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21540</v>
      </c>
      <c r="G27" s="78">
        <v>23020</v>
      </c>
      <c r="H27" s="79">
        <v>37020</v>
      </c>
      <c r="I27" s="78"/>
      <c r="J27" s="79"/>
      <c r="K27" s="78"/>
      <c r="L27" s="79"/>
      <c r="M27" s="78"/>
      <c r="N27" s="79"/>
      <c r="O27" s="78"/>
      <c r="P27" s="79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106160</v>
      </c>
    </row>
    <row r="34" spans="2:5" ht="15" customHeight="1" x14ac:dyDescent="0.25">
      <c r="B34" s="192" t="s">
        <v>29</v>
      </c>
      <c r="C34" s="81">
        <v>107440</v>
      </c>
      <c r="D34" s="81">
        <v>108500</v>
      </c>
    </row>
    <row r="35" spans="2:5" ht="15" customHeight="1" x14ac:dyDescent="0.25">
      <c r="B35" s="192" t="s">
        <v>30</v>
      </c>
      <c r="C35" s="81">
        <v>109200</v>
      </c>
      <c r="D35" s="81">
        <v>110700</v>
      </c>
    </row>
    <row r="36" spans="2:5" ht="15" customHeight="1" x14ac:dyDescent="0.25">
      <c r="B36" s="192" t="s">
        <v>31</v>
      </c>
      <c r="C36" s="81">
        <v>112720</v>
      </c>
      <c r="D36" s="81">
        <v>114720</v>
      </c>
    </row>
    <row r="37" spans="2:5" ht="15" customHeight="1" x14ac:dyDescent="0.25">
      <c r="B37" s="192" t="s">
        <v>32</v>
      </c>
      <c r="C37" s="81"/>
      <c r="D37" s="81"/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31" workbookViewId="0">
      <selection activeCell="X14" sqref="X14"/>
    </sheetView>
  </sheetViews>
  <sheetFormatPr defaultRowHeight="15" outlineLevelCol="1" x14ac:dyDescent="0.25"/>
  <cols>
    <col min="1" max="1" width="27.42578125" style="7" customWidth="1"/>
    <col min="2" max="10" width="9.140625" style="7" customWidth="1" outlineLevel="1"/>
    <col min="11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f>L6-K6</f>
        <v>7.1195414356986897E-2</v>
      </c>
      <c r="M5" s="62">
        <f t="shared" ref="M5:X5" si="1">M6-L6</f>
        <v>8.188176322115398E-2</v>
      </c>
      <c r="N5" s="62">
        <f t="shared" si="1"/>
        <v>4.8233907822541167E-2</v>
      </c>
      <c r="O5" s="62">
        <f t="shared" si="1"/>
        <v>5.7602435507203731E-2</v>
      </c>
      <c r="P5" s="62">
        <f t="shared" si="1"/>
        <v>5.9597632283525326E-2</v>
      </c>
      <c r="Q5" s="62">
        <f t="shared" si="1"/>
        <v>6.6399322145811235E-2</v>
      </c>
      <c r="R5" s="62">
        <f t="shared" si="1"/>
        <v>6.337337741019422E-2</v>
      </c>
      <c r="S5" s="62">
        <f t="shared" si="1"/>
        <v>6.5918181443970547E-2</v>
      </c>
      <c r="T5" s="62">
        <f t="shared" si="1"/>
        <v>7.6648971764140539E-2</v>
      </c>
      <c r="U5" s="62">
        <f t="shared" si="1"/>
        <v>5.8794301524071946E-2</v>
      </c>
      <c r="V5" s="62">
        <f t="shared" si="1"/>
        <v>5.350472654669014E-2</v>
      </c>
      <c r="W5" s="62">
        <f t="shared" si="1"/>
        <v>5.3740477450843316E-2</v>
      </c>
      <c r="X5" s="62">
        <f t="shared" si="1"/>
        <v>4.4939541135864403E-3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v>0.23861553440928052</v>
      </c>
      <c r="L6" s="62">
        <v>0.30981094876626741</v>
      </c>
      <c r="M6" s="62">
        <v>0.39169271198742139</v>
      </c>
      <c r="N6" s="62">
        <v>0.43992661980996256</v>
      </c>
      <c r="O6" s="62">
        <v>0.49752905531716629</v>
      </c>
      <c r="P6" s="62">
        <v>0.55712668760069162</v>
      </c>
      <c r="Q6" s="62">
        <v>0.62352600974650285</v>
      </c>
      <c r="R6" s="62">
        <v>0.68689938715669707</v>
      </c>
      <c r="S6" s="62">
        <v>0.75281756860066762</v>
      </c>
      <c r="T6" s="62">
        <v>0.82946654036480816</v>
      </c>
      <c r="U6" s="62">
        <v>0.8882608418888801</v>
      </c>
      <c r="V6" s="62">
        <v>0.94176556843557024</v>
      </c>
      <c r="W6" s="62">
        <v>0.99550604588641356</v>
      </c>
      <c r="X6" s="62">
        <v>1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4.3200000000000016E-2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0.22430000000000003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7.1195414356986897E-2</v>
      </c>
      <c r="M14" s="62">
        <v>8.188176322115398E-2</v>
      </c>
      <c r="N14" s="62">
        <v>4.8233907822541167E-2</v>
      </c>
      <c r="O14" s="62">
        <v>5.7602435507203731E-2</v>
      </c>
      <c r="P14" s="62">
        <v>5.9597632283525326E-2</v>
      </c>
      <c r="Q14" s="62">
        <v>6.6399322145811235E-2</v>
      </c>
      <c r="R14" s="62">
        <v>6.337337741019422E-2</v>
      </c>
      <c r="S14" s="62">
        <v>6.5918181443970547E-2</v>
      </c>
      <c r="T14" s="62">
        <v>7.6648971764140539E-2</v>
      </c>
      <c r="U14" s="62">
        <v>5.8794301524071946E-2</v>
      </c>
      <c r="V14" s="62">
        <v>5.350472654669014E-2</v>
      </c>
      <c r="W14" s="62">
        <v>5.3740477450843316E-2</v>
      </c>
      <c r="X14" s="62"/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0.31757461086508326</v>
      </c>
      <c r="M15" s="62">
        <f t="shared" si="3"/>
        <v>0.39945637408623724</v>
      </c>
      <c r="N15" s="62">
        <f t="shared" si="3"/>
        <v>0.44769028190877841</v>
      </c>
      <c r="O15" s="62">
        <f t="shared" si="3"/>
        <v>0.50529271741598214</v>
      </c>
      <c r="P15" s="62">
        <f t="shared" si="3"/>
        <v>0.56489034969950747</v>
      </c>
      <c r="Q15" s="62">
        <f t="shared" si="3"/>
        <v>0.6312896718453187</v>
      </c>
      <c r="R15" s="62">
        <f t="shared" si="3"/>
        <v>0.69466304925551292</v>
      </c>
      <c r="S15" s="62">
        <f t="shared" si="3"/>
        <v>0.76058123069948347</v>
      </c>
      <c r="T15" s="62">
        <f t="shared" si="3"/>
        <v>0.83723020246362401</v>
      </c>
      <c r="U15" s="62">
        <f t="shared" si="3"/>
        <v>0.89602450398769595</v>
      </c>
      <c r="V15" s="62">
        <f t="shared" si="3"/>
        <v>0.94952923053438609</v>
      </c>
      <c r="W15" s="62">
        <f t="shared" si="3"/>
        <v>1.0032697079852295</v>
      </c>
      <c r="X15" s="62">
        <f t="shared" si="3"/>
        <v>1.0032697079852295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229</v>
      </c>
      <c r="L22" s="86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115</v>
      </c>
      <c r="L27" s="86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49</v>
      </c>
      <c r="L32" s="86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46</v>
      </c>
      <c r="L37" s="87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pane xSplit="1" topLeftCell="N1" activePane="topRight" state="frozen"/>
      <selection pane="topRight" activeCell="U116" sqref="U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49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>
        <v>3</v>
      </c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5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63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3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23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19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3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>
        <v>4</v>
      </c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/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>
        <v>4</v>
      </c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4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3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4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11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>
        <v>1</v>
      </c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5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>
        <v>2</v>
      </c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>
        <v>2</v>
      </c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9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3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12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10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3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>
        <v>1</v>
      </c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2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7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>
        <v>1</v>
      </c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1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3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5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11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3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4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workbookViewId="0">
      <selection activeCell="I68" sqref="I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1155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50.217391304347828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1352.8999999999996</v>
      </c>
      <c r="J8" s="147">
        <v>1385.1000000000004</v>
      </c>
      <c r="K8" s="147">
        <v>1253.1999999999998</v>
      </c>
      <c r="L8" s="147">
        <v>923.40000000000055</v>
      </c>
      <c r="M8" s="147">
        <v>1253.2000000000007</v>
      </c>
      <c r="N8" s="147">
        <v>1319.2000000000007</v>
      </c>
      <c r="O8" s="147">
        <v>1517.1000000000004</v>
      </c>
      <c r="P8" s="147">
        <v>1451.1000000000004</v>
      </c>
      <c r="Q8" s="147">
        <v>1385.1000000000004</v>
      </c>
      <c r="R8" s="147">
        <v>1451.0999999999985</v>
      </c>
      <c r="S8" s="147">
        <v>990.69999999999709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54.115999999999985</v>
      </c>
      <c r="J10" s="69">
        <f t="shared" si="5"/>
        <v>51.300000000000011</v>
      </c>
      <c r="K10" s="69">
        <f t="shared" si="5"/>
        <v>50.127999999999993</v>
      </c>
      <c r="L10" s="69">
        <f t="shared" si="5"/>
        <v>57.712500000000034</v>
      </c>
      <c r="M10" s="69">
        <f t="shared" si="5"/>
        <v>52.216666666666697</v>
      </c>
      <c r="N10" s="69">
        <f t="shared" si="5"/>
        <v>54.966666666666697</v>
      </c>
      <c r="O10" s="69">
        <f t="shared" si="5"/>
        <v>56.188888888888904</v>
      </c>
      <c r="P10" s="69">
        <f t="shared" si="5"/>
        <v>55.811538461538476</v>
      </c>
      <c r="Q10" s="69">
        <f t="shared" si="5"/>
        <v>53.273076923076935</v>
      </c>
      <c r="R10" s="69">
        <f t="shared" si="5"/>
        <v>55.811538461538404</v>
      </c>
      <c r="S10" s="69">
        <f t="shared" si="5"/>
        <v>36.692592592592483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800.88235294117646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19642.699999999997</v>
      </c>
      <c r="J19" s="147">
        <v>19828.5</v>
      </c>
      <c r="K19" s="147">
        <v>16333.400000000009</v>
      </c>
      <c r="L19" s="147">
        <v>12810.299999999988</v>
      </c>
      <c r="M19" s="147">
        <v>17724.5</v>
      </c>
      <c r="N19" s="147">
        <v>18617.200000000012</v>
      </c>
      <c r="O19" s="147">
        <v>21409.799999999988</v>
      </c>
      <c r="P19" s="147">
        <v>20513.399999999994</v>
      </c>
      <c r="Q19" s="147">
        <v>19843.799999999988</v>
      </c>
      <c r="R19" s="147">
        <v>20484.799999999988</v>
      </c>
      <c r="S19" s="147">
        <v>20484.799999999988</v>
      </c>
      <c r="T19" s="147">
        <v>11546.299999999988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785.70799999999986</v>
      </c>
      <c r="J21" s="69">
        <f t="shared" si="10"/>
        <v>734.38888888888891</v>
      </c>
      <c r="K21" s="69">
        <f t="shared" si="10"/>
        <v>653.33600000000035</v>
      </c>
      <c r="L21" s="69">
        <f t="shared" si="10"/>
        <v>800.64374999999927</v>
      </c>
      <c r="M21" s="69">
        <f t="shared" si="10"/>
        <v>738.52083333333337</v>
      </c>
      <c r="N21" s="69">
        <f t="shared" si="10"/>
        <v>775.71666666666715</v>
      </c>
      <c r="O21" s="69">
        <f t="shared" si="10"/>
        <v>792.95555555555518</v>
      </c>
      <c r="P21" s="69">
        <f t="shared" si="10"/>
        <v>788.97692307692284</v>
      </c>
      <c r="Q21" s="69">
        <f t="shared" si="10"/>
        <v>763.22307692307652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444.0884615384611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34647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2665.1538461538462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42976.200000000012</v>
      </c>
      <c r="J30" s="147">
        <v>50286.200000000012</v>
      </c>
      <c r="K30" s="147">
        <v>55255.166666666686</v>
      </c>
      <c r="L30" s="147">
        <v>37919.966666666674</v>
      </c>
      <c r="M30" s="147">
        <v>49715.066666666651</v>
      </c>
      <c r="N30" s="147">
        <v>37907.700000000012</v>
      </c>
      <c r="O30" s="147">
        <v>50217.700000000012</v>
      </c>
      <c r="P30" s="147">
        <v>45499.5</v>
      </c>
      <c r="Q30" s="147">
        <v>51922.299999999988</v>
      </c>
      <c r="R30" s="147">
        <v>45895.599999999977</v>
      </c>
      <c r="S30" s="147">
        <v>36868.900000000023</v>
      </c>
      <c r="T30" s="147">
        <v>688152.10000000009</v>
      </c>
      <c r="U30" s="147">
        <v>40718.799999999814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1719.0480000000005</v>
      </c>
      <c r="J32" s="69">
        <f t="shared" si="15"/>
        <v>1862.4518518518523</v>
      </c>
      <c r="K32" s="69">
        <f t="shared" si="15"/>
        <v>2210.2066666666674</v>
      </c>
      <c r="L32" s="69">
        <f t="shared" si="15"/>
        <v>2369.9979166666672</v>
      </c>
      <c r="M32" s="69">
        <f t="shared" si="15"/>
        <v>2071.4611111111103</v>
      </c>
      <c r="N32" s="69">
        <f t="shared" si="15"/>
        <v>1579.4875000000004</v>
      </c>
      <c r="O32" s="69">
        <f t="shared" si="15"/>
        <v>1859.9148148148151</v>
      </c>
      <c r="P32" s="69">
        <f t="shared" si="15"/>
        <v>1749.9807692307693</v>
      </c>
      <c r="Q32" s="69">
        <f t="shared" si="15"/>
        <v>1997.0115384615381</v>
      </c>
      <c r="R32" s="69">
        <f t="shared" si="15"/>
        <v>1765.2153846153838</v>
      </c>
      <c r="S32" s="69">
        <f t="shared" si="15"/>
        <v>1365.5148148148157</v>
      </c>
      <c r="T32" s="69">
        <f t="shared" si="15"/>
        <v>26467.388461538467</v>
      </c>
      <c r="U32" s="69">
        <f t="shared" si="15"/>
        <v>1566.1076923076851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101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16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v>22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132.20000000000005</v>
      </c>
      <c r="J41" s="147">
        <v>262</v>
      </c>
      <c r="K41" s="147">
        <v>196.70000000000005</v>
      </c>
      <c r="L41" s="147">
        <v>187.40000000000009</v>
      </c>
      <c r="M41" s="147">
        <v>214.29999999999995</v>
      </c>
      <c r="N41" s="147">
        <v>157.29999999999995</v>
      </c>
      <c r="O41" s="147">
        <v>226.20000000000005</v>
      </c>
      <c r="P41" s="147">
        <v>261.79999999999995</v>
      </c>
      <c r="Q41" s="147">
        <v>267.80000000000018</v>
      </c>
      <c r="R41" s="147">
        <v>288.69999999999982</v>
      </c>
      <c r="S41" s="147">
        <v>330.59999999999991</v>
      </c>
      <c r="T41" s="147">
        <v>257.80000000000018</v>
      </c>
      <c r="U41" s="147">
        <v>80.900000000000091</v>
      </c>
      <c r="V41" s="147">
        <v>10.099999999999909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5.288000000000002</v>
      </c>
      <c r="J43" s="69">
        <f t="shared" si="20"/>
        <v>9.7037037037037042</v>
      </c>
      <c r="K43" s="69">
        <f t="shared" si="20"/>
        <v>7.8680000000000021</v>
      </c>
      <c r="L43" s="69">
        <f t="shared" si="20"/>
        <v>11.712500000000006</v>
      </c>
      <c r="M43" s="69">
        <f t="shared" si="20"/>
        <v>8.9291666666666654</v>
      </c>
      <c r="N43" s="69">
        <f t="shared" si="20"/>
        <v>6.5541666666666645</v>
      </c>
      <c r="O43" s="69">
        <f t="shared" si="20"/>
        <v>8.37777777777778</v>
      </c>
      <c r="P43" s="69">
        <f t="shared" si="20"/>
        <v>10.069230769230767</v>
      </c>
      <c r="Q43" s="69">
        <f t="shared" si="20"/>
        <v>10.300000000000008</v>
      </c>
      <c r="R43" s="69">
        <f t="shared" si="20"/>
        <v>11.103846153846147</v>
      </c>
      <c r="S43" s="69">
        <f t="shared" si="20"/>
        <v>12.244444444444442</v>
      </c>
      <c r="T43" s="69">
        <f t="shared" si="20"/>
        <v>9.9153846153846228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16920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995.29411764705878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19854.100000000006</v>
      </c>
      <c r="J52" s="147">
        <v>24090.600000000006</v>
      </c>
      <c r="K52" s="147">
        <v>21931.899999999994</v>
      </c>
      <c r="L52" s="147">
        <v>18763.100000000006</v>
      </c>
      <c r="M52" s="147">
        <v>17120</v>
      </c>
      <c r="N52" s="147">
        <v>13402</v>
      </c>
      <c r="O52" s="147">
        <v>18204.100000000006</v>
      </c>
      <c r="P52" s="147">
        <v>20481.600000000006</v>
      </c>
      <c r="Q52" s="147">
        <v>20755.299999999988</v>
      </c>
      <c r="R52" s="147">
        <v>25178.899999999994</v>
      </c>
      <c r="S52" s="147">
        <v>29723.499999999971</v>
      </c>
      <c r="T52" s="147">
        <v>20181.5</v>
      </c>
      <c r="U52" s="147">
        <v>10132.599999999977</v>
      </c>
      <c r="V52" s="147"/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794.16400000000021</v>
      </c>
      <c r="J54" s="69">
        <f t="shared" si="25"/>
        <v>892.24444444444464</v>
      </c>
      <c r="K54" s="69">
        <f t="shared" si="25"/>
        <v>877.27599999999973</v>
      </c>
      <c r="L54" s="69">
        <f t="shared" si="25"/>
        <v>1172.6937500000004</v>
      </c>
      <c r="M54" s="69">
        <f t="shared" si="25"/>
        <v>713.33333333333337</v>
      </c>
      <c r="N54" s="69">
        <f t="shared" si="25"/>
        <v>558.41666666666663</v>
      </c>
      <c r="O54" s="69">
        <f t="shared" si="25"/>
        <v>674.22592592592616</v>
      </c>
      <c r="P54" s="69">
        <f t="shared" si="25"/>
        <v>787.75384615384633</v>
      </c>
      <c r="Q54" s="69">
        <f t="shared" si="25"/>
        <v>798.28076923076878</v>
      </c>
      <c r="R54" s="69">
        <f t="shared" si="25"/>
        <v>968.41923076923058</v>
      </c>
      <c r="S54" s="69">
        <f t="shared" si="25"/>
        <v>1100.8703703703693</v>
      </c>
      <c r="T54" s="69">
        <f t="shared" si="25"/>
        <v>776.21153846153845</v>
      </c>
      <c r="U54" s="69">
        <f t="shared" si="25"/>
        <v>389.7153846153837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28922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1928.1333333333334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35224.199999999997</v>
      </c>
      <c r="J63" s="147">
        <v>46993.830769230772</v>
      </c>
      <c r="K63" s="147">
        <v>41887.830769230757</v>
      </c>
      <c r="L63" s="147">
        <v>40917.930769230763</v>
      </c>
      <c r="M63" s="147">
        <v>45112.430769230763</v>
      </c>
      <c r="N63" s="147">
        <v>35209.430769230763</v>
      </c>
      <c r="O63" s="147">
        <v>44397.03076923074</v>
      </c>
      <c r="P63" s="147">
        <v>47746.730769230751</v>
      </c>
      <c r="Q63" s="147">
        <v>50767.930769230763</v>
      </c>
      <c r="R63" s="147">
        <v>51729.130769230775</v>
      </c>
      <c r="S63" s="147">
        <v>52981.03076923074</v>
      </c>
      <c r="T63" s="147">
        <v>33930.730769230751</v>
      </c>
      <c r="U63" s="147">
        <v>50032.330769230728</v>
      </c>
      <c r="V63" s="147">
        <v>31989.430769230938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1408.9679999999998</v>
      </c>
      <c r="J65" s="69">
        <f t="shared" si="29"/>
        <v>1740.5122507122508</v>
      </c>
      <c r="K65" s="69">
        <f t="shared" si="29"/>
        <v>1675.5132307692302</v>
      </c>
      <c r="L65" s="69">
        <f t="shared" si="29"/>
        <v>2557.3706730769227</v>
      </c>
      <c r="M65" s="69">
        <f t="shared" si="29"/>
        <v>1879.6846153846152</v>
      </c>
      <c r="N65" s="69">
        <f t="shared" si="29"/>
        <v>1467.0596153846152</v>
      </c>
      <c r="O65" s="69">
        <f t="shared" si="29"/>
        <v>1644.3344729344719</v>
      </c>
      <c r="P65" s="69">
        <f t="shared" si="29"/>
        <v>1836.4127218934905</v>
      </c>
      <c r="Q65" s="69">
        <f t="shared" si="29"/>
        <v>1952.612721893491</v>
      </c>
      <c r="R65" s="69">
        <f t="shared" si="29"/>
        <v>1989.5819526627222</v>
      </c>
      <c r="S65" s="69">
        <f t="shared" si="29"/>
        <v>1962.2603988603978</v>
      </c>
      <c r="T65" s="69">
        <f t="shared" si="29"/>
        <v>1305.028106508875</v>
      </c>
      <c r="U65" s="69">
        <f t="shared" si="29"/>
        <v>1924.3204142011818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pane xSplit="2" ySplit="3" topLeftCell="I268" activePane="bottomRight" state="frozen"/>
      <selection pane="topRight" activeCell="C1" sqref="C1"/>
      <selection pane="bottomLeft" activeCell="A4" sqref="A4"/>
      <selection pane="bottomRight" activeCell="P270" sqref="P270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134099.62000000002</v>
      </c>
      <c r="D2" s="35">
        <f t="shared" ref="D2:M2" si="0">SUM(D4:D733)</f>
        <v>135150.58000000005</v>
      </c>
      <c r="E2" s="36">
        <f t="shared" si="0"/>
        <v>18755.875384615385</v>
      </c>
      <c r="F2" s="34">
        <f t="shared" si="0"/>
        <v>199210.08699999994</v>
      </c>
      <c r="G2" s="35">
        <f t="shared" si="0"/>
        <v>200023.69999999995</v>
      </c>
      <c r="H2" s="36">
        <f t="shared" si="0"/>
        <v>30149.095384615372</v>
      </c>
      <c r="I2" s="34">
        <f t="shared" si="0"/>
        <v>7914.5999999999995</v>
      </c>
      <c r="J2" s="35">
        <f t="shared" si="0"/>
        <v>8744.0259809999989</v>
      </c>
      <c r="K2" s="36">
        <f t="shared" si="0"/>
        <v>587000.00000000058</v>
      </c>
      <c r="L2" s="34">
        <f t="shared" si="0"/>
        <v>327338.98249999981</v>
      </c>
      <c r="M2" s="36">
        <f t="shared" si="0"/>
        <v>683919.90903846011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63827.385980999999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10332.366153846153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51989.5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13583.791038461537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354250.6721348461</v>
      </c>
      <c r="Z11" s="5">
        <f t="shared" si="7"/>
        <v>429823.2767502307</v>
      </c>
      <c r="AA11" s="5">
        <f t="shared" si="7"/>
        <v>479823.2767502307</v>
      </c>
      <c r="AB11" s="5">
        <f t="shared" si="7"/>
        <v>529823.2767502307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340922.7735384616</v>
      </c>
      <c r="Z12" s="5">
        <f t="shared" si="8"/>
        <v>410370.92653846159</v>
      </c>
      <c r="AA12" s="5">
        <f t="shared" si="8"/>
        <v>477676.81153846154</v>
      </c>
      <c r="AB12" s="5">
        <f t="shared" si="8"/>
        <v>513923.1465384615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13327.898596384504</v>
      </c>
      <c r="Z13" s="5">
        <f t="shared" si="9"/>
        <v>19452.35021176911</v>
      </c>
      <c r="AA13" s="5">
        <f t="shared" si="9"/>
        <v>2146.4652117691585</v>
      </c>
      <c r="AB13" s="5">
        <f t="shared" si="9"/>
        <v>15900.130211769196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1118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445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722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925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245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701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329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974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455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567.20000000000005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507</v>
      </c>
      <c r="J272" s="40">
        <v>706.05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17"/>
  <sheetViews>
    <sheetView topLeftCell="H1" workbookViewId="0">
      <selection activeCell="R12" sqref="R12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  <col min="22" max="22" width="14.28515625" bestFit="1" customWidth="1"/>
    <col min="23" max="23" width="10.5703125" bestFit="1" customWidth="1"/>
  </cols>
  <sheetData>
    <row r="1" spans="1:23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38572.915000000001</v>
      </c>
      <c r="N2" s="72">
        <v>8562.24</v>
      </c>
      <c r="O2" s="29">
        <f>M2-N2</f>
        <v>30010.675000000003</v>
      </c>
      <c r="P2" s="29"/>
      <c r="S2">
        <v>60</v>
      </c>
      <c r="T2">
        <v>24</v>
      </c>
      <c r="U2">
        <f>T2*S2</f>
        <v>1440</v>
      </c>
    </row>
    <row r="3" spans="1:23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292226</v>
      </c>
      <c r="N3" s="72">
        <v>177188</v>
      </c>
      <c r="O3" s="29">
        <f t="shared" ref="O3:O15" si="0">M3-N3</f>
        <v>115038</v>
      </c>
      <c r="P3" s="29"/>
      <c r="R3">
        <v>5946</v>
      </c>
    </row>
    <row r="4" spans="1:23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1287858</v>
      </c>
      <c r="N4" s="72">
        <f>M3*4</f>
        <v>1168904</v>
      </c>
      <c r="O4" s="29">
        <f t="shared" si="0"/>
        <v>118954</v>
      </c>
      <c r="P4" s="29"/>
      <c r="R4">
        <v>9659</v>
      </c>
      <c r="V4" s="209">
        <f>U2*R3</f>
        <v>8562240</v>
      </c>
      <c r="W4" s="210">
        <f>V4/1000</f>
        <v>8562.24</v>
      </c>
    </row>
    <row r="5" spans="1:23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O5" s="29">
        <f t="shared" si="0"/>
        <v>78289</v>
      </c>
      <c r="P5" s="29"/>
      <c r="V5" s="209">
        <f>U2*R4</f>
        <v>13908960</v>
      </c>
    </row>
    <row r="6" spans="1:23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O6" s="29">
        <f t="shared" si="0"/>
        <v>153416</v>
      </c>
      <c r="P6" s="29"/>
    </row>
    <row r="7" spans="1:23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O7" s="29">
        <f t="shared" si="0"/>
        <v>192096</v>
      </c>
      <c r="P7" s="29"/>
    </row>
    <row r="8" spans="1:23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O8" s="29">
        <f t="shared" si="0"/>
        <v>732</v>
      </c>
      <c r="P8" s="29"/>
    </row>
    <row r="9" spans="1:23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O9" s="29">
        <f t="shared" si="0"/>
        <v>3719</v>
      </c>
      <c r="P9" s="29"/>
    </row>
    <row r="10" spans="1:23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O10" s="29">
        <f t="shared" si="0"/>
        <v>6</v>
      </c>
      <c r="P10" s="29"/>
    </row>
    <row r="11" spans="1:23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9">
        <f t="shared" si="0"/>
        <v>0</v>
      </c>
      <c r="P11" s="29"/>
    </row>
    <row r="12" spans="1:23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O12" s="29">
        <f t="shared" si="0"/>
        <v>3</v>
      </c>
      <c r="P12" s="29"/>
    </row>
    <row r="13" spans="1:23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9">
        <f t="shared" si="0"/>
        <v>0</v>
      </c>
      <c r="P13" s="29"/>
    </row>
    <row r="14" spans="1:23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O14" s="29">
        <f t="shared" si="0"/>
        <v>1109</v>
      </c>
      <c r="P14" s="29"/>
    </row>
    <row r="15" spans="1:23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324336.21000000002</v>
      </c>
      <c r="N15" s="72">
        <v>309493.43</v>
      </c>
      <c r="O15" s="29">
        <f t="shared" si="0"/>
        <v>14842.780000000028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23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6" t="s">
        <v>251</v>
      </c>
      <c r="B1" s="206" t="s">
        <v>251</v>
      </c>
      <c r="C1" s="206" t="s">
        <v>251</v>
      </c>
      <c r="D1" s="206" t="s">
        <v>251</v>
      </c>
      <c r="E1" s="206" t="s">
        <v>251</v>
      </c>
      <c r="F1" s="206" t="s">
        <v>251</v>
      </c>
      <c r="G1" s="206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20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105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8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7" t="s">
        <v>319</v>
      </c>
      <c r="B1" s="207" t="s">
        <v>319</v>
      </c>
      <c r="C1" s="207" t="s">
        <v>319</v>
      </c>
      <c r="D1" s="207" t="s">
        <v>319</v>
      </c>
      <c r="E1" s="207" t="s">
        <v>319</v>
      </c>
      <c r="F1" s="207" t="s">
        <v>319</v>
      </c>
      <c r="G1" s="207" t="s">
        <v>319</v>
      </c>
      <c r="H1" s="207" t="s">
        <v>319</v>
      </c>
      <c r="J1" s="208" t="s">
        <v>320</v>
      </c>
      <c r="K1" s="208" t="s">
        <v>320</v>
      </c>
      <c r="L1" s="208" t="s">
        <v>320</v>
      </c>
      <c r="M1" s="208" t="s">
        <v>320</v>
      </c>
      <c r="N1" s="208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2026-09-29T17:31:41Z</dcterms:modified>
  <cp:category/>
  <cp:contentStatus/>
</cp:coreProperties>
</file>