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https://globalvale-my.sharepoint.com/personal/julia_guerra_vale_com/Documents/0. Superestrutura/0. Premissas de Planejamento/00 - Controles de Obra/04 - Unifilar Superestrutura/"/>
    </mc:Choice>
  </mc:AlternateContent>
  <xr:revisionPtr revIDLastSave="393" documentId="14_{CE3FE537-96E5-4FB0-9073-76D1D599B153}" xr6:coauthVersionLast="47" xr6:coauthVersionMax="47" xr10:uidLastSave="{15CEB941-5256-4BCA-8A60-927BF4BAB85E}"/>
  <bookViews>
    <workbookView xWindow="28680" yWindow="-120" windowWidth="29040" windowHeight="15720" tabRatio="810" xr2:uid="{00000000-000D-0000-FFFF-FFFF00000000}"/>
  </bookViews>
  <sheets>
    <sheet name="ENTRADA" sheetId="1" r:id="rId1"/>
    <sheet name="CURVAS" sheetId="6" r:id="rId2"/>
    <sheet name="HISTOGRAMA" sheetId="7" r:id="rId3"/>
    <sheet name="SERVIÇOS NOTÁVEIS" sheetId="8" r:id="rId4"/>
    <sheet name="LASTRO" sheetId="11" r:id="rId5"/>
    <sheet name="MATERIAIS" sheetId="18" r:id="rId6"/>
  </sheets>
  <externalReferences>
    <externalReference r:id="rId7"/>
  </externalReferences>
  <definedNames>
    <definedName name="_xlnm._FilterDatabase" localSheetId="2" hidden="1">HISTOGRAMA!$A$93:$BR$116</definedName>
    <definedName name="_xlnm._FilterDatabase" localSheetId="4" hidden="1">LASTRO!$A$3:$AA$368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205" i="11" l="1"/>
  <c r="G204" i="11" l="1"/>
  <c r="F204" i="11"/>
  <c r="G203" i="11"/>
  <c r="F203" i="11"/>
  <c r="G202" i="11"/>
  <c r="F202" i="11"/>
  <c r="G201" i="11"/>
  <c r="F201" i="11"/>
  <c r="G200" i="11"/>
  <c r="F200" i="11"/>
  <c r="D204" i="11"/>
  <c r="C204" i="11"/>
  <c r="D203" i="11"/>
  <c r="C203" i="11"/>
  <c r="D202" i="11"/>
  <c r="C202" i="11"/>
  <c r="D201" i="11"/>
  <c r="C201" i="11"/>
  <c r="D200" i="11"/>
  <c r="C200" i="11"/>
  <c r="G199" i="11" l="1"/>
  <c r="F199" i="11"/>
  <c r="G198" i="11"/>
  <c r="F198" i="11"/>
  <c r="D199" i="11"/>
  <c r="C199" i="11"/>
  <c r="D198" i="11"/>
  <c r="C198" i="11"/>
  <c r="M733" i="11" l="1"/>
  <c r="M732" i="11"/>
  <c r="M731" i="11"/>
  <c r="M730" i="11"/>
  <c r="M729" i="11"/>
  <c r="M728" i="11"/>
  <c r="M727" i="11"/>
  <c r="M726" i="11"/>
  <c r="M725" i="11"/>
  <c r="M724" i="11"/>
  <c r="M723" i="11"/>
  <c r="M722" i="11"/>
  <c r="M721" i="11"/>
  <c r="M720" i="11"/>
  <c r="M719" i="11"/>
  <c r="M718" i="11"/>
  <c r="M717" i="11"/>
  <c r="M716" i="11"/>
  <c r="M715" i="11"/>
  <c r="M714" i="11"/>
  <c r="M713" i="11"/>
  <c r="M712" i="11"/>
  <c r="M711" i="11"/>
  <c r="M710" i="11"/>
  <c r="M709" i="11"/>
  <c r="M708" i="11"/>
  <c r="M707" i="11"/>
  <c r="M706" i="11"/>
  <c r="M705" i="11"/>
  <c r="M704" i="11"/>
  <c r="M703" i="11"/>
  <c r="M702" i="11"/>
  <c r="M701" i="11"/>
  <c r="M700" i="11"/>
  <c r="M699" i="11"/>
  <c r="M698" i="11"/>
  <c r="M697" i="11"/>
  <c r="M696" i="11"/>
  <c r="M695" i="11"/>
  <c r="M694" i="11"/>
  <c r="M693" i="11"/>
  <c r="M692" i="11"/>
  <c r="M691" i="11"/>
  <c r="M690" i="11"/>
  <c r="M689" i="11"/>
  <c r="M688" i="11"/>
  <c r="M687" i="11"/>
  <c r="M686" i="11"/>
  <c r="M685" i="11"/>
  <c r="M684" i="11"/>
  <c r="M683" i="11"/>
  <c r="M682" i="11"/>
  <c r="M681" i="11"/>
  <c r="M680" i="11"/>
  <c r="M679" i="11"/>
  <c r="M678" i="11"/>
  <c r="M677" i="11"/>
  <c r="M676" i="11"/>
  <c r="M675" i="11"/>
  <c r="M674" i="11"/>
  <c r="M673" i="11"/>
  <c r="M672" i="11"/>
  <c r="M671" i="11"/>
  <c r="M670" i="11"/>
  <c r="M669" i="11"/>
  <c r="M668" i="11"/>
  <c r="M667" i="11"/>
  <c r="M666" i="11"/>
  <c r="M665" i="11"/>
  <c r="M664" i="11"/>
  <c r="M663" i="11"/>
  <c r="M662" i="11"/>
  <c r="M661" i="11"/>
  <c r="M660" i="11"/>
  <c r="M659" i="11"/>
  <c r="M658" i="11"/>
  <c r="M657" i="11"/>
  <c r="M656" i="11"/>
  <c r="M655" i="11"/>
  <c r="M654" i="11"/>
  <c r="M653" i="11"/>
  <c r="M652" i="11"/>
  <c r="M651" i="11"/>
  <c r="M650" i="11"/>
  <c r="M649" i="11"/>
  <c r="M648" i="11"/>
  <c r="M647" i="11"/>
  <c r="M646" i="11"/>
  <c r="M645" i="11"/>
  <c r="M644" i="11"/>
  <c r="M643" i="11"/>
  <c r="M642" i="11"/>
  <c r="M641" i="11"/>
  <c r="M640" i="11"/>
  <c r="M639" i="11"/>
  <c r="M638" i="11"/>
  <c r="M637" i="11"/>
  <c r="M636" i="11"/>
  <c r="M635" i="11"/>
  <c r="M634" i="11"/>
  <c r="M633" i="11"/>
  <c r="M632" i="11"/>
  <c r="M631" i="11"/>
  <c r="M630" i="11"/>
  <c r="M629" i="11"/>
  <c r="M628" i="11"/>
  <c r="M627" i="11"/>
  <c r="M626" i="11"/>
  <c r="M625" i="11"/>
  <c r="M624" i="11"/>
  <c r="M623" i="11"/>
  <c r="M622" i="11"/>
  <c r="M621" i="11"/>
  <c r="M620" i="11"/>
  <c r="M619" i="11"/>
  <c r="M618" i="11"/>
  <c r="M617" i="11"/>
  <c r="M616" i="11"/>
  <c r="M615" i="11"/>
  <c r="M614" i="11"/>
  <c r="M613" i="11"/>
  <c r="M612" i="11"/>
  <c r="M611" i="11"/>
  <c r="M610" i="11"/>
  <c r="M609" i="11"/>
  <c r="M608" i="11"/>
  <c r="M607" i="11"/>
  <c r="M606" i="11"/>
  <c r="M605" i="11"/>
  <c r="M604" i="11"/>
  <c r="M603" i="11"/>
  <c r="M602" i="11"/>
  <c r="M601" i="11"/>
  <c r="M600" i="11"/>
  <c r="M599" i="11"/>
  <c r="M598" i="11"/>
  <c r="M597" i="11"/>
  <c r="M596" i="11"/>
  <c r="M595" i="11"/>
  <c r="M594" i="11"/>
  <c r="M593" i="11"/>
  <c r="M592" i="11"/>
  <c r="M591" i="11"/>
  <c r="M590" i="11"/>
  <c r="M589" i="11"/>
  <c r="M588" i="11"/>
  <c r="M587" i="11"/>
  <c r="M586" i="11"/>
  <c r="M585" i="11"/>
  <c r="M584" i="11"/>
  <c r="M583" i="11"/>
  <c r="M582" i="11"/>
  <c r="M581" i="11"/>
  <c r="M580" i="11"/>
  <c r="M579" i="11"/>
  <c r="M578" i="11"/>
  <c r="M577" i="11"/>
  <c r="M576" i="11"/>
  <c r="M575" i="11"/>
  <c r="M574" i="11"/>
  <c r="M573" i="11"/>
  <c r="M572" i="11"/>
  <c r="M571" i="11"/>
  <c r="M570" i="11"/>
  <c r="M569" i="11"/>
  <c r="M568" i="11"/>
  <c r="M567" i="11"/>
  <c r="M566" i="11"/>
  <c r="M565" i="11"/>
  <c r="M564" i="11"/>
  <c r="M563" i="11"/>
  <c r="M562" i="11"/>
  <c r="M561" i="11"/>
  <c r="M560" i="11"/>
  <c r="M559" i="11"/>
  <c r="M558" i="11"/>
  <c r="M557" i="11"/>
  <c r="M556" i="11"/>
  <c r="M555" i="11"/>
  <c r="M554" i="11"/>
  <c r="M553" i="11"/>
  <c r="M552" i="11"/>
  <c r="M551" i="11"/>
  <c r="M550" i="11"/>
  <c r="M549" i="11"/>
  <c r="M548" i="11"/>
  <c r="M547" i="11"/>
  <c r="M546" i="11"/>
  <c r="M545" i="11"/>
  <c r="M544" i="11"/>
  <c r="M543" i="11"/>
  <c r="M542" i="11"/>
  <c r="M541" i="11"/>
  <c r="M540" i="11"/>
  <c r="M539" i="11"/>
  <c r="M538" i="11"/>
  <c r="M537" i="11"/>
  <c r="M536" i="11"/>
  <c r="M535" i="11"/>
  <c r="M534" i="11"/>
  <c r="M533" i="11"/>
  <c r="M532" i="11"/>
  <c r="M531" i="11"/>
  <c r="M530" i="11"/>
  <c r="M529" i="11"/>
  <c r="M528" i="11"/>
  <c r="M527" i="11"/>
  <c r="M526" i="11"/>
  <c r="M525" i="11"/>
  <c r="M524" i="11"/>
  <c r="M523" i="11"/>
  <c r="M522" i="11"/>
  <c r="M521" i="11"/>
  <c r="M520" i="11"/>
  <c r="M519" i="11"/>
  <c r="M518" i="11"/>
  <c r="M517" i="11"/>
  <c r="M516" i="11"/>
  <c r="M515" i="11"/>
  <c r="M514" i="11"/>
  <c r="M513" i="11"/>
  <c r="M512" i="11"/>
  <c r="M511" i="11"/>
  <c r="M510" i="11"/>
  <c r="M509" i="11"/>
  <c r="M508" i="11"/>
  <c r="M507" i="11"/>
  <c r="M506" i="11"/>
  <c r="M505" i="11"/>
  <c r="M504" i="11"/>
  <c r="M503" i="11"/>
  <c r="M502" i="11"/>
  <c r="M501" i="11"/>
  <c r="M500" i="11"/>
  <c r="M499" i="11"/>
  <c r="M498" i="11"/>
  <c r="M497" i="11"/>
  <c r="M496" i="11"/>
  <c r="M495" i="11"/>
  <c r="M494" i="11"/>
  <c r="M493" i="11"/>
  <c r="M492" i="11"/>
  <c r="M491" i="11"/>
  <c r="M490" i="11"/>
  <c r="M489" i="11"/>
  <c r="M488" i="11"/>
  <c r="M487" i="11"/>
  <c r="M486" i="11"/>
  <c r="M485" i="11"/>
  <c r="M484" i="11"/>
  <c r="M483" i="11"/>
  <c r="M482" i="11"/>
  <c r="M481" i="11"/>
  <c r="M480" i="11"/>
  <c r="M479" i="11"/>
  <c r="M478" i="11"/>
  <c r="M477" i="11"/>
  <c r="M476" i="11"/>
  <c r="M475" i="11"/>
  <c r="M474" i="11"/>
  <c r="M473" i="11"/>
  <c r="M472" i="11"/>
  <c r="M471" i="11"/>
  <c r="M470" i="11"/>
  <c r="M469" i="11"/>
  <c r="M468" i="11"/>
  <c r="M467" i="11"/>
  <c r="M466" i="11"/>
  <c r="M465" i="11"/>
  <c r="M464" i="11"/>
  <c r="M463" i="11"/>
  <c r="M462" i="11"/>
  <c r="M461" i="11"/>
  <c r="M460" i="11"/>
  <c r="M459" i="11"/>
  <c r="M458" i="11"/>
  <c r="M457" i="11"/>
  <c r="M456" i="11"/>
  <c r="M455" i="11"/>
  <c r="M454" i="11"/>
  <c r="M453" i="11"/>
  <c r="M452" i="11"/>
  <c r="M451" i="11"/>
  <c r="M450" i="11"/>
  <c r="M449" i="11"/>
  <c r="M448" i="11"/>
  <c r="M447" i="11"/>
  <c r="M446" i="11"/>
  <c r="M445" i="11"/>
  <c r="M444" i="11"/>
  <c r="M443" i="11"/>
  <c r="M442" i="11"/>
  <c r="M441" i="11"/>
  <c r="M440" i="11"/>
  <c r="M439" i="11"/>
  <c r="M438" i="11"/>
  <c r="M437" i="11"/>
  <c r="M436" i="11"/>
  <c r="M435" i="11"/>
  <c r="M434" i="11"/>
  <c r="M433" i="11"/>
  <c r="M432" i="11"/>
  <c r="M431" i="11"/>
  <c r="M430" i="11"/>
  <c r="M429" i="11"/>
  <c r="M428" i="11"/>
  <c r="M427" i="11"/>
  <c r="M426" i="11"/>
  <c r="M425" i="11"/>
  <c r="M424" i="11"/>
  <c r="M423" i="11"/>
  <c r="M422" i="11"/>
  <c r="M421" i="11"/>
  <c r="M420" i="11"/>
  <c r="M419" i="11"/>
  <c r="M418" i="11"/>
  <c r="M417" i="11"/>
  <c r="M416" i="11"/>
  <c r="M415" i="11"/>
  <c r="M414" i="11"/>
  <c r="M413" i="11"/>
  <c r="M412" i="11"/>
  <c r="M411" i="11"/>
  <c r="M410" i="11"/>
  <c r="M409" i="11"/>
  <c r="M408" i="11"/>
  <c r="M407" i="11"/>
  <c r="M406" i="11"/>
  <c r="M405" i="11"/>
  <c r="M404" i="11"/>
  <c r="M403" i="11"/>
  <c r="M402" i="11"/>
  <c r="M401" i="11"/>
  <c r="M400" i="11"/>
  <c r="M399" i="11"/>
  <c r="M398" i="11"/>
  <c r="M397" i="11"/>
  <c r="M396" i="11"/>
  <c r="M395" i="11"/>
  <c r="M394" i="11"/>
  <c r="M393" i="11"/>
  <c r="M392" i="11"/>
  <c r="M391" i="11"/>
  <c r="M390" i="11"/>
  <c r="M389" i="11"/>
  <c r="M388" i="11"/>
  <c r="M387" i="11"/>
  <c r="M386" i="11"/>
  <c r="M385" i="11"/>
  <c r="M384" i="11"/>
  <c r="M383" i="11"/>
  <c r="M382" i="11"/>
  <c r="M381" i="11"/>
  <c r="M380" i="11"/>
  <c r="M379" i="11"/>
  <c r="M378" i="11"/>
  <c r="M377" i="11"/>
  <c r="M376" i="11"/>
  <c r="M375" i="11"/>
  <c r="M374" i="11"/>
  <c r="M373" i="11"/>
  <c r="M372" i="11"/>
  <c r="M371" i="11"/>
  <c r="M370" i="11"/>
  <c r="M369" i="11"/>
  <c r="M368" i="11"/>
  <c r="M367" i="11"/>
  <c r="M366" i="11"/>
  <c r="M365" i="11"/>
  <c r="M364" i="11"/>
  <c r="M363" i="11"/>
  <c r="M362" i="11"/>
  <c r="M361" i="11"/>
  <c r="M360" i="11"/>
  <c r="M359" i="11"/>
  <c r="M358" i="11"/>
  <c r="M357" i="11"/>
  <c r="M356" i="11"/>
  <c r="M355" i="11"/>
  <c r="M354" i="11"/>
  <c r="M353" i="11"/>
  <c r="M352" i="11"/>
  <c r="M351" i="11"/>
  <c r="M350" i="11"/>
  <c r="M349" i="11"/>
  <c r="M348" i="11"/>
  <c r="M347" i="11"/>
  <c r="M346" i="11"/>
  <c r="M345" i="11"/>
  <c r="M344" i="11"/>
  <c r="M343" i="11"/>
  <c r="M342" i="11"/>
  <c r="M341" i="11"/>
  <c r="M340" i="11"/>
  <c r="M339" i="11"/>
  <c r="M338" i="11"/>
  <c r="M337" i="11"/>
  <c r="M336" i="11"/>
  <c r="M335" i="11"/>
  <c r="M334" i="11"/>
  <c r="M333" i="11"/>
  <c r="M332" i="11"/>
  <c r="M331" i="11"/>
  <c r="M330" i="11"/>
  <c r="M329" i="11"/>
  <c r="M328" i="11"/>
  <c r="M327" i="11"/>
  <c r="M326" i="11"/>
  <c r="M325" i="11"/>
  <c r="M324" i="11"/>
  <c r="M323" i="11"/>
  <c r="M322" i="11"/>
  <c r="M321" i="11"/>
  <c r="M320" i="11"/>
  <c r="M319" i="11"/>
  <c r="M318" i="11"/>
  <c r="M317" i="11"/>
  <c r="M316" i="11"/>
  <c r="M315" i="11"/>
  <c r="M314" i="11"/>
  <c r="M313" i="11"/>
  <c r="M312" i="11"/>
  <c r="M311" i="11"/>
  <c r="M310" i="11"/>
  <c r="M309" i="11"/>
  <c r="M308" i="11"/>
  <c r="M307" i="11"/>
  <c r="M306" i="11"/>
  <c r="M305" i="11"/>
  <c r="M304" i="11"/>
  <c r="M303" i="11"/>
  <c r="M302" i="11"/>
  <c r="M301" i="11"/>
  <c r="M300" i="11"/>
  <c r="M299" i="11"/>
  <c r="M298" i="11"/>
  <c r="M297" i="11"/>
  <c r="M296" i="11"/>
  <c r="M295" i="11"/>
  <c r="M294" i="11"/>
  <c r="M293" i="11"/>
  <c r="M292" i="11"/>
  <c r="M291" i="11"/>
  <c r="M290" i="11"/>
  <c r="M289" i="11"/>
  <c r="M288" i="11"/>
  <c r="M287" i="11"/>
  <c r="M286" i="11"/>
  <c r="M285" i="11"/>
  <c r="M284" i="11"/>
  <c r="M283" i="11"/>
  <c r="M282" i="11"/>
  <c r="M281" i="11"/>
  <c r="M280" i="11"/>
  <c r="M279" i="11"/>
  <c r="M278" i="11"/>
  <c r="M277" i="11"/>
  <c r="M276" i="11"/>
  <c r="M275" i="11"/>
  <c r="M274" i="11"/>
  <c r="M273" i="11"/>
  <c r="M272" i="11"/>
  <c r="M271" i="11"/>
  <c r="M270" i="11"/>
  <c r="M269" i="11"/>
  <c r="M268" i="11"/>
  <c r="M267" i="11"/>
  <c r="M266" i="11"/>
  <c r="M265" i="11"/>
  <c r="M264" i="11"/>
  <c r="M263" i="11"/>
  <c r="M262" i="11"/>
  <c r="M261" i="11"/>
  <c r="M260" i="11"/>
  <c r="M259" i="11"/>
  <c r="M258" i="11"/>
  <c r="M257" i="11"/>
  <c r="M256" i="11"/>
  <c r="M255" i="11"/>
  <c r="M254" i="11"/>
  <c r="M253" i="11"/>
  <c r="M252" i="11"/>
  <c r="M251" i="11"/>
  <c r="M250" i="11"/>
  <c r="M249" i="11"/>
  <c r="M248" i="11"/>
  <c r="M247" i="11"/>
  <c r="M246" i="11"/>
  <c r="M245" i="11"/>
  <c r="M244" i="11"/>
  <c r="M243" i="11"/>
  <c r="M242" i="11"/>
  <c r="M241" i="11"/>
  <c r="M240" i="11"/>
  <c r="M239" i="11"/>
  <c r="M238" i="11"/>
  <c r="M237" i="11"/>
  <c r="M236" i="11"/>
  <c r="M235" i="11"/>
  <c r="M234" i="11"/>
  <c r="M233" i="11"/>
  <c r="M232" i="11"/>
  <c r="M231" i="11"/>
  <c r="M230" i="11"/>
  <c r="M229" i="11"/>
  <c r="M228" i="11"/>
  <c r="M227" i="11"/>
  <c r="M226" i="11"/>
  <c r="M225" i="11"/>
  <c r="M224" i="11"/>
  <c r="M223" i="11"/>
  <c r="M222" i="11"/>
  <c r="M221" i="11"/>
  <c r="M220" i="11"/>
  <c r="M219" i="11"/>
  <c r="M218" i="11"/>
  <c r="M217" i="11"/>
  <c r="M216" i="11"/>
  <c r="M215" i="11"/>
  <c r="M214" i="11"/>
  <c r="M213" i="11"/>
  <c r="M212" i="11"/>
  <c r="M211" i="11"/>
  <c r="M210" i="11"/>
  <c r="M209" i="11"/>
  <c r="M208" i="11"/>
  <c r="M207" i="11"/>
  <c r="M206" i="11"/>
  <c r="L2" i="11"/>
  <c r="J2" i="11"/>
  <c r="I2" i="11"/>
  <c r="H2" i="11"/>
  <c r="E2" i="11"/>
  <c r="M2" i="11" l="1"/>
  <c r="K2" i="11" l="1"/>
  <c r="G197" i="11"/>
  <c r="F197" i="11"/>
  <c r="G196" i="11"/>
  <c r="F196" i="11"/>
  <c r="G195" i="11"/>
  <c r="F195" i="11"/>
  <c r="G194" i="11"/>
  <c r="F194" i="11"/>
  <c r="G193" i="11"/>
  <c r="F193" i="11"/>
  <c r="G192" i="11"/>
  <c r="F192" i="11"/>
  <c r="G191" i="11"/>
  <c r="F191" i="11"/>
  <c r="G190" i="11"/>
  <c r="F190" i="11"/>
  <c r="G189" i="11"/>
  <c r="F189" i="11"/>
  <c r="G188" i="11"/>
  <c r="F188" i="11"/>
  <c r="G187" i="11"/>
  <c r="F187" i="11"/>
  <c r="G186" i="11"/>
  <c r="F186" i="11"/>
  <c r="G185" i="11"/>
  <c r="F185" i="11"/>
  <c r="D197" i="11"/>
  <c r="C197" i="11"/>
  <c r="D196" i="11"/>
  <c r="C196" i="11"/>
  <c r="D195" i="11"/>
  <c r="C195" i="11"/>
  <c r="D194" i="11"/>
  <c r="C194" i="11"/>
  <c r="D193" i="11"/>
  <c r="C193" i="11"/>
  <c r="D192" i="11"/>
  <c r="C192" i="11"/>
  <c r="D191" i="11"/>
  <c r="C191" i="11"/>
  <c r="D190" i="11"/>
  <c r="C190" i="11"/>
  <c r="D189" i="11"/>
  <c r="C189" i="11"/>
  <c r="D188" i="11"/>
  <c r="C188" i="11"/>
  <c r="D187" i="11"/>
  <c r="C187" i="11"/>
  <c r="D186" i="11"/>
  <c r="C186" i="11"/>
  <c r="D185" i="11"/>
  <c r="C185" i="11"/>
  <c r="U10" i="8" l="1"/>
  <c r="T10" i="8"/>
  <c r="S10" i="8"/>
  <c r="R10" i="8"/>
  <c r="Q10" i="8"/>
  <c r="P10" i="8"/>
  <c r="O10" i="8"/>
  <c r="N10" i="8"/>
  <c r="M10" i="8"/>
  <c r="L10" i="8"/>
  <c r="K10" i="8"/>
  <c r="J10" i="8"/>
  <c r="I10" i="8"/>
  <c r="H10" i="8"/>
  <c r="G10" i="8"/>
  <c r="U21" i="8"/>
  <c r="T21" i="8"/>
  <c r="S21" i="8"/>
  <c r="R21" i="8"/>
  <c r="Q21" i="8"/>
  <c r="P21" i="8"/>
  <c r="O21" i="8"/>
  <c r="N21" i="8"/>
  <c r="M21" i="8"/>
  <c r="L21" i="8"/>
  <c r="K21" i="8"/>
  <c r="J21" i="8"/>
  <c r="I21" i="8"/>
  <c r="H21" i="8"/>
  <c r="G21" i="8"/>
  <c r="U32" i="8"/>
  <c r="T32" i="8"/>
  <c r="S32" i="8"/>
  <c r="R32" i="8"/>
  <c r="Q32" i="8"/>
  <c r="P32" i="8"/>
  <c r="O32" i="8"/>
  <c r="N32" i="8"/>
  <c r="M32" i="8"/>
  <c r="L32" i="8"/>
  <c r="K32" i="8"/>
  <c r="J32" i="8"/>
  <c r="I32" i="8"/>
  <c r="H32" i="8"/>
  <c r="G32" i="8"/>
  <c r="U43" i="8"/>
  <c r="T43" i="8"/>
  <c r="S43" i="8"/>
  <c r="R43" i="8"/>
  <c r="Q43" i="8"/>
  <c r="P43" i="8"/>
  <c r="O43" i="8"/>
  <c r="N43" i="8"/>
  <c r="M43" i="8"/>
  <c r="L43" i="8"/>
  <c r="K43" i="8"/>
  <c r="J43" i="8"/>
  <c r="I43" i="8"/>
  <c r="H43" i="8"/>
  <c r="G43" i="8"/>
  <c r="U54" i="8"/>
  <c r="T54" i="8"/>
  <c r="S54" i="8"/>
  <c r="R54" i="8"/>
  <c r="Q54" i="8"/>
  <c r="P54" i="8"/>
  <c r="O54" i="8"/>
  <c r="N54" i="8"/>
  <c r="M54" i="8"/>
  <c r="L54" i="8"/>
  <c r="K54" i="8"/>
  <c r="J54" i="8"/>
  <c r="I54" i="8"/>
  <c r="H54" i="8"/>
  <c r="G54" i="8"/>
  <c r="U65" i="8"/>
  <c r="T65" i="8"/>
  <c r="S65" i="8"/>
  <c r="R65" i="8"/>
  <c r="Q65" i="8"/>
  <c r="P65" i="8"/>
  <c r="O65" i="8"/>
  <c r="N65" i="8"/>
  <c r="M65" i="8"/>
  <c r="L65" i="8"/>
  <c r="K65" i="8"/>
  <c r="J65" i="8"/>
  <c r="I65" i="8"/>
  <c r="H65" i="8"/>
  <c r="AR4" i="8"/>
  <c r="AQ4" i="8"/>
  <c r="AP4" i="8"/>
  <c r="AO4" i="8"/>
  <c r="AN4" i="8"/>
  <c r="AM4" i="8"/>
  <c r="AL4" i="8"/>
  <c r="AK4" i="8"/>
  <c r="AJ4" i="8"/>
  <c r="AI4" i="8"/>
  <c r="AH4" i="8"/>
  <c r="AG4" i="8"/>
  <c r="AF4" i="8"/>
  <c r="AE4" i="8"/>
  <c r="AD4" i="8"/>
  <c r="AC4" i="8"/>
  <c r="G51" i="8"/>
  <c r="G40" i="8"/>
  <c r="G29" i="8"/>
  <c r="G18" i="8"/>
  <c r="G7" i="8"/>
  <c r="B59" i="8"/>
  <c r="C59" i="8"/>
  <c r="D59" i="8"/>
  <c r="E59" i="8"/>
  <c r="F59" i="8"/>
  <c r="G59" i="8"/>
  <c r="H59" i="8"/>
  <c r="I59" i="8"/>
  <c r="J59" i="8"/>
  <c r="K59" i="8"/>
  <c r="L59" i="8"/>
  <c r="M59" i="8"/>
  <c r="N59" i="8"/>
  <c r="O59" i="8"/>
  <c r="P59" i="8"/>
  <c r="Q59" i="8"/>
  <c r="R59" i="8"/>
  <c r="S59" i="8"/>
  <c r="T59" i="8"/>
  <c r="U59" i="8"/>
  <c r="V59" i="8"/>
  <c r="B62" i="8"/>
  <c r="C62" i="8"/>
  <c r="D62" i="8"/>
  <c r="E62" i="8"/>
  <c r="F62" i="8"/>
  <c r="G65" i="8"/>
  <c r="B48" i="8"/>
  <c r="C48" i="8"/>
  <c r="D48" i="8"/>
  <c r="E48" i="8"/>
  <c r="F48" i="8"/>
  <c r="G48" i="8"/>
  <c r="H48" i="8"/>
  <c r="I48" i="8"/>
  <c r="J48" i="8"/>
  <c r="K48" i="8"/>
  <c r="L48" i="8"/>
  <c r="M48" i="8"/>
  <c r="N48" i="8"/>
  <c r="O48" i="8"/>
  <c r="P48" i="8"/>
  <c r="Q48" i="8"/>
  <c r="R48" i="8"/>
  <c r="S48" i="8"/>
  <c r="T48" i="8"/>
  <c r="U48" i="8"/>
  <c r="V48" i="8"/>
  <c r="B51" i="8"/>
  <c r="C51" i="8"/>
  <c r="D51" i="8"/>
  <c r="E51" i="8"/>
  <c r="F51" i="8"/>
  <c r="V54" i="8"/>
  <c r="B37" i="8"/>
  <c r="C37" i="8"/>
  <c r="D37" i="8"/>
  <c r="E37" i="8"/>
  <c r="F37" i="8"/>
  <c r="G37" i="8"/>
  <c r="H37" i="8"/>
  <c r="I37" i="8"/>
  <c r="J37" i="8"/>
  <c r="K37" i="8"/>
  <c r="L37" i="8"/>
  <c r="M37" i="8"/>
  <c r="N37" i="8"/>
  <c r="O37" i="8"/>
  <c r="P37" i="8"/>
  <c r="Q37" i="8"/>
  <c r="R37" i="8"/>
  <c r="S37" i="8"/>
  <c r="T37" i="8"/>
  <c r="U37" i="8"/>
  <c r="V37" i="8"/>
  <c r="B40" i="8"/>
  <c r="C40" i="8"/>
  <c r="D40" i="8"/>
  <c r="E40" i="8"/>
  <c r="F40" i="8"/>
  <c r="B26" i="8"/>
  <c r="C26" i="8"/>
  <c r="D26" i="8"/>
  <c r="E26" i="8"/>
  <c r="F26" i="8"/>
  <c r="G26" i="8"/>
  <c r="H26" i="8"/>
  <c r="I26" i="8"/>
  <c r="J26" i="8"/>
  <c r="K26" i="8"/>
  <c r="L26" i="8"/>
  <c r="M26" i="8"/>
  <c r="N26" i="8"/>
  <c r="O26" i="8"/>
  <c r="P26" i="8"/>
  <c r="Q26" i="8"/>
  <c r="R26" i="8"/>
  <c r="S26" i="8"/>
  <c r="T26" i="8"/>
  <c r="U26" i="8"/>
  <c r="V26" i="8"/>
  <c r="B29" i="8"/>
  <c r="C29" i="8"/>
  <c r="D29" i="8"/>
  <c r="E29" i="8"/>
  <c r="F29" i="8"/>
  <c r="B15" i="8"/>
  <c r="C15" i="8"/>
  <c r="D15" i="8"/>
  <c r="E15" i="8"/>
  <c r="F15" i="8"/>
  <c r="G15" i="8"/>
  <c r="H15" i="8"/>
  <c r="I15" i="8"/>
  <c r="J15" i="8"/>
  <c r="K15" i="8"/>
  <c r="L15" i="8"/>
  <c r="M15" i="8"/>
  <c r="N15" i="8"/>
  <c r="O15" i="8"/>
  <c r="P15" i="8"/>
  <c r="Q15" i="8"/>
  <c r="R15" i="8"/>
  <c r="S15" i="8"/>
  <c r="T15" i="8"/>
  <c r="U15" i="8"/>
  <c r="V15" i="8"/>
  <c r="B18" i="8"/>
  <c r="C18" i="8"/>
  <c r="D18" i="8"/>
  <c r="E18" i="8"/>
  <c r="F18" i="8"/>
  <c r="B4" i="8"/>
  <c r="C4" i="8"/>
  <c r="D4" i="8"/>
  <c r="E4" i="8"/>
  <c r="F4" i="8"/>
  <c r="G4" i="8"/>
  <c r="H4" i="8"/>
  <c r="I4" i="8"/>
  <c r="J4" i="8"/>
  <c r="K4" i="8"/>
  <c r="L4" i="8"/>
  <c r="M4" i="8"/>
  <c r="N4" i="8"/>
  <c r="O4" i="8"/>
  <c r="P4" i="8"/>
  <c r="Q4" i="8"/>
  <c r="R4" i="8"/>
  <c r="S4" i="8"/>
  <c r="T4" i="8"/>
  <c r="U4" i="8"/>
  <c r="V4" i="8"/>
  <c r="B7" i="8"/>
  <c r="C7" i="8"/>
  <c r="D7" i="8"/>
  <c r="E7" i="8"/>
  <c r="F7" i="8"/>
  <c r="H37" i="6"/>
  <c r="G37" i="6"/>
  <c r="F37" i="6"/>
  <c r="E37" i="6"/>
  <c r="D37" i="6"/>
  <c r="C37" i="6"/>
  <c r="B37" i="6"/>
  <c r="H32" i="6"/>
  <c r="G32" i="6"/>
  <c r="F32" i="6"/>
  <c r="E32" i="6"/>
  <c r="D32" i="6"/>
  <c r="C32" i="6"/>
  <c r="B32" i="6"/>
  <c r="H27" i="6"/>
  <c r="G27" i="6"/>
  <c r="F27" i="6"/>
  <c r="E27" i="6"/>
  <c r="D27" i="6"/>
  <c r="C27" i="6"/>
  <c r="B27" i="6"/>
  <c r="H22" i="6"/>
  <c r="G22" i="6"/>
  <c r="F22" i="6"/>
  <c r="E22" i="6"/>
  <c r="D22" i="6"/>
  <c r="C22" i="6"/>
  <c r="B22" i="6"/>
  <c r="X36" i="6"/>
  <c r="W36" i="6"/>
  <c r="V36" i="6"/>
  <c r="U36" i="6"/>
  <c r="T36" i="6"/>
  <c r="S36" i="6"/>
  <c r="R36" i="6"/>
  <c r="Q36" i="6"/>
  <c r="P36" i="6"/>
  <c r="O36" i="6"/>
  <c r="N36" i="6"/>
  <c r="M36" i="6"/>
  <c r="L36" i="6"/>
  <c r="K36" i="6"/>
  <c r="J36" i="6"/>
  <c r="I36" i="6"/>
  <c r="H36" i="6"/>
  <c r="G36" i="6"/>
  <c r="F36" i="6"/>
  <c r="E36" i="6"/>
  <c r="D36" i="6"/>
  <c r="C36" i="6"/>
  <c r="B36" i="6"/>
  <c r="X31" i="6"/>
  <c r="W31" i="6"/>
  <c r="V31" i="6"/>
  <c r="U31" i="6"/>
  <c r="T31" i="6"/>
  <c r="S31" i="6"/>
  <c r="R31" i="6"/>
  <c r="Q31" i="6"/>
  <c r="P31" i="6"/>
  <c r="O31" i="6"/>
  <c r="N31" i="6"/>
  <c r="M31" i="6"/>
  <c r="L31" i="6"/>
  <c r="K31" i="6"/>
  <c r="J31" i="6"/>
  <c r="I31" i="6"/>
  <c r="H31" i="6"/>
  <c r="G31" i="6"/>
  <c r="F31" i="6"/>
  <c r="E31" i="6"/>
  <c r="D31" i="6"/>
  <c r="C31" i="6"/>
  <c r="B31" i="6"/>
  <c r="X26" i="6"/>
  <c r="W26" i="6"/>
  <c r="V26" i="6"/>
  <c r="U26" i="6"/>
  <c r="T26" i="6"/>
  <c r="S26" i="6"/>
  <c r="R26" i="6"/>
  <c r="Q26" i="6"/>
  <c r="P26" i="6"/>
  <c r="O26" i="6"/>
  <c r="N26" i="6"/>
  <c r="M26" i="6"/>
  <c r="L26" i="6"/>
  <c r="K26" i="6"/>
  <c r="J26" i="6"/>
  <c r="I26" i="6"/>
  <c r="H26" i="6"/>
  <c r="G26" i="6"/>
  <c r="F26" i="6"/>
  <c r="E26" i="6"/>
  <c r="D26" i="6"/>
  <c r="C26" i="6"/>
  <c r="B26" i="6"/>
  <c r="X21" i="6"/>
  <c r="W21" i="6"/>
  <c r="V21" i="6"/>
  <c r="U21" i="6"/>
  <c r="T21" i="6"/>
  <c r="S21" i="6"/>
  <c r="R21" i="6"/>
  <c r="Q21" i="6"/>
  <c r="P21" i="6"/>
  <c r="O21" i="6"/>
  <c r="N21" i="6"/>
  <c r="M21" i="6"/>
  <c r="L21" i="6"/>
  <c r="K21" i="6"/>
  <c r="J21" i="6"/>
  <c r="I21" i="6"/>
  <c r="H21" i="6"/>
  <c r="G21" i="6"/>
  <c r="F21" i="6"/>
  <c r="E21" i="6"/>
  <c r="D21" i="6"/>
  <c r="C21" i="6"/>
  <c r="B21" i="6"/>
  <c r="BC88" i="7"/>
  <c r="BC84" i="7"/>
  <c r="BC86" i="7"/>
  <c r="BC85" i="7"/>
  <c r="BC83" i="7"/>
  <c r="BR116" i="7"/>
  <c r="BQ116" i="7"/>
  <c r="BP116" i="7"/>
  <c r="BO116" i="7"/>
  <c r="BN116" i="7"/>
  <c r="BM116" i="7"/>
  <c r="BL116" i="7"/>
  <c r="BK116" i="7"/>
  <c r="BJ116" i="7"/>
  <c r="BI116" i="7"/>
  <c r="BH116" i="7"/>
  <c r="BG116" i="7"/>
  <c r="BF116" i="7"/>
  <c r="BE116" i="7"/>
  <c r="BD116" i="7"/>
  <c r="BC115" i="7"/>
  <c r="BC114" i="7"/>
  <c r="BC113" i="7"/>
  <c r="BC112" i="7"/>
  <c r="BC111" i="7"/>
  <c r="BC110" i="7"/>
  <c r="BC109" i="7"/>
  <c r="BC108" i="7"/>
  <c r="BC107" i="7"/>
  <c r="BC106" i="7"/>
  <c r="BC105" i="7"/>
  <c r="BC104" i="7"/>
  <c r="BC103" i="7"/>
  <c r="BC102" i="7"/>
  <c r="BC101" i="7"/>
  <c r="BC100" i="7"/>
  <c r="BC99" i="7"/>
  <c r="BC98" i="7"/>
  <c r="BC97" i="7"/>
  <c r="BC96" i="7"/>
  <c r="BC95" i="7"/>
  <c r="BC94" i="7"/>
  <c r="BC89" i="7"/>
  <c r="BC87" i="7"/>
  <c r="BC78" i="7"/>
  <c r="BC77" i="7"/>
  <c r="BC76" i="7"/>
  <c r="BC75" i="7"/>
  <c r="BC74" i="7"/>
  <c r="BC73" i="7"/>
  <c r="BC72" i="7"/>
  <c r="BC71" i="7"/>
  <c r="BC70" i="7"/>
  <c r="BC69" i="7"/>
  <c r="BC68" i="7"/>
  <c r="BC67" i="7"/>
  <c r="BC66" i="7"/>
  <c r="BC65" i="7"/>
  <c r="BC64" i="7"/>
  <c r="BC63" i="7"/>
  <c r="BC62" i="7"/>
  <c r="BC61" i="7"/>
  <c r="BC60" i="7"/>
  <c r="BC59" i="7"/>
  <c r="BC58" i="7"/>
  <c r="BC57" i="7"/>
  <c r="BC56" i="7"/>
  <c r="BC55" i="7"/>
  <c r="BC54" i="7"/>
  <c r="BC53" i="7"/>
  <c r="BC52" i="7"/>
  <c r="BC51" i="7"/>
  <c r="BC50" i="7"/>
  <c r="BC49" i="7"/>
  <c r="BC48" i="7"/>
  <c r="BC47" i="7"/>
  <c r="BC46" i="7"/>
  <c r="BC45" i="7"/>
  <c r="BC44" i="7"/>
  <c r="BC43" i="7"/>
  <c r="BC42" i="7"/>
  <c r="BC41" i="7"/>
  <c r="BC40" i="7"/>
  <c r="BC39" i="7"/>
  <c r="BC38" i="7"/>
  <c r="BC37" i="7"/>
  <c r="BC32" i="7"/>
  <c r="BC31" i="7"/>
  <c r="BC30" i="7"/>
  <c r="BC29" i="7"/>
  <c r="BC28" i="7"/>
  <c r="BC27" i="7"/>
  <c r="BC26" i="7"/>
  <c r="BC25" i="7"/>
  <c r="BC24" i="7"/>
  <c r="BC23" i="7"/>
  <c r="BC22" i="7"/>
  <c r="BC21" i="7"/>
  <c r="BC20" i="7"/>
  <c r="BC19" i="7"/>
  <c r="BC18" i="7"/>
  <c r="BC17" i="7"/>
  <c r="BC16" i="7"/>
  <c r="BC15" i="7"/>
  <c r="BC14" i="7"/>
  <c r="BC13" i="7"/>
  <c r="BC12" i="7"/>
  <c r="BC11" i="7"/>
  <c r="BC10" i="7"/>
  <c r="BC9" i="7"/>
  <c r="BC8" i="7"/>
  <c r="BC7" i="7"/>
  <c r="BC6" i="7"/>
  <c r="BC5" i="7"/>
  <c r="BC4" i="7"/>
  <c r="BC3" i="7"/>
  <c r="BB116" i="7"/>
  <c r="BA116" i="7"/>
  <c r="AZ116" i="7"/>
  <c r="AY116" i="7"/>
  <c r="AX116" i="7"/>
  <c r="AW116" i="7"/>
  <c r="AV116" i="7"/>
  <c r="AU116" i="7"/>
  <c r="AT116" i="7"/>
  <c r="AS116" i="7"/>
  <c r="AR116" i="7"/>
  <c r="AQ116" i="7"/>
  <c r="AP116" i="7"/>
  <c r="AO116" i="7"/>
  <c r="AN116" i="7"/>
  <c r="AM116" i="7"/>
  <c r="AL116" i="7"/>
  <c r="AK116" i="7"/>
  <c r="AJ116" i="7"/>
  <c r="AI116" i="7"/>
  <c r="AH116" i="7"/>
  <c r="AG116" i="7"/>
  <c r="AF116" i="7"/>
  <c r="AE116" i="7"/>
  <c r="AD116" i="7"/>
  <c r="AC116" i="7"/>
  <c r="AB116" i="7"/>
  <c r="AA116" i="7"/>
  <c r="Z116" i="7"/>
  <c r="Y116" i="7"/>
  <c r="X116" i="7"/>
  <c r="W116" i="7"/>
  <c r="V116" i="7"/>
  <c r="U116" i="7"/>
  <c r="T116" i="7"/>
  <c r="S116" i="7"/>
  <c r="R116" i="7"/>
  <c r="Q116" i="7"/>
  <c r="I32" i="6" s="1"/>
  <c r="P116" i="7"/>
  <c r="O116" i="7"/>
  <c r="N116" i="7"/>
  <c r="M116" i="7"/>
  <c r="L116" i="7"/>
  <c r="K116" i="7"/>
  <c r="J116" i="7"/>
  <c r="I116" i="7"/>
  <c r="H116" i="7"/>
  <c r="G116" i="7"/>
  <c r="F116" i="7"/>
  <c r="E116" i="7"/>
  <c r="D116" i="7"/>
  <c r="C116" i="7"/>
  <c r="B116" i="7"/>
  <c r="H17" i="6"/>
  <c r="H15" i="6" s="1"/>
  <c r="I15" i="6" s="1"/>
  <c r="J15" i="6" s="1"/>
  <c r="K15" i="6" s="1"/>
  <c r="L15" i="6" s="1"/>
  <c r="M15" i="6" s="1"/>
  <c r="N15" i="6" s="1"/>
  <c r="O15" i="6" s="1"/>
  <c r="P15" i="6" s="1"/>
  <c r="Q15" i="6" s="1"/>
  <c r="R15" i="6" s="1"/>
  <c r="S15" i="6" s="1"/>
  <c r="T15" i="6" s="1"/>
  <c r="U15" i="6" s="1"/>
  <c r="V15" i="6" s="1"/>
  <c r="W15" i="6" s="1"/>
  <c r="X15" i="6" s="1"/>
  <c r="D17" i="6"/>
  <c r="E17" i="6" s="1"/>
  <c r="F17" i="6" s="1"/>
  <c r="G17" i="6" s="1"/>
  <c r="C17" i="6"/>
  <c r="B17" i="6"/>
  <c r="H14" i="6"/>
  <c r="X5" i="6"/>
  <c r="W5" i="6"/>
  <c r="V5" i="6"/>
  <c r="U5" i="6"/>
  <c r="T5" i="6"/>
  <c r="S5" i="6"/>
  <c r="R5" i="6"/>
  <c r="Q5" i="6"/>
  <c r="P5" i="6"/>
  <c r="O5" i="6"/>
  <c r="N5" i="6"/>
  <c r="M5" i="6"/>
  <c r="L5" i="6"/>
  <c r="K5" i="6"/>
  <c r="J5" i="6"/>
  <c r="I5" i="6"/>
  <c r="I8" i="6"/>
  <c r="BC116" i="7" l="1"/>
  <c r="B8" i="6" l="1"/>
  <c r="C8" i="6" s="1"/>
  <c r="D8" i="6" s="1"/>
  <c r="E8" i="6" s="1"/>
  <c r="F8" i="6" s="1"/>
  <c r="G8" i="6" s="1"/>
  <c r="H8" i="6" s="1"/>
  <c r="B4" i="6"/>
  <c r="C4" i="6" s="1"/>
  <c r="D4" i="6" s="1"/>
  <c r="E4" i="6" s="1"/>
  <c r="F4" i="6" s="1"/>
  <c r="G4" i="6" s="1"/>
  <c r="H4" i="6" s="1"/>
  <c r="I4" i="6" s="1"/>
  <c r="J4" i="6" s="1"/>
  <c r="K4" i="6" s="1"/>
  <c r="L4" i="6" s="1"/>
  <c r="M4" i="6" s="1"/>
  <c r="N4" i="6" s="1"/>
  <c r="O4" i="6" s="1"/>
  <c r="P4" i="6" s="1"/>
  <c r="Q4" i="6" s="1"/>
  <c r="R4" i="6" s="1"/>
  <c r="S4" i="6" s="1"/>
  <c r="T4" i="6" s="1"/>
  <c r="U4" i="6" s="1"/>
  <c r="V4" i="6" s="1"/>
  <c r="W4" i="6" s="1"/>
  <c r="X4" i="6" s="1"/>
  <c r="G4" i="11" l="1"/>
  <c r="D4" i="11"/>
  <c r="F4" i="11"/>
  <c r="C4" i="11"/>
  <c r="B4" i="11" l="1"/>
  <c r="A5" i="11"/>
  <c r="A6" i="11" l="1"/>
  <c r="A7" i="11" s="1"/>
  <c r="D5" i="11"/>
  <c r="F5" i="11"/>
  <c r="C5" i="11"/>
  <c r="G5" i="11"/>
  <c r="B5" i="11"/>
  <c r="B6" i="11" l="1"/>
  <c r="G7" i="11"/>
  <c r="D7" i="11"/>
  <c r="C7" i="11"/>
  <c r="F7" i="11"/>
  <c r="G6" i="11"/>
  <c r="F6" i="11"/>
  <c r="C6" i="11"/>
  <c r="D6" i="11"/>
  <c r="A8" i="11"/>
  <c r="B7" i="11"/>
  <c r="G8" i="11" l="1"/>
  <c r="C8" i="11"/>
  <c r="F8" i="11"/>
  <c r="D8" i="11"/>
  <c r="A9" i="11"/>
  <c r="B8" i="11"/>
  <c r="D9" i="11" l="1"/>
  <c r="G9" i="11"/>
  <c r="F9" i="11"/>
  <c r="C9" i="11"/>
  <c r="A10" i="11"/>
  <c r="B9" i="11"/>
  <c r="G10" i="11" l="1"/>
  <c r="F10" i="11"/>
  <c r="C10" i="11"/>
  <c r="D10" i="11"/>
  <c r="A11" i="11"/>
  <c r="B10" i="11"/>
  <c r="D11" i="11" l="1"/>
  <c r="F11" i="11"/>
  <c r="G11" i="11"/>
  <c r="C11" i="11"/>
  <c r="A12" i="11"/>
  <c r="B11" i="11"/>
  <c r="G12" i="11" l="1"/>
  <c r="D12" i="11"/>
  <c r="F12" i="11"/>
  <c r="C12" i="11"/>
  <c r="A13" i="11"/>
  <c r="B12" i="11"/>
  <c r="G13" i="11" l="1"/>
  <c r="D13" i="11"/>
  <c r="F13" i="11"/>
  <c r="C13" i="11"/>
  <c r="A14" i="11"/>
  <c r="B13" i="11"/>
  <c r="G14" i="11" l="1"/>
  <c r="D14" i="11"/>
  <c r="F14" i="11"/>
  <c r="C14" i="11"/>
  <c r="A15" i="11"/>
  <c r="B14" i="11"/>
  <c r="G15" i="11" l="1"/>
  <c r="D15" i="11"/>
  <c r="F15" i="11"/>
  <c r="C15" i="11"/>
  <c r="A16" i="11"/>
  <c r="B15" i="11"/>
  <c r="G16" i="11" l="1"/>
  <c r="D16" i="11"/>
  <c r="C16" i="11"/>
  <c r="F16" i="11"/>
  <c r="A17" i="11"/>
  <c r="B16" i="11"/>
  <c r="G17" i="11" l="1"/>
  <c r="D17" i="11"/>
  <c r="F17" i="11"/>
  <c r="C17" i="11"/>
  <c r="A18" i="11"/>
  <c r="B17" i="11"/>
  <c r="G18" i="11" l="1"/>
  <c r="D18" i="11"/>
  <c r="F18" i="11"/>
  <c r="C18" i="11"/>
  <c r="A19" i="11"/>
  <c r="B18" i="11"/>
  <c r="G19" i="11" l="1"/>
  <c r="D19" i="11"/>
  <c r="C19" i="11"/>
  <c r="F19" i="11"/>
  <c r="A20" i="11"/>
  <c r="B19" i="11"/>
  <c r="G20" i="11" l="1"/>
  <c r="F20" i="11"/>
  <c r="D20" i="11"/>
  <c r="C20" i="11"/>
  <c r="A21" i="11"/>
  <c r="B20" i="11"/>
  <c r="D21" i="11" l="1"/>
  <c r="G21" i="11"/>
  <c r="F21" i="11"/>
  <c r="C21" i="11"/>
  <c r="A22" i="11"/>
  <c r="B21" i="11"/>
  <c r="G22" i="11" l="1"/>
  <c r="F22" i="11"/>
  <c r="D22" i="11"/>
  <c r="C22" i="11"/>
  <c r="A23" i="11"/>
  <c r="B22" i="11"/>
  <c r="G23" i="11" l="1"/>
  <c r="D23" i="11"/>
  <c r="C23" i="11"/>
  <c r="F23" i="11"/>
  <c r="A24" i="11"/>
  <c r="B23" i="11"/>
  <c r="G24" i="11" l="1"/>
  <c r="D24" i="11"/>
  <c r="F24" i="11"/>
  <c r="C24" i="11"/>
  <c r="A25" i="11"/>
  <c r="B24" i="11"/>
  <c r="G25" i="11" l="1"/>
  <c r="D25" i="11"/>
  <c r="F25" i="11"/>
  <c r="C25" i="11"/>
  <c r="A26" i="11"/>
  <c r="B25" i="11"/>
  <c r="G26" i="11" l="1"/>
  <c r="D26" i="11"/>
  <c r="F26" i="11"/>
  <c r="C26" i="11"/>
  <c r="A27" i="11"/>
  <c r="B26" i="11"/>
  <c r="G27" i="11" l="1"/>
  <c r="C27" i="11"/>
  <c r="F27" i="11"/>
  <c r="D27" i="11"/>
  <c r="A28" i="11"/>
  <c r="B27" i="11"/>
  <c r="G28" i="11" l="1"/>
  <c r="F28" i="11"/>
  <c r="C28" i="11"/>
  <c r="D28" i="11"/>
  <c r="A29" i="11"/>
  <c r="B28" i="11"/>
  <c r="G29" i="11" l="1"/>
  <c r="D29" i="11"/>
  <c r="F29" i="11"/>
  <c r="C29" i="11"/>
  <c r="A30" i="11"/>
  <c r="B29" i="11"/>
  <c r="G30" i="11" l="1"/>
  <c r="F30" i="11"/>
  <c r="D30" i="11"/>
  <c r="C30" i="11"/>
  <c r="A31" i="11"/>
  <c r="B30" i="11"/>
  <c r="G31" i="11" l="1"/>
  <c r="D31" i="11"/>
  <c r="F31" i="11"/>
  <c r="C31" i="11"/>
  <c r="A32" i="11"/>
  <c r="B31" i="11"/>
  <c r="G32" i="11" l="1"/>
  <c r="D32" i="11"/>
  <c r="F32" i="11"/>
  <c r="C32" i="11"/>
  <c r="A33" i="11"/>
  <c r="B32" i="11"/>
  <c r="D33" i="11" l="1"/>
  <c r="G33" i="11"/>
  <c r="C33" i="11"/>
  <c r="F33" i="11"/>
  <c r="A34" i="11"/>
  <c r="B33" i="11"/>
  <c r="D34" i="11" l="1"/>
  <c r="G34" i="11"/>
  <c r="C34" i="11"/>
  <c r="F34" i="11"/>
  <c r="A35" i="11"/>
  <c r="B34" i="11"/>
  <c r="D35" i="11" l="1"/>
  <c r="F35" i="11"/>
  <c r="C35" i="11"/>
  <c r="G35" i="11"/>
  <c r="A36" i="11"/>
  <c r="B35" i="11"/>
  <c r="G36" i="11" l="1"/>
  <c r="D36" i="11"/>
  <c r="F36" i="11"/>
  <c r="C36" i="11"/>
  <c r="A37" i="11"/>
  <c r="B36" i="11"/>
  <c r="D37" i="11" l="1"/>
  <c r="F37" i="11"/>
  <c r="G37" i="11"/>
  <c r="C37" i="11"/>
  <c r="A38" i="11"/>
  <c r="B37" i="11"/>
  <c r="G38" i="11" l="1"/>
  <c r="F38" i="11"/>
  <c r="D38" i="11"/>
  <c r="C38" i="11"/>
  <c r="A39" i="11"/>
  <c r="B38" i="11"/>
  <c r="G39" i="11" l="1"/>
  <c r="D39" i="11"/>
  <c r="F39" i="11"/>
  <c r="C39" i="11"/>
  <c r="A40" i="11"/>
  <c r="B39" i="11"/>
  <c r="G40" i="11" l="1"/>
  <c r="D40" i="11"/>
  <c r="C40" i="11"/>
  <c r="F40" i="11"/>
  <c r="A41" i="11"/>
  <c r="B40" i="11"/>
  <c r="G41" i="11" l="1"/>
  <c r="D41" i="11"/>
  <c r="F41" i="11"/>
  <c r="C41" i="11"/>
  <c r="A42" i="11"/>
  <c r="B41" i="11"/>
  <c r="G42" i="11" l="1"/>
  <c r="D42" i="11"/>
  <c r="C42" i="11"/>
  <c r="F42" i="11"/>
  <c r="A43" i="11"/>
  <c r="B42" i="11"/>
  <c r="G43" i="11" l="1"/>
  <c r="D43" i="11"/>
  <c r="C43" i="11"/>
  <c r="F43" i="11"/>
  <c r="A44" i="11"/>
  <c r="B43" i="11"/>
  <c r="G44" i="11" l="1"/>
  <c r="D44" i="11"/>
  <c r="F44" i="11"/>
  <c r="C44" i="11"/>
  <c r="A45" i="11"/>
  <c r="B44" i="11"/>
  <c r="G45" i="11" l="1"/>
  <c r="D45" i="11"/>
  <c r="F45" i="11"/>
  <c r="C45" i="11"/>
  <c r="A46" i="11"/>
  <c r="B45" i="11"/>
  <c r="G46" i="11" l="1"/>
  <c r="D46" i="11"/>
  <c r="F46" i="11"/>
  <c r="C46" i="11"/>
  <c r="A47" i="11"/>
  <c r="B46" i="11"/>
  <c r="G47" i="11" l="1"/>
  <c r="D47" i="11"/>
  <c r="F47" i="11"/>
  <c r="C47" i="11"/>
  <c r="A48" i="11"/>
  <c r="B47" i="11"/>
  <c r="G48" i="11" l="1"/>
  <c r="D48" i="11"/>
  <c r="F48" i="11"/>
  <c r="C48" i="11"/>
  <c r="A49" i="11"/>
  <c r="B48" i="11"/>
  <c r="G49" i="11" l="1"/>
  <c r="F49" i="11"/>
  <c r="D49" i="11"/>
  <c r="C49" i="11"/>
  <c r="A50" i="11"/>
  <c r="B49" i="11"/>
  <c r="F50" i="11" l="1"/>
  <c r="C50" i="11"/>
  <c r="G50" i="11"/>
  <c r="D50" i="11"/>
  <c r="A51" i="11"/>
  <c r="B50" i="11"/>
  <c r="C51" i="11" l="1"/>
  <c r="D51" i="11"/>
  <c r="F51" i="11"/>
  <c r="G51" i="11"/>
  <c r="A52" i="11"/>
  <c r="B51" i="11"/>
  <c r="G52" i="11" l="1"/>
  <c r="F52" i="11"/>
  <c r="C52" i="11"/>
  <c r="D52" i="11"/>
  <c r="A53" i="11"/>
  <c r="B52" i="11"/>
  <c r="D53" i="11" l="1"/>
  <c r="F53" i="11"/>
  <c r="G53" i="11"/>
  <c r="C53" i="11"/>
  <c r="A54" i="11"/>
  <c r="B53" i="11"/>
  <c r="G54" i="11" l="1"/>
  <c r="F54" i="11"/>
  <c r="D54" i="11"/>
  <c r="C54" i="11"/>
  <c r="A55" i="11"/>
  <c r="B54" i="11"/>
  <c r="G55" i="11" l="1"/>
  <c r="D55" i="11"/>
  <c r="C55" i="11"/>
  <c r="F55" i="11"/>
  <c r="A56" i="11"/>
  <c r="B55" i="11"/>
  <c r="G56" i="11" l="1"/>
  <c r="D56" i="11"/>
  <c r="C56" i="11"/>
  <c r="F56" i="11"/>
  <c r="A57" i="11"/>
  <c r="B56" i="11"/>
  <c r="D57" i="11" l="1"/>
  <c r="G57" i="11"/>
  <c r="C57" i="11"/>
  <c r="F57" i="11"/>
  <c r="A58" i="11"/>
  <c r="B57" i="11"/>
  <c r="G58" i="11" l="1"/>
  <c r="D58" i="11"/>
  <c r="F58" i="11"/>
  <c r="C58" i="11"/>
  <c r="A59" i="11"/>
  <c r="B58" i="11"/>
  <c r="G59" i="11" l="1"/>
  <c r="D59" i="11"/>
  <c r="C59" i="11"/>
  <c r="F59" i="11"/>
  <c r="A60" i="11"/>
  <c r="B59" i="11"/>
  <c r="G60" i="11" l="1"/>
  <c r="F60" i="11"/>
  <c r="D60" i="11"/>
  <c r="C60" i="11"/>
  <c r="A61" i="11"/>
  <c r="B60" i="11"/>
  <c r="D61" i="11" l="1"/>
  <c r="G61" i="11"/>
  <c r="F61" i="11"/>
  <c r="C61" i="11"/>
  <c r="A62" i="11"/>
  <c r="B61" i="11"/>
  <c r="G62" i="11" l="1"/>
  <c r="D62" i="11"/>
  <c r="F62" i="11"/>
  <c r="C62" i="11"/>
  <c r="A63" i="11"/>
  <c r="B62" i="11"/>
  <c r="G63" i="11" l="1"/>
  <c r="D63" i="11"/>
  <c r="F63" i="11"/>
  <c r="C63" i="11"/>
  <c r="A64" i="11"/>
  <c r="B63" i="11"/>
  <c r="G64" i="11" l="1"/>
  <c r="D64" i="11"/>
  <c r="F64" i="11"/>
  <c r="C64" i="11"/>
  <c r="A65" i="11"/>
  <c r="B64" i="11"/>
  <c r="G65" i="11" l="1"/>
  <c r="D65" i="11"/>
  <c r="F65" i="11"/>
  <c r="C65" i="11"/>
  <c r="A66" i="11"/>
  <c r="B65" i="11"/>
  <c r="G66" i="11" l="1"/>
  <c r="D66" i="11"/>
  <c r="C66" i="11"/>
  <c r="F66" i="11"/>
  <c r="A67" i="11"/>
  <c r="B66" i="11"/>
  <c r="G67" i="11" l="1"/>
  <c r="D67" i="11"/>
  <c r="C67" i="11"/>
  <c r="F67" i="11"/>
  <c r="A68" i="11"/>
  <c r="B67" i="11"/>
  <c r="G68" i="11" l="1"/>
  <c r="D68" i="11"/>
  <c r="F68" i="11"/>
  <c r="C68" i="11"/>
  <c r="A69" i="11"/>
  <c r="B68" i="11"/>
  <c r="D69" i="11" l="1"/>
  <c r="F69" i="11"/>
  <c r="G69" i="11"/>
  <c r="C69" i="11"/>
  <c r="A70" i="11"/>
  <c r="B69" i="11"/>
  <c r="G70" i="11" l="1"/>
  <c r="D70" i="11"/>
  <c r="F70" i="11"/>
  <c r="C70" i="11"/>
  <c r="A71" i="11"/>
  <c r="B70" i="11"/>
  <c r="G71" i="11" l="1"/>
  <c r="D71" i="11"/>
  <c r="C71" i="11"/>
  <c r="F71" i="11"/>
  <c r="A72" i="11"/>
  <c r="B71" i="11"/>
  <c r="G72" i="11" l="1"/>
  <c r="C72" i="11"/>
  <c r="D72" i="11"/>
  <c r="F72" i="11"/>
  <c r="A73" i="11"/>
  <c r="B72" i="11"/>
  <c r="D73" i="11" l="1"/>
  <c r="G73" i="11"/>
  <c r="F73" i="11"/>
  <c r="C73" i="11"/>
  <c r="A74" i="11"/>
  <c r="B73" i="11"/>
  <c r="G74" i="11" l="1"/>
  <c r="F74" i="11"/>
  <c r="D74" i="11"/>
  <c r="C74" i="11"/>
  <c r="A75" i="11"/>
  <c r="B74" i="11"/>
  <c r="G75" i="11" l="1"/>
  <c r="F75" i="11"/>
  <c r="C75" i="11"/>
  <c r="D75" i="11"/>
  <c r="A76" i="11"/>
  <c r="B75" i="11"/>
  <c r="G76" i="11" l="1"/>
  <c r="F76" i="11"/>
  <c r="C76" i="11"/>
  <c r="D76" i="11"/>
  <c r="A77" i="11"/>
  <c r="B76" i="11"/>
  <c r="D77" i="11" l="1"/>
  <c r="G77" i="11"/>
  <c r="F77" i="11"/>
  <c r="C77" i="11"/>
  <c r="A78" i="11"/>
  <c r="B77" i="11"/>
  <c r="G78" i="11" l="1"/>
  <c r="F78" i="11"/>
  <c r="D78" i="11"/>
  <c r="C78" i="11"/>
  <c r="A79" i="11"/>
  <c r="B78" i="11"/>
  <c r="G79" i="11" l="1"/>
  <c r="D79" i="11"/>
  <c r="C79" i="11"/>
  <c r="F79" i="11"/>
  <c r="A80" i="11"/>
  <c r="B79" i="11"/>
  <c r="G80" i="11" l="1"/>
  <c r="D80" i="11"/>
  <c r="F80" i="11"/>
  <c r="C80" i="11"/>
  <c r="A81" i="11"/>
  <c r="B80" i="11"/>
  <c r="D81" i="11" l="1"/>
  <c r="F81" i="11"/>
  <c r="G81" i="11"/>
  <c r="C81" i="11"/>
  <c r="A82" i="11"/>
  <c r="B81" i="11"/>
  <c r="D82" i="11" l="1"/>
  <c r="G82" i="11"/>
  <c r="C82" i="11"/>
  <c r="F82" i="11"/>
  <c r="A83" i="11"/>
  <c r="B82" i="11"/>
  <c r="D83" i="11" l="1"/>
  <c r="G83" i="11"/>
  <c r="C83" i="11"/>
  <c r="F83" i="11"/>
  <c r="A84" i="11"/>
  <c r="B83" i="11"/>
  <c r="G84" i="11" l="1"/>
  <c r="F84" i="11"/>
  <c r="C84" i="11"/>
  <c r="D84" i="11"/>
  <c r="A85" i="11"/>
  <c r="B84" i="11"/>
  <c r="D85" i="11" l="1"/>
  <c r="G85" i="11"/>
  <c r="F85" i="11"/>
  <c r="C85" i="11"/>
  <c r="A86" i="11"/>
  <c r="B85" i="11"/>
  <c r="G86" i="11" l="1"/>
  <c r="F86" i="11"/>
  <c r="D86" i="11"/>
  <c r="C86" i="11"/>
  <c r="A87" i="11"/>
  <c r="B86" i="11"/>
  <c r="G87" i="11" l="1"/>
  <c r="D87" i="11"/>
  <c r="C87" i="11"/>
  <c r="F87" i="11"/>
  <c r="A88" i="11"/>
  <c r="B87" i="11"/>
  <c r="G88" i="11" l="1"/>
  <c r="D88" i="11"/>
  <c r="F88" i="11"/>
  <c r="C88" i="11"/>
  <c r="A89" i="11"/>
  <c r="B88" i="11"/>
  <c r="D89" i="11" l="1"/>
  <c r="G89" i="11"/>
  <c r="F89" i="11"/>
  <c r="C89" i="11"/>
  <c r="A90" i="11"/>
  <c r="B89" i="11"/>
  <c r="G90" i="11" l="1"/>
  <c r="D90" i="11"/>
  <c r="F90" i="11"/>
  <c r="C90" i="11"/>
  <c r="A91" i="11"/>
  <c r="B90" i="11"/>
  <c r="D91" i="11" l="1"/>
  <c r="F91" i="11"/>
  <c r="C91" i="11"/>
  <c r="G91" i="11"/>
  <c r="A92" i="11"/>
  <c r="B91" i="11"/>
  <c r="D92" i="11" l="1"/>
  <c r="G92" i="11"/>
  <c r="F92" i="11"/>
  <c r="C92" i="11"/>
  <c r="A93" i="11"/>
  <c r="B92" i="11"/>
  <c r="D93" i="11" l="1"/>
  <c r="G93" i="11"/>
  <c r="F93" i="11"/>
  <c r="C93" i="11"/>
  <c r="A94" i="11"/>
  <c r="B93" i="11"/>
  <c r="G94" i="11" l="1"/>
  <c r="F94" i="11"/>
  <c r="D94" i="11"/>
  <c r="C94" i="11"/>
  <c r="A95" i="11"/>
  <c r="B94" i="11"/>
  <c r="G95" i="11" l="1"/>
  <c r="D95" i="11"/>
  <c r="F95" i="11"/>
  <c r="C95" i="11"/>
  <c r="A96" i="11"/>
  <c r="B95" i="11"/>
  <c r="G96" i="11" l="1"/>
  <c r="D96" i="11"/>
  <c r="C96" i="11"/>
  <c r="F96" i="11"/>
  <c r="A97" i="11"/>
  <c r="B96" i="11"/>
  <c r="C97" i="11" l="1"/>
  <c r="G97" i="11"/>
  <c r="F97" i="11"/>
  <c r="D97" i="11"/>
  <c r="A98" i="11"/>
  <c r="B97" i="11"/>
  <c r="G98" i="11" l="1"/>
  <c r="C98" i="11"/>
  <c r="F98" i="11"/>
  <c r="D98" i="11"/>
  <c r="A99" i="11"/>
  <c r="B98" i="11"/>
  <c r="D99" i="11" l="1"/>
  <c r="G99" i="11"/>
  <c r="F99" i="11"/>
  <c r="C99" i="11"/>
  <c r="A100" i="11"/>
  <c r="B99" i="11"/>
  <c r="D100" i="11" l="1"/>
  <c r="G100" i="11"/>
  <c r="F100" i="11"/>
  <c r="C100" i="11"/>
  <c r="A101" i="11"/>
  <c r="B100" i="11"/>
  <c r="D101" i="11" l="1"/>
  <c r="F101" i="11"/>
  <c r="G101" i="11"/>
  <c r="C101" i="11"/>
  <c r="A102" i="11"/>
  <c r="B101" i="11"/>
  <c r="G102" i="11" l="1"/>
  <c r="F102" i="11"/>
  <c r="D102" i="11"/>
  <c r="C102" i="11"/>
  <c r="A103" i="11"/>
  <c r="B102" i="11"/>
  <c r="G103" i="11" l="1"/>
  <c r="D103" i="11"/>
  <c r="F103" i="11"/>
  <c r="C103" i="11"/>
  <c r="A104" i="11"/>
  <c r="B103" i="11"/>
  <c r="G104" i="11" l="1"/>
  <c r="F104" i="11"/>
  <c r="C104" i="11"/>
  <c r="D104" i="11"/>
  <c r="A105" i="11"/>
  <c r="B104" i="11"/>
  <c r="G105" i="11" l="1"/>
  <c r="D105" i="11"/>
  <c r="F105" i="11"/>
  <c r="C105" i="11"/>
  <c r="A106" i="11"/>
  <c r="B105" i="11"/>
  <c r="G106" i="11" l="1"/>
  <c r="D106" i="11"/>
  <c r="F106" i="11"/>
  <c r="C106" i="11"/>
  <c r="A107" i="11"/>
  <c r="B106" i="11"/>
  <c r="G107" i="11" l="1"/>
  <c r="D107" i="11"/>
  <c r="C107" i="11"/>
  <c r="F107" i="11"/>
  <c r="A108" i="11"/>
  <c r="B107" i="11"/>
  <c r="D108" i="11" l="1"/>
  <c r="G108" i="11"/>
  <c r="F108" i="11"/>
  <c r="C108" i="11"/>
  <c r="A109" i="11"/>
  <c r="B108" i="11"/>
  <c r="D109" i="11" l="1"/>
  <c r="G109" i="11"/>
  <c r="F109" i="11"/>
  <c r="C109" i="11"/>
  <c r="A110" i="11"/>
  <c r="B109" i="11"/>
  <c r="G110" i="11" l="1"/>
  <c r="D110" i="11"/>
  <c r="F110" i="11"/>
  <c r="C110" i="11"/>
  <c r="A111" i="11"/>
  <c r="B110" i="11"/>
  <c r="G111" i="11" l="1"/>
  <c r="D111" i="11"/>
  <c r="C111" i="11"/>
  <c r="F111" i="11"/>
  <c r="A112" i="11"/>
  <c r="B111" i="11"/>
  <c r="G112" i="11" l="1"/>
  <c r="D112" i="11"/>
  <c r="F112" i="11"/>
  <c r="C112" i="11"/>
  <c r="A113" i="11"/>
  <c r="B112" i="11"/>
  <c r="BB115" i="7"/>
  <c r="BA115" i="7"/>
  <c r="AZ115" i="7"/>
  <c r="AY115" i="7"/>
  <c r="AX115" i="7"/>
  <c r="AW115" i="7"/>
  <c r="AV115" i="7"/>
  <c r="BB114" i="7"/>
  <c r="BA114" i="7"/>
  <c r="AZ114" i="7"/>
  <c r="AY114" i="7"/>
  <c r="AX114" i="7"/>
  <c r="AW114" i="7"/>
  <c r="AV114" i="7"/>
  <c r="BB113" i="7"/>
  <c r="BA113" i="7"/>
  <c r="AZ113" i="7"/>
  <c r="AY113" i="7"/>
  <c r="AX113" i="7"/>
  <c r="AW113" i="7"/>
  <c r="AV113" i="7"/>
  <c r="BB112" i="7"/>
  <c r="BA112" i="7"/>
  <c r="AZ112" i="7"/>
  <c r="AY112" i="7"/>
  <c r="AX112" i="7"/>
  <c r="AW112" i="7"/>
  <c r="AV112" i="7"/>
  <c r="BB111" i="7"/>
  <c r="BA111" i="7"/>
  <c r="AZ111" i="7"/>
  <c r="AY111" i="7"/>
  <c r="AX111" i="7"/>
  <c r="AW111" i="7"/>
  <c r="AV111" i="7"/>
  <c r="BB110" i="7"/>
  <c r="BA110" i="7"/>
  <c r="AZ110" i="7"/>
  <c r="AY110" i="7"/>
  <c r="AX110" i="7"/>
  <c r="AW110" i="7"/>
  <c r="AV110" i="7"/>
  <c r="BB109" i="7"/>
  <c r="BA109" i="7"/>
  <c r="AZ109" i="7"/>
  <c r="AY109" i="7"/>
  <c r="AX109" i="7"/>
  <c r="AW109" i="7"/>
  <c r="AV109" i="7"/>
  <c r="BB108" i="7"/>
  <c r="BA108" i="7"/>
  <c r="AZ108" i="7"/>
  <c r="AY108" i="7"/>
  <c r="AX108" i="7"/>
  <c r="AW108" i="7"/>
  <c r="AV108" i="7"/>
  <c r="BB107" i="7"/>
  <c r="BA107" i="7"/>
  <c r="AZ107" i="7"/>
  <c r="AY107" i="7"/>
  <c r="AX107" i="7"/>
  <c r="AW107" i="7"/>
  <c r="AV107" i="7"/>
  <c r="BB106" i="7"/>
  <c r="BA106" i="7"/>
  <c r="AZ106" i="7"/>
  <c r="AY106" i="7"/>
  <c r="AX106" i="7"/>
  <c r="AW106" i="7"/>
  <c r="AV106" i="7"/>
  <c r="BB105" i="7"/>
  <c r="BA105" i="7"/>
  <c r="AZ105" i="7"/>
  <c r="AY105" i="7"/>
  <c r="AX105" i="7"/>
  <c r="AW105" i="7"/>
  <c r="AV105" i="7"/>
  <c r="BB104" i="7"/>
  <c r="BA104" i="7"/>
  <c r="AZ104" i="7"/>
  <c r="AY104" i="7"/>
  <c r="AX104" i="7"/>
  <c r="AW104" i="7"/>
  <c r="AV104" i="7"/>
  <c r="BB103" i="7"/>
  <c r="BA103" i="7"/>
  <c r="AZ103" i="7"/>
  <c r="AY103" i="7"/>
  <c r="AX103" i="7"/>
  <c r="AW103" i="7"/>
  <c r="AV103" i="7"/>
  <c r="BB102" i="7"/>
  <c r="BA102" i="7"/>
  <c r="AZ102" i="7"/>
  <c r="AY102" i="7"/>
  <c r="AX102" i="7"/>
  <c r="AW102" i="7"/>
  <c r="AV102" i="7"/>
  <c r="BB101" i="7"/>
  <c r="BA101" i="7"/>
  <c r="AZ101" i="7"/>
  <c r="AY101" i="7"/>
  <c r="AX101" i="7"/>
  <c r="AW101" i="7"/>
  <c r="AV101" i="7"/>
  <c r="BB100" i="7"/>
  <c r="BA100" i="7"/>
  <c r="AZ100" i="7"/>
  <c r="AY100" i="7"/>
  <c r="AX100" i="7"/>
  <c r="AW100" i="7"/>
  <c r="AV100" i="7"/>
  <c r="BB99" i="7"/>
  <c r="BA99" i="7"/>
  <c r="AZ99" i="7"/>
  <c r="AY99" i="7"/>
  <c r="AX99" i="7"/>
  <c r="AW99" i="7"/>
  <c r="AV99" i="7"/>
  <c r="BB98" i="7"/>
  <c r="BA98" i="7"/>
  <c r="AZ98" i="7"/>
  <c r="AY98" i="7"/>
  <c r="AX98" i="7"/>
  <c r="AW98" i="7"/>
  <c r="AV98" i="7"/>
  <c r="BB97" i="7"/>
  <c r="BA97" i="7"/>
  <c r="AZ97" i="7"/>
  <c r="AY97" i="7"/>
  <c r="AX97" i="7"/>
  <c r="AW97" i="7"/>
  <c r="AV97" i="7"/>
  <c r="BB96" i="7"/>
  <c r="BA96" i="7"/>
  <c r="AZ96" i="7"/>
  <c r="AY96" i="7"/>
  <c r="AX96" i="7"/>
  <c r="AW96" i="7"/>
  <c r="AV96" i="7"/>
  <c r="BB95" i="7"/>
  <c r="BA95" i="7"/>
  <c r="AZ95" i="7"/>
  <c r="AY95" i="7"/>
  <c r="AX95" i="7"/>
  <c r="AW95" i="7"/>
  <c r="AV95" i="7"/>
  <c r="BB94" i="7"/>
  <c r="BA94" i="7"/>
  <c r="AZ94" i="7"/>
  <c r="AY94" i="7"/>
  <c r="AX94" i="7"/>
  <c r="AW94" i="7"/>
  <c r="AV94" i="7"/>
  <c r="BR90" i="7"/>
  <c r="BQ90" i="7"/>
  <c r="BP90" i="7"/>
  <c r="BO90" i="7"/>
  <c r="BN90" i="7"/>
  <c r="BM90" i="7"/>
  <c r="BL90" i="7"/>
  <c r="BK90" i="7"/>
  <c r="BJ90" i="7"/>
  <c r="BI90" i="7"/>
  <c r="BH90" i="7"/>
  <c r="BG90" i="7"/>
  <c r="BF90" i="7"/>
  <c r="BE90" i="7"/>
  <c r="BD90" i="7"/>
  <c r="BC90" i="7"/>
  <c r="BB89" i="7"/>
  <c r="BA89" i="7"/>
  <c r="AZ89" i="7"/>
  <c r="AY89" i="7"/>
  <c r="AX89" i="7"/>
  <c r="AW89" i="7"/>
  <c r="AV89" i="7"/>
  <c r="BB88" i="7"/>
  <c r="BA88" i="7"/>
  <c r="AZ88" i="7"/>
  <c r="AY88" i="7"/>
  <c r="AX88" i="7"/>
  <c r="AW88" i="7"/>
  <c r="AV88" i="7"/>
  <c r="BB87" i="7"/>
  <c r="BA87" i="7"/>
  <c r="BA90" i="7" s="1"/>
  <c r="AZ87" i="7"/>
  <c r="AY87" i="7"/>
  <c r="AX87" i="7"/>
  <c r="AW87" i="7"/>
  <c r="AV87" i="7"/>
  <c r="BB86" i="7"/>
  <c r="BA86" i="7"/>
  <c r="AZ86" i="7"/>
  <c r="AY86" i="7"/>
  <c r="AX86" i="7"/>
  <c r="AW86" i="7"/>
  <c r="AV86" i="7"/>
  <c r="BB85" i="7"/>
  <c r="BA85" i="7"/>
  <c r="AZ85" i="7"/>
  <c r="AY85" i="7"/>
  <c r="AX85" i="7"/>
  <c r="AW85" i="7"/>
  <c r="AV85" i="7"/>
  <c r="BB84" i="7"/>
  <c r="BA84" i="7"/>
  <c r="AZ84" i="7"/>
  <c r="AY84" i="7"/>
  <c r="AX84" i="7"/>
  <c r="AW84" i="7"/>
  <c r="AV84" i="7"/>
  <c r="AV90" i="7" s="1"/>
  <c r="BB83" i="7"/>
  <c r="BA83" i="7"/>
  <c r="AZ83" i="7"/>
  <c r="AY83" i="7"/>
  <c r="AX83" i="7"/>
  <c r="AW83" i="7"/>
  <c r="AV83" i="7"/>
  <c r="BR79" i="7"/>
  <c r="BQ79" i="7"/>
  <c r="BP79" i="7"/>
  <c r="BO79" i="7"/>
  <c r="BN79" i="7"/>
  <c r="BM79" i="7"/>
  <c r="BL79" i="7"/>
  <c r="BK79" i="7"/>
  <c r="BJ79" i="7"/>
  <c r="BI79" i="7"/>
  <c r="BH79" i="7"/>
  <c r="BG79" i="7"/>
  <c r="BF79" i="7"/>
  <c r="BE79" i="7"/>
  <c r="BD79" i="7"/>
  <c r="BC79" i="7"/>
  <c r="BB78" i="7"/>
  <c r="BA78" i="7"/>
  <c r="AZ78" i="7"/>
  <c r="AY78" i="7"/>
  <c r="AX78" i="7"/>
  <c r="AW78" i="7"/>
  <c r="AV78" i="7"/>
  <c r="BB77" i="7"/>
  <c r="BA77" i="7"/>
  <c r="AZ77" i="7"/>
  <c r="AY77" i="7"/>
  <c r="AX77" i="7"/>
  <c r="AW77" i="7"/>
  <c r="AV77" i="7"/>
  <c r="BB76" i="7"/>
  <c r="BA76" i="7"/>
  <c r="AZ76" i="7"/>
  <c r="AY76" i="7"/>
  <c r="AX76" i="7"/>
  <c r="AW76" i="7"/>
  <c r="AV76" i="7"/>
  <c r="BB75" i="7"/>
  <c r="BA75" i="7"/>
  <c r="AZ75" i="7"/>
  <c r="AY75" i="7"/>
  <c r="AX75" i="7"/>
  <c r="AW75" i="7"/>
  <c r="AV75" i="7"/>
  <c r="BB74" i="7"/>
  <c r="BA74" i="7"/>
  <c r="AZ74" i="7"/>
  <c r="AY74" i="7"/>
  <c r="AX74" i="7"/>
  <c r="AW74" i="7"/>
  <c r="AV74" i="7"/>
  <c r="BB73" i="7"/>
  <c r="BA73" i="7"/>
  <c r="AZ73" i="7"/>
  <c r="AY73" i="7"/>
  <c r="AX73" i="7"/>
  <c r="AW73" i="7"/>
  <c r="AV73" i="7"/>
  <c r="BB72" i="7"/>
  <c r="BA72" i="7"/>
  <c r="AZ72" i="7"/>
  <c r="AY72" i="7"/>
  <c r="AX72" i="7"/>
  <c r="AW72" i="7"/>
  <c r="AV72" i="7"/>
  <c r="BB71" i="7"/>
  <c r="BA71" i="7"/>
  <c r="AZ71" i="7"/>
  <c r="AY71" i="7"/>
  <c r="AX71" i="7"/>
  <c r="AW71" i="7"/>
  <c r="AV71" i="7"/>
  <c r="BB70" i="7"/>
  <c r="BA70" i="7"/>
  <c r="AZ70" i="7"/>
  <c r="AY70" i="7"/>
  <c r="AX70" i="7"/>
  <c r="AW70" i="7"/>
  <c r="AV70" i="7"/>
  <c r="BB69" i="7"/>
  <c r="BA69" i="7"/>
  <c r="AZ69" i="7"/>
  <c r="AY69" i="7"/>
  <c r="AX69" i="7"/>
  <c r="AW69" i="7"/>
  <c r="AV69" i="7"/>
  <c r="BB68" i="7"/>
  <c r="BA68" i="7"/>
  <c r="AZ68" i="7"/>
  <c r="AY68" i="7"/>
  <c r="AX68" i="7"/>
  <c r="AW68" i="7"/>
  <c r="AV68" i="7"/>
  <c r="BB67" i="7"/>
  <c r="BA67" i="7"/>
  <c r="AZ67" i="7"/>
  <c r="AY67" i="7"/>
  <c r="AX67" i="7"/>
  <c r="AW67" i="7"/>
  <c r="AV67" i="7"/>
  <c r="BB66" i="7"/>
  <c r="BA66" i="7"/>
  <c r="AZ66" i="7"/>
  <c r="AY66" i="7"/>
  <c r="AX66" i="7"/>
  <c r="AW66" i="7"/>
  <c r="AV66" i="7"/>
  <c r="BB65" i="7"/>
  <c r="BA65" i="7"/>
  <c r="AZ65" i="7"/>
  <c r="AY65" i="7"/>
  <c r="AX65" i="7"/>
  <c r="AW65" i="7"/>
  <c r="AV65" i="7"/>
  <c r="BB64" i="7"/>
  <c r="BA64" i="7"/>
  <c r="AZ64" i="7"/>
  <c r="AY64" i="7"/>
  <c r="AX64" i="7"/>
  <c r="AW64" i="7"/>
  <c r="AV64" i="7"/>
  <c r="BB63" i="7"/>
  <c r="BA63" i="7"/>
  <c r="AZ63" i="7"/>
  <c r="AY63" i="7"/>
  <c r="AX63" i="7"/>
  <c r="AW63" i="7"/>
  <c r="AV63" i="7"/>
  <c r="BB62" i="7"/>
  <c r="BA62" i="7"/>
  <c r="AZ62" i="7"/>
  <c r="AY62" i="7"/>
  <c r="AX62" i="7"/>
  <c r="AW62" i="7"/>
  <c r="AV62" i="7"/>
  <c r="BB61" i="7"/>
  <c r="BA61" i="7"/>
  <c r="AZ61" i="7"/>
  <c r="AY61" i="7"/>
  <c r="AX61" i="7"/>
  <c r="AW61" i="7"/>
  <c r="AV61" i="7"/>
  <c r="BB60" i="7"/>
  <c r="BA60" i="7"/>
  <c r="AZ60" i="7"/>
  <c r="AY60" i="7"/>
  <c r="AX60" i="7"/>
  <c r="AW60" i="7"/>
  <c r="AV60" i="7"/>
  <c r="BB59" i="7"/>
  <c r="BA59" i="7"/>
  <c r="AZ59" i="7"/>
  <c r="AY59" i="7"/>
  <c r="AX59" i="7"/>
  <c r="AW59" i="7"/>
  <c r="AV59" i="7"/>
  <c r="BB58" i="7"/>
  <c r="BA58" i="7"/>
  <c r="AZ58" i="7"/>
  <c r="AY58" i="7"/>
  <c r="AX58" i="7"/>
  <c r="AW58" i="7"/>
  <c r="AV58" i="7"/>
  <c r="BB57" i="7"/>
  <c r="BA57" i="7"/>
  <c r="AZ57" i="7"/>
  <c r="AY57" i="7"/>
  <c r="AX57" i="7"/>
  <c r="AW57" i="7"/>
  <c r="AV57" i="7"/>
  <c r="BB56" i="7"/>
  <c r="BA56" i="7"/>
  <c r="AZ56" i="7"/>
  <c r="AY56" i="7"/>
  <c r="AX56" i="7"/>
  <c r="AW56" i="7"/>
  <c r="AV56" i="7"/>
  <c r="BB55" i="7"/>
  <c r="BA55" i="7"/>
  <c r="AZ55" i="7"/>
  <c r="AY55" i="7"/>
  <c r="AX55" i="7"/>
  <c r="AW55" i="7"/>
  <c r="AV55" i="7"/>
  <c r="BB54" i="7"/>
  <c r="BA54" i="7"/>
  <c r="AZ54" i="7"/>
  <c r="AY54" i="7"/>
  <c r="AX54" i="7"/>
  <c r="AW54" i="7"/>
  <c r="AV54" i="7"/>
  <c r="BB53" i="7"/>
  <c r="BA53" i="7"/>
  <c r="AZ53" i="7"/>
  <c r="AY53" i="7"/>
  <c r="AX53" i="7"/>
  <c r="AW53" i="7"/>
  <c r="AV53" i="7"/>
  <c r="BB52" i="7"/>
  <c r="BA52" i="7"/>
  <c r="AZ52" i="7"/>
  <c r="AY52" i="7"/>
  <c r="AX52" i="7"/>
  <c r="AW52" i="7"/>
  <c r="AV52" i="7"/>
  <c r="BB51" i="7"/>
  <c r="BA51" i="7"/>
  <c r="AZ51" i="7"/>
  <c r="AY51" i="7"/>
  <c r="AX51" i="7"/>
  <c r="AW51" i="7"/>
  <c r="AV51" i="7"/>
  <c r="BB50" i="7"/>
  <c r="BA50" i="7"/>
  <c r="AZ50" i="7"/>
  <c r="AY50" i="7"/>
  <c r="AX50" i="7"/>
  <c r="AW50" i="7"/>
  <c r="AV50" i="7"/>
  <c r="BB49" i="7"/>
  <c r="BA49" i="7"/>
  <c r="AZ49" i="7"/>
  <c r="AY49" i="7"/>
  <c r="AX49" i="7"/>
  <c r="AW49" i="7"/>
  <c r="AV49" i="7"/>
  <c r="BB48" i="7"/>
  <c r="BA48" i="7"/>
  <c r="AZ48" i="7"/>
  <c r="AY48" i="7"/>
  <c r="AX48" i="7"/>
  <c r="AW48" i="7"/>
  <c r="AV48" i="7"/>
  <c r="BB47" i="7"/>
  <c r="BA47" i="7"/>
  <c r="AZ47" i="7"/>
  <c r="AY47" i="7"/>
  <c r="AX47" i="7"/>
  <c r="AW47" i="7"/>
  <c r="AV47" i="7"/>
  <c r="BB46" i="7"/>
  <c r="BA46" i="7"/>
  <c r="AZ46" i="7"/>
  <c r="AY46" i="7"/>
  <c r="AX46" i="7"/>
  <c r="AW46" i="7"/>
  <c r="AV46" i="7"/>
  <c r="BB45" i="7"/>
  <c r="BA45" i="7"/>
  <c r="AZ45" i="7"/>
  <c r="AY45" i="7"/>
  <c r="AX45" i="7"/>
  <c r="AW45" i="7"/>
  <c r="AV45" i="7"/>
  <c r="BB44" i="7"/>
  <c r="BA44" i="7"/>
  <c r="AZ44" i="7"/>
  <c r="AY44" i="7"/>
  <c r="AX44" i="7"/>
  <c r="AW44" i="7"/>
  <c r="AV44" i="7"/>
  <c r="BB43" i="7"/>
  <c r="BA43" i="7"/>
  <c r="AZ43" i="7"/>
  <c r="AY43" i="7"/>
  <c r="AX43" i="7"/>
  <c r="AW43" i="7"/>
  <c r="AV43" i="7"/>
  <c r="BB42" i="7"/>
  <c r="BA42" i="7"/>
  <c r="AZ42" i="7"/>
  <c r="AY42" i="7"/>
  <c r="AX42" i="7"/>
  <c r="AW42" i="7"/>
  <c r="AV42" i="7"/>
  <c r="BB41" i="7"/>
  <c r="BA41" i="7"/>
  <c r="AZ41" i="7"/>
  <c r="AY41" i="7"/>
  <c r="AX41" i="7"/>
  <c r="AW41" i="7"/>
  <c r="AV41" i="7"/>
  <c r="BB40" i="7"/>
  <c r="BA40" i="7"/>
  <c r="AZ40" i="7"/>
  <c r="AY40" i="7"/>
  <c r="AX40" i="7"/>
  <c r="AW40" i="7"/>
  <c r="AV40" i="7"/>
  <c r="BB39" i="7"/>
  <c r="BA39" i="7"/>
  <c r="AZ39" i="7"/>
  <c r="AY39" i="7"/>
  <c r="AX39" i="7"/>
  <c r="AW39" i="7"/>
  <c r="AV39" i="7"/>
  <c r="BB38" i="7"/>
  <c r="BA38" i="7"/>
  <c r="AZ38" i="7"/>
  <c r="AY38" i="7"/>
  <c r="AX38" i="7"/>
  <c r="AW38" i="7"/>
  <c r="AV38" i="7"/>
  <c r="BB37" i="7"/>
  <c r="BA37" i="7"/>
  <c r="AZ37" i="7"/>
  <c r="AY37" i="7"/>
  <c r="AX37" i="7"/>
  <c r="AW37" i="7"/>
  <c r="AV37" i="7"/>
  <c r="BR33" i="7"/>
  <c r="BQ33" i="7"/>
  <c r="BP33" i="7"/>
  <c r="BO33" i="7"/>
  <c r="BN33" i="7"/>
  <c r="BM33" i="7"/>
  <c r="BL33" i="7"/>
  <c r="BK33" i="7"/>
  <c r="BJ33" i="7"/>
  <c r="BI33" i="7"/>
  <c r="BH33" i="7"/>
  <c r="BG33" i="7"/>
  <c r="BF33" i="7"/>
  <c r="BE33" i="7"/>
  <c r="BD33" i="7"/>
  <c r="BC33" i="7"/>
  <c r="BB32" i="7"/>
  <c r="BA32" i="7"/>
  <c r="AZ32" i="7"/>
  <c r="AY32" i="7"/>
  <c r="AX32" i="7"/>
  <c r="AW32" i="7"/>
  <c r="BB31" i="7"/>
  <c r="BA31" i="7"/>
  <c r="AZ31" i="7"/>
  <c r="AY31" i="7"/>
  <c r="AX31" i="7"/>
  <c r="AW31" i="7"/>
  <c r="BB30" i="7"/>
  <c r="BA30" i="7"/>
  <c r="AZ30" i="7"/>
  <c r="AY30" i="7"/>
  <c r="AX30" i="7"/>
  <c r="AW30" i="7"/>
  <c r="BB29" i="7"/>
  <c r="BA29" i="7"/>
  <c r="AZ29" i="7"/>
  <c r="AY29" i="7"/>
  <c r="AX29" i="7"/>
  <c r="AW29" i="7"/>
  <c r="BB28" i="7"/>
  <c r="BA28" i="7"/>
  <c r="AZ28" i="7"/>
  <c r="AY28" i="7"/>
  <c r="AX28" i="7"/>
  <c r="AW28" i="7"/>
  <c r="BB27" i="7"/>
  <c r="BA27" i="7"/>
  <c r="AZ27" i="7"/>
  <c r="AY27" i="7"/>
  <c r="AX27" i="7"/>
  <c r="AW27" i="7"/>
  <c r="BB26" i="7"/>
  <c r="BA26" i="7"/>
  <c r="AZ26" i="7"/>
  <c r="AY26" i="7"/>
  <c r="AX26" i="7"/>
  <c r="AW26" i="7"/>
  <c r="BB25" i="7"/>
  <c r="BA25" i="7"/>
  <c r="AZ25" i="7"/>
  <c r="AY25" i="7"/>
  <c r="AX25" i="7"/>
  <c r="AW25" i="7"/>
  <c r="BB24" i="7"/>
  <c r="BA24" i="7"/>
  <c r="AZ24" i="7"/>
  <c r="AY24" i="7"/>
  <c r="AX24" i="7"/>
  <c r="AW24" i="7"/>
  <c r="BB23" i="7"/>
  <c r="BA23" i="7"/>
  <c r="AZ23" i="7"/>
  <c r="AY23" i="7"/>
  <c r="AX23" i="7"/>
  <c r="AW23" i="7"/>
  <c r="BB22" i="7"/>
  <c r="BA22" i="7"/>
  <c r="AZ22" i="7"/>
  <c r="AY22" i="7"/>
  <c r="AX22" i="7"/>
  <c r="AW22" i="7"/>
  <c r="BB21" i="7"/>
  <c r="BA21" i="7"/>
  <c r="AZ21" i="7"/>
  <c r="AY21" i="7"/>
  <c r="AX21" i="7"/>
  <c r="AW21" i="7"/>
  <c r="BB20" i="7"/>
  <c r="BA20" i="7"/>
  <c r="AZ20" i="7"/>
  <c r="AY20" i="7"/>
  <c r="AX20" i="7"/>
  <c r="AW20" i="7"/>
  <c r="BB19" i="7"/>
  <c r="BA19" i="7"/>
  <c r="AZ19" i="7"/>
  <c r="AY19" i="7"/>
  <c r="AX19" i="7"/>
  <c r="AW19" i="7"/>
  <c r="BB18" i="7"/>
  <c r="BA18" i="7"/>
  <c r="AZ18" i="7"/>
  <c r="AY18" i="7"/>
  <c r="AX18" i="7"/>
  <c r="AW18" i="7"/>
  <c r="BB17" i="7"/>
  <c r="BA17" i="7"/>
  <c r="AZ17" i="7"/>
  <c r="AY17" i="7"/>
  <c r="AX17" i="7"/>
  <c r="AW17" i="7"/>
  <c r="BB16" i="7"/>
  <c r="BA16" i="7"/>
  <c r="AZ16" i="7"/>
  <c r="AY16" i="7"/>
  <c r="AX16" i="7"/>
  <c r="AW16" i="7"/>
  <c r="BB15" i="7"/>
  <c r="BA15" i="7"/>
  <c r="AZ15" i="7"/>
  <c r="AY15" i="7"/>
  <c r="AX15" i="7"/>
  <c r="AW15" i="7"/>
  <c r="BB14" i="7"/>
  <c r="BA14" i="7"/>
  <c r="AZ14" i="7"/>
  <c r="AY14" i="7"/>
  <c r="AX14" i="7"/>
  <c r="AW14" i="7"/>
  <c r="BB13" i="7"/>
  <c r="BA13" i="7"/>
  <c r="AZ13" i="7"/>
  <c r="AY13" i="7"/>
  <c r="AX13" i="7"/>
  <c r="AW13" i="7"/>
  <c r="BB12" i="7"/>
  <c r="BA12" i="7"/>
  <c r="AZ12" i="7"/>
  <c r="AY12" i="7"/>
  <c r="AX12" i="7"/>
  <c r="AW12" i="7"/>
  <c r="BB11" i="7"/>
  <c r="BA11" i="7"/>
  <c r="AZ11" i="7"/>
  <c r="AY11" i="7"/>
  <c r="AX11" i="7"/>
  <c r="AW11" i="7"/>
  <c r="BB10" i="7"/>
  <c r="BA10" i="7"/>
  <c r="AZ10" i="7"/>
  <c r="AY10" i="7"/>
  <c r="AX10" i="7"/>
  <c r="AW10" i="7"/>
  <c r="BB9" i="7"/>
  <c r="BA9" i="7"/>
  <c r="AZ9" i="7"/>
  <c r="AY9" i="7"/>
  <c r="AX9" i="7"/>
  <c r="AW9" i="7"/>
  <c r="BB8" i="7"/>
  <c r="BA8" i="7"/>
  <c r="AZ8" i="7"/>
  <c r="AY8" i="7"/>
  <c r="AX8" i="7"/>
  <c r="AW8" i="7"/>
  <c r="BB7" i="7"/>
  <c r="BA7" i="7"/>
  <c r="AZ7" i="7"/>
  <c r="AY7" i="7"/>
  <c r="AX7" i="7"/>
  <c r="AW7" i="7"/>
  <c r="BB6" i="7"/>
  <c r="BA6" i="7"/>
  <c r="AZ6" i="7"/>
  <c r="AY6" i="7"/>
  <c r="AX6" i="7"/>
  <c r="AW6" i="7"/>
  <c r="BB5" i="7"/>
  <c r="BA5" i="7"/>
  <c r="AZ5" i="7"/>
  <c r="AY5" i="7"/>
  <c r="AX5" i="7"/>
  <c r="AW5" i="7"/>
  <c r="BB4" i="7"/>
  <c r="BA4" i="7"/>
  <c r="AZ4" i="7"/>
  <c r="AY4" i="7"/>
  <c r="AX4" i="7"/>
  <c r="AW4" i="7"/>
  <c r="BB3" i="7"/>
  <c r="BA3" i="7"/>
  <c r="AZ3" i="7"/>
  <c r="AY3" i="7"/>
  <c r="AX3" i="7"/>
  <c r="AX33" i="7" s="1"/>
  <c r="AW3" i="7"/>
  <c r="AV32" i="7"/>
  <c r="AV31" i="7"/>
  <c r="AV30" i="7"/>
  <c r="AV29" i="7"/>
  <c r="AV28" i="7"/>
  <c r="AV27" i="7"/>
  <c r="AV26" i="7"/>
  <c r="AV25" i="7"/>
  <c r="AV24" i="7"/>
  <c r="AV23" i="7"/>
  <c r="AV22" i="7"/>
  <c r="AV21" i="7"/>
  <c r="AV20" i="7"/>
  <c r="AV19" i="7"/>
  <c r="AV18" i="7"/>
  <c r="AV17" i="7"/>
  <c r="AV16" i="7"/>
  <c r="AV15" i="7"/>
  <c r="AV14" i="7"/>
  <c r="AV13" i="7"/>
  <c r="AV12" i="7"/>
  <c r="AV11" i="7"/>
  <c r="AV10" i="7"/>
  <c r="AV9" i="7"/>
  <c r="AV8" i="7"/>
  <c r="AV7" i="7"/>
  <c r="AV6" i="7"/>
  <c r="AV5" i="7"/>
  <c r="AV4" i="7"/>
  <c r="AV3" i="7"/>
  <c r="AU90" i="7"/>
  <c r="AT90" i="7"/>
  <c r="AS90" i="7"/>
  <c r="AR90" i="7"/>
  <c r="AQ90" i="7"/>
  <c r="AP90" i="7"/>
  <c r="AO90" i="7"/>
  <c r="AN90" i="7"/>
  <c r="AM90" i="7"/>
  <c r="AL90" i="7"/>
  <c r="AK90" i="7"/>
  <c r="AJ90" i="7"/>
  <c r="AI90" i="7"/>
  <c r="AH90" i="7"/>
  <c r="AG90" i="7"/>
  <c r="AF90" i="7"/>
  <c r="AE90" i="7"/>
  <c r="AD90" i="7"/>
  <c r="AC90" i="7"/>
  <c r="AB90" i="7"/>
  <c r="AA90" i="7"/>
  <c r="Z90" i="7"/>
  <c r="Y90" i="7"/>
  <c r="X90" i="7"/>
  <c r="W90" i="7"/>
  <c r="V90" i="7"/>
  <c r="U90" i="7"/>
  <c r="T90" i="7"/>
  <c r="S90" i="7"/>
  <c r="R90" i="7"/>
  <c r="Q90" i="7"/>
  <c r="I37" i="6" s="1"/>
  <c r="P90" i="7"/>
  <c r="O90" i="7"/>
  <c r="N90" i="7"/>
  <c r="M90" i="7"/>
  <c r="L90" i="7"/>
  <c r="K90" i="7"/>
  <c r="J90" i="7"/>
  <c r="I90" i="7"/>
  <c r="H90" i="7"/>
  <c r="G90" i="7"/>
  <c r="F90" i="7"/>
  <c r="E90" i="7"/>
  <c r="D90" i="7"/>
  <c r="C90" i="7"/>
  <c r="B90" i="7"/>
  <c r="AU79" i="7"/>
  <c r="AT79" i="7"/>
  <c r="AS79" i="7"/>
  <c r="AR79" i="7"/>
  <c r="AQ79" i="7"/>
  <c r="AP79" i="7"/>
  <c r="AO79" i="7"/>
  <c r="AN79" i="7"/>
  <c r="AM79" i="7"/>
  <c r="AL79" i="7"/>
  <c r="AK79" i="7"/>
  <c r="AJ79" i="7"/>
  <c r="AI79" i="7"/>
  <c r="AH79" i="7"/>
  <c r="AG79" i="7"/>
  <c r="AF79" i="7"/>
  <c r="AE79" i="7"/>
  <c r="AD79" i="7"/>
  <c r="AC79" i="7"/>
  <c r="AB79" i="7"/>
  <c r="AA79" i="7"/>
  <c r="Z79" i="7"/>
  <c r="Y79" i="7"/>
  <c r="X79" i="7"/>
  <c r="W79" i="7"/>
  <c r="V79" i="7"/>
  <c r="U79" i="7"/>
  <c r="T79" i="7"/>
  <c r="S79" i="7"/>
  <c r="R79" i="7"/>
  <c r="Q79" i="7"/>
  <c r="I27" i="6" s="1"/>
  <c r="P79" i="7"/>
  <c r="O79" i="7"/>
  <c r="N79" i="7"/>
  <c r="M79" i="7"/>
  <c r="L79" i="7"/>
  <c r="K79" i="7"/>
  <c r="J79" i="7"/>
  <c r="I79" i="7"/>
  <c r="H79" i="7"/>
  <c r="G79" i="7"/>
  <c r="F79" i="7"/>
  <c r="E79" i="7"/>
  <c r="D79" i="7"/>
  <c r="C79" i="7"/>
  <c r="B79" i="7"/>
  <c r="AU33" i="7"/>
  <c r="AT33" i="7"/>
  <c r="AS33" i="7"/>
  <c r="AR33" i="7"/>
  <c r="AQ33" i="7"/>
  <c r="AP33" i="7"/>
  <c r="AO33" i="7"/>
  <c r="AN33" i="7"/>
  <c r="AM33" i="7"/>
  <c r="AL33" i="7"/>
  <c r="AK33" i="7"/>
  <c r="AJ33" i="7"/>
  <c r="AI33" i="7"/>
  <c r="AH33" i="7"/>
  <c r="AG33" i="7"/>
  <c r="AF33" i="7"/>
  <c r="AE33" i="7"/>
  <c r="AD33" i="7"/>
  <c r="AC33" i="7"/>
  <c r="AB33" i="7"/>
  <c r="AA33" i="7"/>
  <c r="Z33" i="7"/>
  <c r="Y33" i="7"/>
  <c r="X33" i="7"/>
  <c r="W33" i="7"/>
  <c r="V33" i="7"/>
  <c r="U33" i="7"/>
  <c r="T33" i="7"/>
  <c r="S33" i="7"/>
  <c r="R33" i="7"/>
  <c r="Q33" i="7"/>
  <c r="I22" i="6" s="1"/>
  <c r="P33" i="7"/>
  <c r="O33" i="7"/>
  <c r="N33" i="7"/>
  <c r="M33" i="7"/>
  <c r="L33" i="7"/>
  <c r="K33" i="7"/>
  <c r="J33" i="7"/>
  <c r="I33" i="7"/>
  <c r="H33" i="7"/>
  <c r="G33" i="7"/>
  <c r="F33" i="7"/>
  <c r="E33" i="7"/>
  <c r="D33" i="7"/>
  <c r="C33" i="7"/>
  <c r="B33" i="7"/>
  <c r="AY90" i="7" l="1"/>
  <c r="AX90" i="7"/>
  <c r="BB90" i="7"/>
  <c r="AZ90" i="7"/>
  <c r="AY79" i="7"/>
  <c r="AW90" i="7"/>
  <c r="AW33" i="7"/>
  <c r="BB33" i="7"/>
  <c r="BA33" i="7"/>
  <c r="AZ33" i="7"/>
  <c r="AY33" i="7"/>
  <c r="AV33" i="7"/>
  <c r="BB79" i="7"/>
  <c r="BA79" i="7"/>
  <c r="AZ79" i="7"/>
  <c r="AX79" i="7"/>
  <c r="AW79" i="7"/>
  <c r="AV79" i="7"/>
  <c r="D113" i="11"/>
  <c r="G113" i="11"/>
  <c r="F113" i="11"/>
  <c r="C113" i="11"/>
  <c r="A114" i="11"/>
  <c r="B113" i="11"/>
  <c r="G114" i="11" l="1"/>
  <c r="D114" i="11"/>
  <c r="F114" i="11"/>
  <c r="C114" i="11"/>
  <c r="A115" i="11"/>
  <c r="B114" i="11"/>
  <c r="G115" i="11" l="1"/>
  <c r="D115" i="11"/>
  <c r="F115" i="11"/>
  <c r="C115" i="11"/>
  <c r="A116" i="11"/>
  <c r="B115" i="11"/>
  <c r="D116" i="11" l="1"/>
  <c r="G116" i="11"/>
  <c r="F116" i="11"/>
  <c r="C116" i="11"/>
  <c r="A117" i="11"/>
  <c r="B116" i="11"/>
  <c r="D117" i="11" l="1"/>
  <c r="F117" i="11"/>
  <c r="G117" i="11"/>
  <c r="C117" i="11"/>
  <c r="A118" i="11"/>
  <c r="B117" i="11"/>
  <c r="G118" i="11" l="1"/>
  <c r="F118" i="11"/>
  <c r="D118" i="11"/>
  <c r="C118" i="11"/>
  <c r="A119" i="11"/>
  <c r="B118" i="11"/>
  <c r="G119" i="11" l="1"/>
  <c r="D119" i="11"/>
  <c r="F119" i="11"/>
  <c r="C119" i="11"/>
  <c r="A120" i="11"/>
  <c r="B119" i="11"/>
  <c r="G120" i="11" l="1"/>
  <c r="D120" i="11"/>
  <c r="C120" i="11"/>
  <c r="F120" i="11"/>
  <c r="A121" i="11"/>
  <c r="B120" i="11"/>
  <c r="D121" i="11" l="1"/>
  <c r="C121" i="11"/>
  <c r="G121" i="11"/>
  <c r="F121" i="11"/>
  <c r="A122" i="11"/>
  <c r="B121" i="11"/>
  <c r="G122" i="11" l="1"/>
  <c r="D122" i="11"/>
  <c r="F122" i="11"/>
  <c r="C122" i="11"/>
  <c r="A123" i="11"/>
  <c r="B122" i="11"/>
  <c r="D123" i="11" l="1"/>
  <c r="G123" i="11"/>
  <c r="C123" i="11"/>
  <c r="F123" i="11"/>
  <c r="A124" i="11"/>
  <c r="B123" i="11"/>
  <c r="D124" i="11" l="1"/>
  <c r="G124" i="11"/>
  <c r="F124" i="11"/>
  <c r="C124" i="11"/>
  <c r="A125" i="11"/>
  <c r="B124" i="11"/>
  <c r="D125" i="11" l="1"/>
  <c r="G125" i="11"/>
  <c r="F125" i="11"/>
  <c r="C125" i="11"/>
  <c r="A126" i="11"/>
  <c r="B125" i="11"/>
  <c r="G126" i="11" l="1"/>
  <c r="D126" i="11"/>
  <c r="F126" i="11"/>
  <c r="C126" i="11"/>
  <c r="A127" i="11"/>
  <c r="B126" i="11"/>
  <c r="G127" i="11" l="1"/>
  <c r="F127" i="11"/>
  <c r="D127" i="11"/>
  <c r="C127" i="11"/>
  <c r="A128" i="11"/>
  <c r="B127" i="11"/>
  <c r="G128" i="11" l="1"/>
  <c r="F128" i="11"/>
  <c r="D128" i="11"/>
  <c r="C128" i="11"/>
  <c r="A129" i="11"/>
  <c r="B128" i="11"/>
  <c r="G129" i="11" l="1"/>
  <c r="F129" i="11"/>
  <c r="D129" i="11"/>
  <c r="C129" i="11"/>
  <c r="A130" i="11"/>
  <c r="B129" i="11"/>
  <c r="G130" i="11" l="1"/>
  <c r="F130" i="11"/>
  <c r="D130" i="11"/>
  <c r="C130" i="11"/>
  <c r="A131" i="11"/>
  <c r="B130" i="11"/>
  <c r="D131" i="11" l="1"/>
  <c r="G131" i="11"/>
  <c r="F131" i="11"/>
  <c r="C131" i="11"/>
  <c r="A132" i="11"/>
  <c r="B131" i="11"/>
  <c r="D132" i="11" l="1"/>
  <c r="G132" i="11"/>
  <c r="F132" i="11"/>
  <c r="C132" i="11"/>
  <c r="A133" i="11"/>
  <c r="B132" i="11"/>
  <c r="D133" i="11" l="1"/>
  <c r="F133" i="11"/>
  <c r="C133" i="11"/>
  <c r="G133" i="11"/>
  <c r="A134" i="11"/>
  <c r="B133" i="11"/>
  <c r="G134" i="11" l="1"/>
  <c r="D134" i="11"/>
  <c r="F134" i="11"/>
  <c r="C134" i="11"/>
  <c r="A135" i="11"/>
  <c r="B134" i="11"/>
  <c r="G135" i="11" l="1"/>
  <c r="D135" i="11"/>
  <c r="F135" i="11"/>
  <c r="C135" i="11"/>
  <c r="A136" i="11"/>
  <c r="B135" i="11"/>
  <c r="G136" i="11" l="1"/>
  <c r="F136" i="11"/>
  <c r="D136" i="11"/>
  <c r="C136" i="11"/>
  <c r="A137" i="11"/>
  <c r="B136" i="11"/>
  <c r="D137" i="11" l="1"/>
  <c r="F137" i="11"/>
  <c r="G137" i="11"/>
  <c r="C137" i="11"/>
  <c r="A138" i="11"/>
  <c r="B137" i="11"/>
  <c r="G138" i="11" l="1"/>
  <c r="D138" i="11"/>
  <c r="C138" i="11"/>
  <c r="F138" i="11"/>
  <c r="A139" i="11"/>
  <c r="B138" i="11"/>
  <c r="D139" i="11" l="1"/>
  <c r="C139" i="11"/>
  <c r="F139" i="11"/>
  <c r="G139" i="11"/>
  <c r="A140" i="11"/>
  <c r="B139" i="11"/>
  <c r="D140" i="11" l="1"/>
  <c r="G140" i="11"/>
  <c r="F140" i="11"/>
  <c r="C140" i="11"/>
  <c r="A141" i="11"/>
  <c r="B140" i="11"/>
  <c r="D141" i="11" l="1"/>
  <c r="G141" i="11"/>
  <c r="F141" i="11"/>
  <c r="C141" i="11"/>
  <c r="A142" i="11"/>
  <c r="B141" i="11"/>
  <c r="G142" i="11" l="1"/>
  <c r="D142" i="11"/>
  <c r="F142" i="11"/>
  <c r="C142" i="11"/>
  <c r="A143" i="11"/>
  <c r="B142" i="11"/>
  <c r="G143" i="11" l="1"/>
  <c r="D143" i="11"/>
  <c r="F143" i="11"/>
  <c r="C143" i="11"/>
  <c r="A144" i="11"/>
  <c r="B143" i="11"/>
  <c r="G144" i="11" l="1"/>
  <c r="F144" i="11"/>
  <c r="D144" i="11"/>
  <c r="C144" i="11"/>
  <c r="A145" i="11"/>
  <c r="B144" i="11"/>
  <c r="D145" i="11" l="1"/>
  <c r="F145" i="11"/>
  <c r="G145" i="11"/>
  <c r="C145" i="11"/>
  <c r="A146" i="11"/>
  <c r="B145" i="11"/>
  <c r="G146" i="11" l="1"/>
  <c r="D146" i="11"/>
  <c r="F146" i="11"/>
  <c r="C146" i="11"/>
  <c r="A147" i="11"/>
  <c r="B146" i="11"/>
  <c r="G147" i="11" l="1"/>
  <c r="D147" i="11"/>
  <c r="F147" i="11"/>
  <c r="C147" i="11"/>
  <c r="A148" i="11"/>
  <c r="B147" i="11"/>
  <c r="D148" i="11" l="1"/>
  <c r="G148" i="11"/>
  <c r="F148" i="11"/>
  <c r="C148" i="11"/>
  <c r="A149" i="11"/>
  <c r="B148" i="11"/>
  <c r="D149" i="11" l="1"/>
  <c r="G149" i="11"/>
  <c r="F149" i="11"/>
  <c r="C149" i="11"/>
  <c r="A150" i="11"/>
  <c r="B149" i="11"/>
  <c r="G150" i="11" l="1"/>
  <c r="D150" i="11"/>
  <c r="F150" i="11"/>
  <c r="C150" i="11"/>
  <c r="A151" i="11"/>
  <c r="B150" i="11"/>
  <c r="G151" i="11" l="1"/>
  <c r="D151" i="11"/>
  <c r="C151" i="11"/>
  <c r="F151" i="11"/>
  <c r="A152" i="11"/>
  <c r="B151" i="11"/>
  <c r="G152" i="11" l="1"/>
  <c r="D152" i="11"/>
  <c r="F152" i="11"/>
  <c r="C152" i="11"/>
  <c r="A153" i="11"/>
  <c r="B152" i="11"/>
  <c r="D153" i="11" l="1"/>
  <c r="G153" i="11"/>
  <c r="F153" i="11"/>
  <c r="C153" i="11"/>
  <c r="A154" i="11"/>
  <c r="B153" i="11"/>
  <c r="G154" i="11" l="1"/>
  <c r="F154" i="11"/>
  <c r="D154" i="11"/>
  <c r="C154" i="11"/>
  <c r="A155" i="11"/>
  <c r="B154" i="11"/>
  <c r="D155" i="11" l="1"/>
  <c r="F155" i="11"/>
  <c r="G155" i="11"/>
  <c r="C155" i="11"/>
  <c r="A156" i="11"/>
  <c r="B155" i="11"/>
  <c r="D156" i="11" l="1"/>
  <c r="G156" i="11"/>
  <c r="F156" i="11"/>
  <c r="C156" i="11"/>
  <c r="A157" i="11"/>
  <c r="B156" i="11"/>
  <c r="D157" i="11" l="1"/>
  <c r="G157" i="11"/>
  <c r="F157" i="11"/>
  <c r="C157" i="11"/>
  <c r="A158" i="11"/>
  <c r="B157" i="11"/>
  <c r="G158" i="11" l="1"/>
  <c r="F158" i="11"/>
  <c r="D158" i="11"/>
  <c r="C158" i="11"/>
  <c r="A159" i="11"/>
  <c r="B158" i="11"/>
  <c r="G159" i="11" l="1"/>
  <c r="F159" i="11"/>
  <c r="D159" i="11"/>
  <c r="C159" i="11"/>
  <c r="A160" i="11"/>
  <c r="B159" i="11"/>
  <c r="G160" i="11" l="1"/>
  <c r="F160" i="11"/>
  <c r="C160" i="11"/>
  <c r="D160" i="11"/>
  <c r="A161" i="11"/>
  <c r="B160" i="11"/>
  <c r="D161" i="11" l="1"/>
  <c r="F161" i="11"/>
  <c r="G161" i="11"/>
  <c r="C161" i="11"/>
  <c r="A162" i="11"/>
  <c r="B161" i="11"/>
  <c r="F162" i="11" l="1"/>
  <c r="D162" i="11"/>
  <c r="G162" i="11"/>
  <c r="C162" i="11"/>
  <c r="A163" i="11"/>
  <c r="B162" i="11"/>
  <c r="D163" i="11" l="1"/>
  <c r="F163" i="11"/>
  <c r="G163" i="11"/>
  <c r="C163" i="11"/>
  <c r="A164" i="11"/>
  <c r="B163" i="11"/>
  <c r="D164" i="11" l="1"/>
  <c r="G164" i="11"/>
  <c r="F164" i="11"/>
  <c r="C164" i="11"/>
  <c r="A165" i="11"/>
  <c r="B164" i="11"/>
  <c r="D165" i="11" l="1"/>
  <c r="F165" i="11"/>
  <c r="G165" i="11"/>
  <c r="C165" i="11"/>
  <c r="A166" i="11"/>
  <c r="B165" i="11"/>
  <c r="G166" i="11" l="1"/>
  <c r="D166" i="11"/>
  <c r="F166" i="11"/>
  <c r="C166" i="11"/>
  <c r="A167" i="11"/>
  <c r="B166" i="11"/>
  <c r="G167" i="11" l="1"/>
  <c r="D167" i="11"/>
  <c r="F167" i="11"/>
  <c r="C167" i="11"/>
  <c r="A168" i="11"/>
  <c r="B167" i="11"/>
  <c r="G168" i="11" l="1"/>
  <c r="D168" i="11"/>
  <c r="C168" i="11"/>
  <c r="F168" i="11"/>
  <c r="A169" i="11"/>
  <c r="B168" i="11"/>
  <c r="G169" i="11" l="1"/>
  <c r="D169" i="11"/>
  <c r="F169" i="11"/>
  <c r="C169" i="11"/>
  <c r="A170" i="11"/>
  <c r="B169" i="11"/>
  <c r="G170" i="11" l="1"/>
  <c r="F170" i="11"/>
  <c r="D170" i="11"/>
  <c r="C170" i="11"/>
  <c r="A171" i="11"/>
  <c r="B170" i="11"/>
  <c r="G171" i="11" l="1"/>
  <c r="D171" i="11"/>
  <c r="C171" i="11"/>
  <c r="F171" i="11"/>
  <c r="A172" i="11"/>
  <c r="B171" i="11"/>
  <c r="D172" i="11" l="1"/>
  <c r="G172" i="11"/>
  <c r="F172" i="11"/>
  <c r="C172" i="11"/>
  <c r="A173" i="11"/>
  <c r="B172" i="11"/>
  <c r="D173" i="11" l="1"/>
  <c r="G173" i="11"/>
  <c r="F173" i="11"/>
  <c r="C173" i="11"/>
  <c r="A174" i="11"/>
  <c r="B173" i="11"/>
  <c r="G174" i="11" l="1"/>
  <c r="F174" i="11"/>
  <c r="D174" i="11"/>
  <c r="C174" i="11"/>
  <c r="A175" i="11"/>
  <c r="B174" i="11"/>
  <c r="G175" i="11" l="1"/>
  <c r="D175" i="11"/>
  <c r="F175" i="11"/>
  <c r="C175" i="11"/>
  <c r="A176" i="11"/>
  <c r="B175" i="11"/>
  <c r="G176" i="11" l="1"/>
  <c r="F176" i="11"/>
  <c r="D176" i="11"/>
  <c r="C176" i="11"/>
  <c r="A177" i="11"/>
  <c r="B176" i="11"/>
  <c r="D177" i="11" l="1"/>
  <c r="G177" i="11"/>
  <c r="F177" i="11"/>
  <c r="C177" i="11"/>
  <c r="A178" i="11"/>
  <c r="B177" i="11"/>
  <c r="F178" i="11" l="1"/>
  <c r="D178" i="11"/>
  <c r="C178" i="11"/>
  <c r="G178" i="11"/>
  <c r="A179" i="11"/>
  <c r="B178" i="11"/>
  <c r="D179" i="11" l="1"/>
  <c r="F179" i="11"/>
  <c r="C179" i="11"/>
  <c r="G179" i="11"/>
  <c r="A180" i="11"/>
  <c r="B179" i="11"/>
  <c r="D180" i="11" l="1"/>
  <c r="G180" i="11"/>
  <c r="F180" i="11"/>
  <c r="C180" i="11"/>
  <c r="A181" i="11"/>
  <c r="B180" i="11"/>
  <c r="D181" i="11" l="1"/>
  <c r="F181" i="11"/>
  <c r="G181" i="11"/>
  <c r="C181" i="11"/>
  <c r="A182" i="11"/>
  <c r="B181" i="11"/>
  <c r="G182" i="11" l="1"/>
  <c r="D182" i="11"/>
  <c r="C182" i="11"/>
  <c r="F182" i="11"/>
  <c r="A183" i="11"/>
  <c r="B182" i="11"/>
  <c r="G183" i="11" l="1"/>
  <c r="C183" i="11"/>
  <c r="D183" i="11"/>
  <c r="F183" i="11"/>
  <c r="A184" i="11"/>
  <c r="B183" i="11"/>
  <c r="G184" i="11" l="1"/>
  <c r="G2" i="11" s="1"/>
  <c r="F184" i="11"/>
  <c r="F2" i="11" s="1"/>
  <c r="C184" i="11"/>
  <c r="C2" i="11" s="1"/>
  <c r="D184" i="11"/>
  <c r="D2" i="11" s="1"/>
  <c r="A185" i="11"/>
  <c r="B184" i="11"/>
  <c r="A186" i="11" l="1"/>
  <c r="B185" i="11"/>
  <c r="A187" i="11" l="1"/>
  <c r="B186" i="11"/>
  <c r="A188" i="11" l="1"/>
  <c r="B187" i="11"/>
  <c r="A189" i="11" l="1"/>
  <c r="B188" i="11"/>
  <c r="A190" i="11" l="1"/>
  <c r="B189" i="11"/>
  <c r="A191" i="11" l="1"/>
  <c r="B190" i="11"/>
  <c r="A192" i="11" l="1"/>
  <c r="B191" i="11"/>
  <c r="A193" i="11" l="1"/>
  <c r="B192" i="11"/>
  <c r="A194" i="11" l="1"/>
  <c r="B193" i="11"/>
  <c r="A195" i="11" l="1"/>
  <c r="B194" i="11"/>
  <c r="A196" i="11" l="1"/>
  <c r="B195" i="11"/>
  <c r="A197" i="11" l="1"/>
  <c r="B196" i="11"/>
  <c r="A198" i="11" l="1"/>
  <c r="B197" i="11"/>
  <c r="A199" i="11" l="1"/>
  <c r="B198" i="11"/>
  <c r="A200" i="11" l="1"/>
  <c r="B199" i="11"/>
  <c r="A201" i="11" l="1"/>
  <c r="B200" i="11"/>
  <c r="A202" i="11" l="1"/>
  <c r="B201" i="11"/>
  <c r="A203" i="11" l="1"/>
  <c r="B202" i="11"/>
  <c r="A204" i="11" l="1"/>
  <c r="B203" i="11"/>
  <c r="A205" i="11" l="1"/>
  <c r="B204" i="11"/>
  <c r="A206" i="11" l="1"/>
  <c r="B205" i="11"/>
  <c r="A207" i="11" l="1"/>
  <c r="B206" i="11"/>
  <c r="A208" i="11" l="1"/>
  <c r="B207" i="11"/>
  <c r="B208" i="11" l="1"/>
  <c r="A209" i="11"/>
  <c r="A210" i="11" l="1"/>
  <c r="B209" i="11"/>
  <c r="A211" i="11" l="1"/>
  <c r="B210" i="11"/>
  <c r="A212" i="11" l="1"/>
  <c r="B211" i="11"/>
  <c r="A213" i="11" l="1"/>
  <c r="B212" i="11"/>
  <c r="A214" i="11" l="1"/>
  <c r="B213" i="11"/>
  <c r="A215" i="11" l="1"/>
  <c r="B214" i="11"/>
  <c r="A216" i="11" l="1"/>
  <c r="B215" i="11"/>
  <c r="A217" i="11" l="1"/>
  <c r="B216" i="11"/>
  <c r="A218" i="11" l="1"/>
  <c r="B217" i="11"/>
  <c r="A219" i="11" l="1"/>
  <c r="B218" i="11"/>
  <c r="A220" i="11" l="1"/>
  <c r="B219" i="11"/>
  <c r="A221" i="11" l="1"/>
  <c r="B220" i="11"/>
  <c r="A222" i="11" l="1"/>
  <c r="B221" i="11"/>
  <c r="A223" i="11" l="1"/>
  <c r="B222" i="11"/>
  <c r="A224" i="11" l="1"/>
  <c r="B223" i="11"/>
  <c r="A225" i="11" l="1"/>
  <c r="B224" i="11"/>
  <c r="A226" i="11" l="1"/>
  <c r="B225" i="11"/>
  <c r="A227" i="11" l="1"/>
  <c r="B226" i="11"/>
  <c r="A228" i="11" l="1"/>
  <c r="B227" i="11"/>
  <c r="A229" i="11" l="1"/>
  <c r="B228" i="11"/>
  <c r="A230" i="11" l="1"/>
  <c r="B229" i="11"/>
  <c r="A231" i="11" l="1"/>
  <c r="B230" i="11"/>
  <c r="A232" i="11" l="1"/>
  <c r="B231" i="11"/>
  <c r="A233" i="11" l="1"/>
  <c r="B232" i="11"/>
  <c r="A234" i="11" l="1"/>
  <c r="B233" i="11"/>
  <c r="A235" i="11" l="1"/>
  <c r="B234" i="11"/>
  <c r="A236" i="11" l="1"/>
  <c r="B235" i="11"/>
  <c r="A237" i="11" l="1"/>
  <c r="B236" i="11"/>
  <c r="A238" i="11" l="1"/>
  <c r="B237" i="11"/>
  <c r="A239" i="11" l="1"/>
  <c r="B238" i="11"/>
  <c r="A240" i="11" l="1"/>
  <c r="B239" i="11"/>
  <c r="A241" i="11" l="1"/>
  <c r="B240" i="11"/>
  <c r="A242" i="11" l="1"/>
  <c r="B241" i="11"/>
  <c r="A243" i="11" l="1"/>
  <c r="B242" i="11"/>
  <c r="A244" i="11" l="1"/>
  <c r="B243" i="11"/>
  <c r="A245" i="11" l="1"/>
  <c r="B244" i="11"/>
  <c r="A246" i="11" l="1"/>
  <c r="B245" i="11"/>
  <c r="A247" i="11" l="1"/>
  <c r="B246" i="11"/>
  <c r="A248" i="11" l="1"/>
  <c r="B247" i="11"/>
  <c r="A249" i="11" l="1"/>
  <c r="B248" i="11"/>
  <c r="A250" i="11" l="1"/>
  <c r="B249" i="11"/>
  <c r="A251" i="11" l="1"/>
  <c r="B250" i="11"/>
  <c r="A252" i="11" l="1"/>
  <c r="B251" i="11"/>
  <c r="A253" i="11" l="1"/>
  <c r="B252" i="11"/>
  <c r="A254" i="11" l="1"/>
  <c r="B253" i="11"/>
  <c r="A255" i="11" l="1"/>
  <c r="B254" i="11"/>
  <c r="A256" i="11" l="1"/>
  <c r="B255" i="11"/>
  <c r="A257" i="11" l="1"/>
  <c r="B256" i="11"/>
  <c r="A258" i="11" l="1"/>
  <c r="B257" i="11"/>
  <c r="A259" i="11" l="1"/>
  <c r="B258" i="11"/>
  <c r="A260" i="11" l="1"/>
  <c r="B259" i="11"/>
  <c r="A261" i="11" l="1"/>
  <c r="B260" i="11"/>
  <c r="A262" i="11" l="1"/>
  <c r="B261" i="11"/>
  <c r="A263" i="11" l="1"/>
  <c r="B262" i="11"/>
  <c r="A264" i="11" l="1"/>
  <c r="B263" i="11"/>
  <c r="A265" i="11" l="1"/>
  <c r="B264" i="11"/>
  <c r="A266" i="11" l="1"/>
  <c r="B265" i="11"/>
  <c r="A267" i="11" l="1"/>
  <c r="B266" i="11"/>
  <c r="A268" i="11" l="1"/>
  <c r="B267" i="11"/>
  <c r="A269" i="11" l="1"/>
  <c r="B268" i="11"/>
  <c r="A270" i="11" l="1"/>
  <c r="B269" i="11"/>
  <c r="A271" i="11" l="1"/>
  <c r="B270" i="11"/>
  <c r="A272" i="11" l="1"/>
  <c r="B271" i="11"/>
  <c r="A273" i="11" l="1"/>
  <c r="B272" i="11"/>
  <c r="A274" i="11" l="1"/>
  <c r="B273" i="11"/>
  <c r="A275" i="11" l="1"/>
  <c r="B274" i="11"/>
  <c r="A276" i="11" l="1"/>
  <c r="B275" i="11"/>
  <c r="A277" i="11" l="1"/>
  <c r="B276" i="11"/>
  <c r="A278" i="11" l="1"/>
  <c r="B277" i="11"/>
  <c r="A279" i="11" l="1"/>
  <c r="B278" i="11"/>
  <c r="A280" i="11" l="1"/>
  <c r="B279" i="11"/>
  <c r="A281" i="11" l="1"/>
  <c r="B280" i="11"/>
  <c r="A282" i="11" l="1"/>
  <c r="B281" i="11"/>
  <c r="A283" i="11" l="1"/>
  <c r="B282" i="11"/>
  <c r="A284" i="11" l="1"/>
  <c r="B283" i="11"/>
  <c r="A285" i="11" l="1"/>
  <c r="B284" i="11"/>
  <c r="A286" i="11" l="1"/>
  <c r="B285" i="11"/>
  <c r="A287" i="11" l="1"/>
  <c r="B286" i="11"/>
  <c r="A288" i="11" l="1"/>
  <c r="B287" i="11"/>
  <c r="A289" i="11" l="1"/>
  <c r="B288" i="11"/>
  <c r="A290" i="11" l="1"/>
  <c r="B289" i="11"/>
  <c r="A291" i="11" l="1"/>
  <c r="B290" i="11"/>
  <c r="A292" i="11" l="1"/>
  <c r="B291" i="11"/>
  <c r="A293" i="11" l="1"/>
  <c r="B292" i="11"/>
  <c r="A294" i="11" l="1"/>
  <c r="B293" i="11"/>
  <c r="A295" i="11" l="1"/>
  <c r="B294" i="11"/>
  <c r="A296" i="11" l="1"/>
  <c r="B295" i="11"/>
  <c r="A297" i="11" l="1"/>
  <c r="B296" i="11"/>
  <c r="A298" i="11" l="1"/>
  <c r="B297" i="11"/>
  <c r="A299" i="11" l="1"/>
  <c r="B298" i="11"/>
  <c r="A300" i="11" l="1"/>
  <c r="B299" i="11"/>
  <c r="A301" i="11" l="1"/>
  <c r="B300" i="11"/>
  <c r="A302" i="11" l="1"/>
  <c r="B301" i="11"/>
  <c r="A303" i="11" l="1"/>
  <c r="B302" i="11"/>
  <c r="A304" i="11" l="1"/>
  <c r="B303" i="11"/>
  <c r="A305" i="11" l="1"/>
  <c r="B304" i="11"/>
  <c r="A306" i="11" l="1"/>
  <c r="B305" i="11"/>
  <c r="A307" i="11" l="1"/>
  <c r="B306" i="11"/>
  <c r="A308" i="11" l="1"/>
  <c r="B307" i="11"/>
  <c r="A309" i="11" l="1"/>
  <c r="B308" i="11"/>
  <c r="A310" i="11" l="1"/>
  <c r="B309" i="11"/>
  <c r="A311" i="11" l="1"/>
  <c r="B310" i="11"/>
  <c r="B311" i="11" l="1"/>
  <c r="A312" i="11"/>
  <c r="A313" i="11" l="1"/>
  <c r="B312" i="11"/>
  <c r="A314" i="11" l="1"/>
  <c r="B313" i="11"/>
  <c r="A315" i="11" l="1"/>
  <c r="B314" i="11"/>
  <c r="A316" i="11" l="1"/>
  <c r="B315" i="11"/>
  <c r="A317" i="11" l="1"/>
  <c r="B316" i="11"/>
  <c r="A318" i="11" l="1"/>
  <c r="B317" i="11"/>
  <c r="A319" i="11" l="1"/>
  <c r="B318" i="11"/>
  <c r="A320" i="11" l="1"/>
  <c r="B319" i="11"/>
  <c r="A321" i="11" l="1"/>
  <c r="B320" i="11"/>
  <c r="A322" i="11" l="1"/>
  <c r="B321" i="11"/>
  <c r="A323" i="11" l="1"/>
  <c r="B322" i="11"/>
  <c r="A324" i="11" l="1"/>
  <c r="B323" i="11"/>
  <c r="A325" i="11" l="1"/>
  <c r="B324" i="11"/>
  <c r="A326" i="11" l="1"/>
  <c r="B325" i="11"/>
  <c r="A327" i="11" l="1"/>
  <c r="B326" i="11"/>
  <c r="A328" i="11" l="1"/>
  <c r="B327" i="11"/>
  <c r="A329" i="11" l="1"/>
  <c r="B328" i="11"/>
  <c r="A330" i="11" l="1"/>
  <c r="B329" i="11"/>
  <c r="A331" i="11" l="1"/>
  <c r="B330" i="11"/>
  <c r="A332" i="11" l="1"/>
  <c r="B331" i="11"/>
  <c r="A333" i="11" l="1"/>
  <c r="B332" i="11"/>
  <c r="A334" i="11" l="1"/>
  <c r="B333" i="11"/>
  <c r="A335" i="11" l="1"/>
  <c r="B334" i="11"/>
  <c r="A336" i="11" l="1"/>
  <c r="B335" i="11"/>
  <c r="A337" i="11" l="1"/>
  <c r="B336" i="11"/>
  <c r="A338" i="11" l="1"/>
  <c r="B337" i="11"/>
  <c r="A339" i="11" l="1"/>
  <c r="B338" i="11"/>
  <c r="A340" i="11" l="1"/>
  <c r="B339" i="11"/>
  <c r="A341" i="11" l="1"/>
  <c r="B340" i="11"/>
  <c r="A342" i="11" l="1"/>
  <c r="B341" i="11"/>
  <c r="A343" i="11" l="1"/>
  <c r="B342" i="11"/>
  <c r="A344" i="11" l="1"/>
  <c r="B343" i="11"/>
  <c r="A345" i="11" l="1"/>
  <c r="B344" i="11"/>
  <c r="A346" i="11" l="1"/>
  <c r="B345" i="11"/>
  <c r="A347" i="11" l="1"/>
  <c r="B346" i="11"/>
  <c r="A348" i="11" l="1"/>
  <c r="B347" i="11"/>
  <c r="A349" i="11" l="1"/>
  <c r="B348" i="11"/>
  <c r="A350" i="11" l="1"/>
  <c r="B349" i="11"/>
  <c r="A351" i="11" l="1"/>
  <c r="B350" i="11"/>
  <c r="A352" i="11" l="1"/>
  <c r="B351" i="11"/>
  <c r="A353" i="11" l="1"/>
  <c r="B352" i="11"/>
  <c r="A354" i="11" l="1"/>
  <c r="B353" i="11"/>
  <c r="A355" i="11" l="1"/>
  <c r="B354" i="11"/>
  <c r="A356" i="11" l="1"/>
  <c r="B355" i="11"/>
  <c r="A357" i="11" l="1"/>
  <c r="B356" i="11"/>
  <c r="A358" i="11" l="1"/>
  <c r="B357" i="11"/>
  <c r="A359" i="11" l="1"/>
  <c r="B358" i="11"/>
  <c r="A360" i="11" l="1"/>
  <c r="B359" i="11"/>
  <c r="A361" i="11" l="1"/>
  <c r="B360" i="11"/>
  <c r="A362" i="11" l="1"/>
  <c r="B361" i="11"/>
  <c r="A363" i="11" l="1"/>
  <c r="B362" i="11"/>
  <c r="A364" i="11" l="1"/>
  <c r="B363" i="11"/>
  <c r="A365" i="11" l="1"/>
  <c r="B364" i="11"/>
  <c r="A366" i="11" l="1"/>
  <c r="B365" i="11"/>
  <c r="A367" i="11" l="1"/>
  <c r="B366" i="11"/>
  <c r="A368" i="11" l="1"/>
  <c r="A369" i="11" s="1"/>
  <c r="B367" i="11"/>
  <c r="A370" i="11" l="1"/>
  <c r="B369" i="11"/>
  <c r="B368" i="11"/>
  <c r="A371" i="11" l="1"/>
  <c r="B370" i="11"/>
  <c r="A372" i="11" l="1"/>
  <c r="B371" i="11"/>
  <c r="A373" i="11" l="1"/>
  <c r="B372" i="11"/>
  <c r="A374" i="11" l="1"/>
  <c r="B373" i="11"/>
  <c r="A375" i="11" l="1"/>
  <c r="B374" i="11"/>
  <c r="A376" i="11" l="1"/>
  <c r="B375" i="11"/>
  <c r="A377" i="11" l="1"/>
  <c r="B376" i="11"/>
  <c r="A378" i="11" l="1"/>
  <c r="B377" i="11"/>
  <c r="A379" i="11" l="1"/>
  <c r="B378" i="11"/>
  <c r="A380" i="11" l="1"/>
  <c r="B379" i="11"/>
  <c r="A381" i="11" l="1"/>
  <c r="B380" i="11"/>
  <c r="A382" i="11" l="1"/>
  <c r="B381" i="11"/>
  <c r="A383" i="11" l="1"/>
  <c r="B382" i="11"/>
  <c r="A384" i="11" l="1"/>
  <c r="B383" i="11"/>
  <c r="A385" i="11" l="1"/>
  <c r="B384" i="11"/>
  <c r="A386" i="11" l="1"/>
  <c r="B385" i="11"/>
  <c r="A387" i="11" l="1"/>
  <c r="B386" i="11"/>
  <c r="A388" i="11" l="1"/>
  <c r="B387" i="11"/>
  <c r="A389" i="11" l="1"/>
  <c r="B388" i="11"/>
  <c r="A390" i="11" l="1"/>
  <c r="B389" i="11"/>
  <c r="A391" i="11" l="1"/>
  <c r="B390" i="11"/>
  <c r="A392" i="11" l="1"/>
  <c r="B391" i="11"/>
  <c r="A393" i="11" l="1"/>
  <c r="B392" i="11"/>
  <c r="A394" i="11" l="1"/>
  <c r="B393" i="11"/>
  <c r="A395" i="11" l="1"/>
  <c r="B394" i="11"/>
  <c r="A396" i="11" l="1"/>
  <c r="B395" i="11"/>
  <c r="A397" i="11" l="1"/>
  <c r="B396" i="11"/>
  <c r="A398" i="11" l="1"/>
  <c r="B397" i="11"/>
  <c r="A399" i="11" l="1"/>
  <c r="B398" i="11"/>
  <c r="A400" i="11" l="1"/>
  <c r="B399" i="11"/>
  <c r="A401" i="11" l="1"/>
  <c r="B400" i="11"/>
  <c r="A402" i="11" l="1"/>
  <c r="B401" i="11"/>
  <c r="A403" i="11" l="1"/>
  <c r="B402" i="11"/>
  <c r="A404" i="11" l="1"/>
  <c r="B403" i="11"/>
  <c r="A405" i="11" l="1"/>
  <c r="B404" i="11"/>
  <c r="A406" i="11" l="1"/>
  <c r="B405" i="11"/>
  <c r="A407" i="11" l="1"/>
  <c r="B406" i="11"/>
  <c r="A408" i="11" l="1"/>
  <c r="B407" i="11"/>
  <c r="A409" i="11" l="1"/>
  <c r="B408" i="11"/>
  <c r="A410" i="11" l="1"/>
  <c r="B409" i="11"/>
  <c r="A411" i="11" l="1"/>
  <c r="B410" i="11"/>
  <c r="A412" i="11" l="1"/>
  <c r="B411" i="11"/>
  <c r="A413" i="11" l="1"/>
  <c r="B412" i="11"/>
  <c r="A414" i="11" l="1"/>
  <c r="B413" i="11"/>
  <c r="A415" i="11" l="1"/>
  <c r="B414" i="11"/>
  <c r="A416" i="11" l="1"/>
  <c r="B415" i="11"/>
  <c r="A417" i="11" l="1"/>
  <c r="B416" i="11"/>
  <c r="A418" i="11" l="1"/>
  <c r="B417" i="11"/>
  <c r="A419" i="11" l="1"/>
  <c r="B418" i="11"/>
  <c r="A420" i="11" l="1"/>
  <c r="B419" i="11"/>
  <c r="A421" i="11" l="1"/>
  <c r="B420" i="11"/>
  <c r="A422" i="11" l="1"/>
  <c r="B421" i="11"/>
  <c r="A423" i="11" l="1"/>
  <c r="B422" i="11"/>
  <c r="A424" i="11" l="1"/>
  <c r="B423" i="11"/>
  <c r="A425" i="11" l="1"/>
  <c r="B424" i="11"/>
  <c r="A426" i="11" l="1"/>
  <c r="B425" i="11"/>
  <c r="A427" i="11" l="1"/>
  <c r="B426" i="11"/>
  <c r="A428" i="11" l="1"/>
  <c r="B427" i="11"/>
  <c r="A429" i="11" l="1"/>
  <c r="B428" i="11"/>
  <c r="A430" i="11" l="1"/>
  <c r="B429" i="11"/>
  <c r="A431" i="11" l="1"/>
  <c r="B430" i="11"/>
  <c r="A432" i="11" l="1"/>
  <c r="B431" i="11"/>
  <c r="A433" i="11" l="1"/>
  <c r="B432" i="11"/>
  <c r="A434" i="11" l="1"/>
  <c r="B433" i="11"/>
  <c r="A435" i="11" l="1"/>
  <c r="B434" i="11"/>
  <c r="A436" i="11" l="1"/>
  <c r="B435" i="11"/>
  <c r="A437" i="11" l="1"/>
  <c r="B436" i="11"/>
  <c r="A438" i="11" l="1"/>
  <c r="B437" i="11"/>
  <c r="A439" i="11" l="1"/>
  <c r="B438" i="11"/>
  <c r="A440" i="11" l="1"/>
  <c r="B439" i="11"/>
  <c r="A441" i="11" l="1"/>
  <c r="B440" i="11"/>
  <c r="A442" i="11" l="1"/>
  <c r="B441" i="11"/>
  <c r="A443" i="11" l="1"/>
  <c r="B442" i="11"/>
  <c r="A444" i="11" l="1"/>
  <c r="B443" i="11"/>
  <c r="A445" i="11" l="1"/>
  <c r="B444" i="11"/>
  <c r="A446" i="11" l="1"/>
  <c r="B445" i="11"/>
  <c r="A447" i="11" l="1"/>
  <c r="B446" i="11"/>
  <c r="A448" i="11" l="1"/>
  <c r="B447" i="11"/>
  <c r="A449" i="11" l="1"/>
  <c r="B448" i="11"/>
  <c r="A450" i="11" l="1"/>
  <c r="B449" i="11"/>
  <c r="A451" i="11" l="1"/>
  <c r="B450" i="11"/>
  <c r="A452" i="11" l="1"/>
  <c r="B451" i="11"/>
  <c r="A453" i="11" l="1"/>
  <c r="B452" i="11"/>
  <c r="A454" i="11" l="1"/>
  <c r="B453" i="11"/>
  <c r="A455" i="11" l="1"/>
  <c r="B454" i="11"/>
  <c r="A456" i="11" l="1"/>
  <c r="B455" i="11"/>
  <c r="A457" i="11" l="1"/>
  <c r="B456" i="11"/>
  <c r="A458" i="11" l="1"/>
  <c r="B457" i="11"/>
  <c r="A459" i="11" l="1"/>
  <c r="B458" i="11"/>
  <c r="A460" i="11" l="1"/>
  <c r="B459" i="11"/>
  <c r="A461" i="11" l="1"/>
  <c r="B460" i="11"/>
  <c r="A462" i="11" l="1"/>
  <c r="B461" i="11"/>
  <c r="A463" i="11" l="1"/>
  <c r="B462" i="11"/>
  <c r="A464" i="11" l="1"/>
  <c r="B463" i="11"/>
  <c r="A465" i="11" l="1"/>
  <c r="B464" i="11"/>
  <c r="A466" i="11" l="1"/>
  <c r="B465" i="11"/>
  <c r="A467" i="11" l="1"/>
  <c r="B466" i="11"/>
  <c r="A468" i="11" l="1"/>
  <c r="B467" i="11"/>
  <c r="A469" i="11" l="1"/>
  <c r="B468" i="11"/>
  <c r="A470" i="11" l="1"/>
  <c r="B469" i="11"/>
  <c r="A471" i="11" l="1"/>
  <c r="B470" i="11"/>
  <c r="A472" i="11" l="1"/>
  <c r="B471" i="11"/>
  <c r="A473" i="11" l="1"/>
  <c r="B472" i="11"/>
  <c r="A474" i="11" l="1"/>
  <c r="B473" i="11"/>
  <c r="A475" i="11" l="1"/>
  <c r="B474" i="11"/>
  <c r="A476" i="11" l="1"/>
  <c r="B475" i="11"/>
  <c r="A477" i="11" l="1"/>
  <c r="B476" i="11"/>
  <c r="A478" i="11" l="1"/>
  <c r="B477" i="11"/>
  <c r="A479" i="11" l="1"/>
  <c r="B478" i="11"/>
  <c r="A480" i="11" l="1"/>
  <c r="B479" i="11"/>
  <c r="A481" i="11" l="1"/>
  <c r="B480" i="11"/>
  <c r="A482" i="11" l="1"/>
  <c r="B481" i="11"/>
  <c r="A483" i="11" l="1"/>
  <c r="B482" i="11"/>
  <c r="A484" i="11" l="1"/>
  <c r="B483" i="11"/>
  <c r="A485" i="11" l="1"/>
  <c r="B484" i="11"/>
  <c r="A486" i="11" l="1"/>
  <c r="B485" i="11"/>
  <c r="A487" i="11" l="1"/>
  <c r="B486" i="11"/>
  <c r="A488" i="11" l="1"/>
  <c r="B487" i="11"/>
  <c r="A489" i="11" l="1"/>
  <c r="B488" i="11"/>
  <c r="A490" i="11" l="1"/>
  <c r="B489" i="11"/>
  <c r="A491" i="11" l="1"/>
  <c r="B490" i="11"/>
  <c r="A492" i="11" l="1"/>
  <c r="B491" i="11"/>
  <c r="A493" i="11" l="1"/>
  <c r="B492" i="11"/>
  <c r="A494" i="11" l="1"/>
  <c r="B493" i="11"/>
  <c r="A495" i="11" l="1"/>
  <c r="B494" i="11"/>
  <c r="A496" i="11" l="1"/>
  <c r="B495" i="11"/>
  <c r="A497" i="11" l="1"/>
  <c r="B496" i="11"/>
  <c r="A498" i="11" l="1"/>
  <c r="B497" i="11"/>
  <c r="A499" i="11" l="1"/>
  <c r="B498" i="11"/>
  <c r="A500" i="11" l="1"/>
  <c r="B499" i="11"/>
  <c r="A501" i="11" l="1"/>
  <c r="B500" i="11"/>
  <c r="A502" i="11" l="1"/>
  <c r="B501" i="11"/>
  <c r="A503" i="11" l="1"/>
  <c r="B502" i="11"/>
  <c r="A504" i="11" l="1"/>
  <c r="B503" i="11"/>
  <c r="A505" i="11" l="1"/>
  <c r="B504" i="11"/>
  <c r="A506" i="11" l="1"/>
  <c r="B505" i="11"/>
  <c r="A507" i="11" l="1"/>
  <c r="B506" i="11"/>
  <c r="A508" i="11" l="1"/>
  <c r="B507" i="11"/>
  <c r="A509" i="11" l="1"/>
  <c r="B508" i="11"/>
  <c r="A510" i="11" l="1"/>
  <c r="B509" i="11"/>
  <c r="A511" i="11" l="1"/>
  <c r="B510" i="11"/>
  <c r="A512" i="11" l="1"/>
  <c r="B511" i="11"/>
  <c r="A513" i="11" l="1"/>
  <c r="B512" i="11"/>
  <c r="A514" i="11" l="1"/>
  <c r="B513" i="11"/>
  <c r="A515" i="11" l="1"/>
  <c r="B514" i="11"/>
  <c r="A516" i="11" l="1"/>
  <c r="B515" i="11"/>
  <c r="A517" i="11" l="1"/>
  <c r="B516" i="11"/>
  <c r="A518" i="11" l="1"/>
  <c r="B517" i="11"/>
  <c r="A519" i="11" l="1"/>
  <c r="B518" i="11"/>
  <c r="A520" i="11" l="1"/>
  <c r="B519" i="11"/>
  <c r="A521" i="11" l="1"/>
  <c r="B520" i="11"/>
  <c r="A522" i="11" l="1"/>
  <c r="B521" i="11"/>
  <c r="A523" i="11" l="1"/>
  <c r="B522" i="11"/>
  <c r="A524" i="11" l="1"/>
  <c r="B523" i="11"/>
  <c r="A525" i="11" l="1"/>
  <c r="B524" i="11"/>
  <c r="A526" i="11" l="1"/>
  <c r="B525" i="11"/>
  <c r="A527" i="11" l="1"/>
  <c r="B526" i="11"/>
  <c r="A528" i="11" l="1"/>
  <c r="B527" i="11"/>
  <c r="A529" i="11" l="1"/>
  <c r="B528" i="11"/>
  <c r="A530" i="11" l="1"/>
  <c r="B529" i="11"/>
  <c r="A531" i="11" l="1"/>
  <c r="B530" i="11"/>
  <c r="A532" i="11" l="1"/>
  <c r="B531" i="11"/>
  <c r="A533" i="11" l="1"/>
  <c r="B532" i="11"/>
  <c r="A534" i="11" l="1"/>
  <c r="B533" i="11"/>
  <c r="A535" i="11" l="1"/>
  <c r="B534" i="11"/>
  <c r="A536" i="11" l="1"/>
  <c r="B535" i="11"/>
  <c r="A537" i="11" l="1"/>
  <c r="B536" i="11"/>
  <c r="A538" i="11" l="1"/>
  <c r="B537" i="11"/>
  <c r="A539" i="11" l="1"/>
  <c r="B538" i="11"/>
  <c r="A540" i="11" l="1"/>
  <c r="B539" i="11"/>
  <c r="A541" i="11" l="1"/>
  <c r="B540" i="11"/>
  <c r="A542" i="11" l="1"/>
  <c r="B541" i="11"/>
  <c r="A543" i="11" l="1"/>
  <c r="B542" i="11"/>
  <c r="A544" i="11" l="1"/>
  <c r="B543" i="11"/>
  <c r="A545" i="11" l="1"/>
  <c r="B544" i="11"/>
  <c r="A546" i="11" l="1"/>
  <c r="B545" i="11"/>
  <c r="A547" i="11" l="1"/>
  <c r="B546" i="11"/>
  <c r="A548" i="11" l="1"/>
  <c r="B547" i="11"/>
  <c r="A549" i="11" l="1"/>
  <c r="B548" i="11"/>
  <c r="A550" i="11" l="1"/>
  <c r="B549" i="11"/>
  <c r="A551" i="11" l="1"/>
  <c r="B550" i="11"/>
  <c r="A552" i="11" l="1"/>
  <c r="B551" i="11"/>
  <c r="A553" i="11" l="1"/>
  <c r="B552" i="11"/>
  <c r="A554" i="11" l="1"/>
  <c r="B553" i="11"/>
  <c r="A555" i="11" l="1"/>
  <c r="B554" i="11"/>
  <c r="A556" i="11" l="1"/>
  <c r="B555" i="11"/>
  <c r="A557" i="11" l="1"/>
  <c r="B556" i="11"/>
  <c r="A558" i="11" l="1"/>
  <c r="B557" i="11"/>
  <c r="A559" i="11" l="1"/>
  <c r="B558" i="11"/>
  <c r="A560" i="11" l="1"/>
  <c r="B559" i="11"/>
  <c r="A561" i="11" l="1"/>
  <c r="B560" i="11"/>
  <c r="A562" i="11" l="1"/>
  <c r="B561" i="11"/>
  <c r="A563" i="11" l="1"/>
  <c r="B562" i="11"/>
  <c r="A564" i="11" l="1"/>
  <c r="B563" i="11"/>
  <c r="A565" i="11" l="1"/>
  <c r="B564" i="11"/>
  <c r="A566" i="11" l="1"/>
  <c r="B565" i="11"/>
  <c r="A567" i="11" l="1"/>
  <c r="B566" i="11"/>
  <c r="A568" i="11" l="1"/>
  <c r="B567" i="11"/>
  <c r="A569" i="11" l="1"/>
  <c r="B568" i="11"/>
  <c r="A570" i="11" l="1"/>
  <c r="B569" i="11"/>
  <c r="A571" i="11" l="1"/>
  <c r="B570" i="11"/>
  <c r="A572" i="11" l="1"/>
  <c r="B571" i="11"/>
  <c r="A573" i="11" l="1"/>
  <c r="B572" i="11"/>
  <c r="A574" i="11" l="1"/>
  <c r="B573" i="11"/>
  <c r="A575" i="11" l="1"/>
  <c r="B574" i="11"/>
  <c r="A576" i="11" l="1"/>
  <c r="B575" i="11"/>
  <c r="A577" i="11" l="1"/>
  <c r="B576" i="11"/>
  <c r="A578" i="11" l="1"/>
  <c r="B577" i="11"/>
  <c r="A579" i="11" l="1"/>
  <c r="B578" i="11"/>
  <c r="B579" i="11" l="1"/>
  <c r="A580" i="11"/>
  <c r="A581" i="11" l="1"/>
  <c r="B580" i="11"/>
  <c r="A582" i="11" l="1"/>
  <c r="B581" i="11"/>
  <c r="A583" i="11" l="1"/>
  <c r="B582" i="11"/>
  <c r="A584" i="11" l="1"/>
  <c r="B583" i="11"/>
  <c r="A585" i="11" l="1"/>
  <c r="B584" i="11"/>
  <c r="A586" i="11" l="1"/>
  <c r="B585" i="11"/>
  <c r="A587" i="11" l="1"/>
  <c r="B586" i="11"/>
  <c r="A588" i="11" l="1"/>
  <c r="B587" i="11"/>
  <c r="A589" i="11" l="1"/>
  <c r="B588" i="11"/>
  <c r="A590" i="11" l="1"/>
  <c r="B589" i="11"/>
  <c r="A591" i="11" l="1"/>
  <c r="B590" i="11"/>
  <c r="A592" i="11" l="1"/>
  <c r="B591" i="11"/>
  <c r="A593" i="11" l="1"/>
  <c r="B592" i="11"/>
  <c r="A594" i="11" l="1"/>
  <c r="B593" i="11"/>
  <c r="A595" i="11" l="1"/>
  <c r="B594" i="11"/>
  <c r="A596" i="11" l="1"/>
  <c r="B595" i="11"/>
  <c r="A597" i="11" l="1"/>
  <c r="B596" i="11"/>
  <c r="A598" i="11" l="1"/>
  <c r="B597" i="11"/>
  <c r="A599" i="11" l="1"/>
  <c r="B598" i="11"/>
  <c r="A600" i="11" l="1"/>
  <c r="B599" i="11"/>
  <c r="A601" i="11" l="1"/>
  <c r="B600" i="11"/>
  <c r="A602" i="11" l="1"/>
  <c r="B601" i="11"/>
  <c r="A603" i="11" l="1"/>
  <c r="B602" i="11"/>
  <c r="A604" i="11" l="1"/>
  <c r="B603" i="11"/>
  <c r="A605" i="11" l="1"/>
  <c r="B604" i="11"/>
  <c r="A606" i="11" l="1"/>
  <c r="B605" i="11"/>
  <c r="A607" i="11" l="1"/>
  <c r="B606" i="11"/>
  <c r="A608" i="11" l="1"/>
  <c r="B607" i="11"/>
  <c r="A609" i="11" l="1"/>
  <c r="B608" i="11"/>
  <c r="A610" i="11" l="1"/>
  <c r="B609" i="11"/>
  <c r="A611" i="11" l="1"/>
  <c r="B610" i="11"/>
  <c r="A612" i="11" l="1"/>
  <c r="B611" i="11"/>
  <c r="A613" i="11" l="1"/>
  <c r="B612" i="11"/>
  <c r="A614" i="11" l="1"/>
  <c r="B613" i="11"/>
  <c r="A615" i="11" l="1"/>
  <c r="B614" i="11"/>
  <c r="A616" i="11" l="1"/>
  <c r="B615" i="11"/>
  <c r="A617" i="11" l="1"/>
  <c r="B616" i="11"/>
  <c r="A618" i="11" l="1"/>
  <c r="B617" i="11"/>
  <c r="A619" i="11" l="1"/>
  <c r="B618" i="11"/>
  <c r="A620" i="11" l="1"/>
  <c r="B619" i="11"/>
  <c r="A621" i="11" l="1"/>
  <c r="B620" i="11"/>
  <c r="A622" i="11" l="1"/>
  <c r="B621" i="11"/>
  <c r="A623" i="11" l="1"/>
  <c r="B622" i="11"/>
  <c r="A624" i="11" l="1"/>
  <c r="B623" i="11"/>
  <c r="A625" i="11" l="1"/>
  <c r="B624" i="11"/>
  <c r="A626" i="11" l="1"/>
  <c r="B625" i="11"/>
  <c r="A627" i="11" l="1"/>
  <c r="B626" i="11"/>
  <c r="A628" i="11" l="1"/>
  <c r="B627" i="11"/>
  <c r="A629" i="11" l="1"/>
  <c r="B628" i="11"/>
  <c r="A630" i="11" l="1"/>
  <c r="B629" i="11"/>
  <c r="A631" i="11" l="1"/>
  <c r="B630" i="11"/>
  <c r="A632" i="11" l="1"/>
  <c r="B631" i="11"/>
  <c r="A633" i="11" l="1"/>
  <c r="B632" i="11"/>
  <c r="A634" i="11" l="1"/>
  <c r="B633" i="11"/>
  <c r="A635" i="11" l="1"/>
  <c r="B634" i="11"/>
  <c r="A636" i="11" l="1"/>
  <c r="B635" i="11"/>
  <c r="A637" i="11" l="1"/>
  <c r="B636" i="11"/>
  <c r="A638" i="11" l="1"/>
  <c r="B637" i="11"/>
  <c r="A639" i="11" l="1"/>
  <c r="B638" i="11"/>
  <c r="A640" i="11" l="1"/>
  <c r="B639" i="11"/>
  <c r="A641" i="11" l="1"/>
  <c r="B640" i="11"/>
  <c r="A642" i="11" l="1"/>
  <c r="B641" i="11"/>
  <c r="A643" i="11" l="1"/>
  <c r="B642" i="11"/>
  <c r="A644" i="11" l="1"/>
  <c r="B643" i="11"/>
  <c r="A645" i="11" l="1"/>
  <c r="B644" i="11"/>
  <c r="A646" i="11" l="1"/>
  <c r="B645" i="11"/>
  <c r="A647" i="11" l="1"/>
  <c r="B646" i="11"/>
  <c r="A648" i="11" l="1"/>
  <c r="B647" i="11"/>
  <c r="A649" i="11" l="1"/>
  <c r="B648" i="11"/>
  <c r="A650" i="11" l="1"/>
  <c r="B649" i="11"/>
  <c r="A651" i="11" l="1"/>
  <c r="B650" i="11"/>
  <c r="A652" i="11" l="1"/>
  <c r="B651" i="11"/>
  <c r="A653" i="11" l="1"/>
  <c r="B652" i="11"/>
  <c r="A654" i="11" l="1"/>
  <c r="B653" i="11"/>
  <c r="A655" i="11" l="1"/>
  <c r="B654" i="11"/>
  <c r="A656" i="11" l="1"/>
  <c r="B655" i="11"/>
  <c r="A657" i="11" l="1"/>
  <c r="B656" i="11"/>
  <c r="A658" i="11" l="1"/>
  <c r="B657" i="11"/>
  <c r="A659" i="11" l="1"/>
  <c r="B658" i="11"/>
  <c r="A660" i="11" l="1"/>
  <c r="B659" i="11"/>
  <c r="A661" i="11" l="1"/>
  <c r="B660" i="11"/>
  <c r="A662" i="11" l="1"/>
  <c r="B661" i="11"/>
  <c r="A663" i="11" l="1"/>
  <c r="B662" i="11"/>
  <c r="A664" i="11" l="1"/>
  <c r="B663" i="11"/>
  <c r="A665" i="11" l="1"/>
  <c r="B664" i="11"/>
  <c r="A666" i="11" l="1"/>
  <c r="B665" i="11"/>
  <c r="A667" i="11" l="1"/>
  <c r="B666" i="11"/>
  <c r="A668" i="11" l="1"/>
  <c r="B667" i="11"/>
  <c r="A669" i="11" l="1"/>
  <c r="B668" i="11"/>
  <c r="A670" i="11" l="1"/>
  <c r="B669" i="11"/>
  <c r="A671" i="11" l="1"/>
  <c r="B670" i="11"/>
  <c r="A672" i="11" l="1"/>
  <c r="B671" i="11"/>
  <c r="A673" i="11" l="1"/>
  <c r="B672" i="11"/>
  <c r="A674" i="11" l="1"/>
  <c r="B673" i="11"/>
  <c r="A675" i="11" l="1"/>
  <c r="B674" i="11"/>
  <c r="A676" i="11" l="1"/>
  <c r="B675" i="11"/>
  <c r="A677" i="11" l="1"/>
  <c r="B676" i="11"/>
  <c r="A678" i="11" l="1"/>
  <c r="B677" i="11"/>
  <c r="A679" i="11" l="1"/>
  <c r="B678" i="11"/>
  <c r="A680" i="11" l="1"/>
  <c r="B679" i="11"/>
  <c r="A681" i="11" l="1"/>
  <c r="B680" i="11"/>
  <c r="A682" i="11" l="1"/>
  <c r="B681" i="11"/>
  <c r="A683" i="11" l="1"/>
  <c r="B682" i="11"/>
  <c r="B683" i="11" l="1"/>
  <c r="A684" i="11"/>
  <c r="B684" i="11" l="1"/>
  <c r="A685" i="11"/>
  <c r="A686" i="11" l="1"/>
  <c r="B685" i="11"/>
  <c r="A687" i="11" l="1"/>
  <c r="B686" i="11"/>
  <c r="A688" i="11" l="1"/>
  <c r="B687" i="11"/>
  <c r="A689" i="11" l="1"/>
  <c r="B688" i="11"/>
  <c r="A690" i="11" l="1"/>
  <c r="B689" i="11"/>
  <c r="A691" i="11" l="1"/>
  <c r="B690" i="11"/>
  <c r="A692" i="11" l="1"/>
  <c r="B691" i="11"/>
  <c r="A693" i="11" l="1"/>
  <c r="B692" i="11"/>
  <c r="A694" i="11" l="1"/>
  <c r="B693" i="11"/>
  <c r="A695" i="11" l="1"/>
  <c r="B694" i="11"/>
  <c r="A696" i="11" l="1"/>
  <c r="B695" i="11"/>
  <c r="A697" i="11" l="1"/>
  <c r="B696" i="11"/>
  <c r="A698" i="11" l="1"/>
  <c r="B697" i="11"/>
  <c r="A699" i="11" l="1"/>
  <c r="B698" i="11"/>
  <c r="A700" i="11" l="1"/>
  <c r="B699" i="11"/>
  <c r="A701" i="11" l="1"/>
  <c r="B700" i="11"/>
  <c r="A702" i="11" l="1"/>
  <c r="B701" i="11"/>
  <c r="A703" i="11" l="1"/>
  <c r="B702" i="11"/>
  <c r="A704" i="11" l="1"/>
  <c r="B703" i="11"/>
  <c r="A705" i="11" l="1"/>
  <c r="B704" i="11"/>
  <c r="A706" i="11" l="1"/>
  <c r="B705" i="11"/>
  <c r="A707" i="11" l="1"/>
  <c r="B706" i="11"/>
  <c r="A708" i="11" l="1"/>
  <c r="B707" i="11"/>
  <c r="A709" i="11" l="1"/>
  <c r="B708" i="11"/>
  <c r="A710" i="11" l="1"/>
  <c r="B709" i="11"/>
  <c r="A711" i="11" l="1"/>
  <c r="B710" i="11"/>
  <c r="A712" i="11" l="1"/>
  <c r="B711" i="11"/>
  <c r="A713" i="11" l="1"/>
  <c r="B712" i="11"/>
  <c r="A714" i="11" l="1"/>
  <c r="B713" i="11"/>
  <c r="A715" i="11" l="1"/>
  <c r="B714" i="11"/>
  <c r="A716" i="11" l="1"/>
  <c r="B715" i="11"/>
  <c r="A717" i="11" l="1"/>
  <c r="B716" i="11"/>
  <c r="A718" i="11" l="1"/>
  <c r="B717" i="11"/>
  <c r="A719" i="11" l="1"/>
  <c r="B718" i="11"/>
  <c r="A720" i="11" l="1"/>
  <c r="B719" i="11"/>
  <c r="A721" i="11" l="1"/>
  <c r="B720" i="11"/>
  <c r="A722" i="11" l="1"/>
  <c r="B721" i="11"/>
  <c r="A723" i="11" l="1"/>
  <c r="B722" i="11"/>
  <c r="A724" i="11" l="1"/>
  <c r="B723" i="11"/>
  <c r="A725" i="11" l="1"/>
  <c r="B724" i="11"/>
  <c r="A726" i="11" l="1"/>
  <c r="B725" i="11"/>
  <c r="A727" i="11" l="1"/>
  <c r="B726" i="11"/>
  <c r="A728" i="11" l="1"/>
  <c r="B727" i="11"/>
  <c r="A729" i="11" l="1"/>
  <c r="B728" i="11"/>
  <c r="A730" i="11" l="1"/>
  <c r="B729" i="11"/>
  <c r="A731" i="11" l="1"/>
  <c r="B730" i="11"/>
  <c r="A732" i="11" l="1"/>
  <c r="B731" i="11"/>
  <c r="A733" i="11" l="1"/>
  <c r="B733" i="11" s="1"/>
  <c r="B732" i="1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  <author>Modelo</author>
  </authors>
  <commentList>
    <comment ref="C10" authorId="0" shapeId="0" xr:uid="{00000000-0006-0000-0000-000001000000}">
      <text>
        <r>
          <rPr>
            <sz val="11"/>
            <color theme="1"/>
            <rFont val="Aptos Narrow"/>
            <family val="2"/>
            <charset val="1"/>
          </rPr>
          <t>Data do dado (B1). Recalcula o KM previsto das atividades em dias úteis.</t>
        </r>
      </text>
    </comment>
    <comment ref="I13" authorId="0" shapeId="0" xr:uid="{00000000-0006-0000-0000-000002000000}">
      <text>
        <r>
          <rPr>
            <sz val="11"/>
            <color theme="1"/>
            <rFont val="Aptos Narrow"/>
            <family val="2"/>
            <charset val="1"/>
          </rPr>
          <t>Calculado automaticamente ao gerar o painel (não preencher).</t>
        </r>
      </text>
    </comment>
    <comment ref="C29" authorId="0" shapeId="0" xr:uid="{00000000-0006-0000-0000-00000D000000}">
      <text>
        <r>
          <rPr>
            <sz val="11"/>
            <color theme="1"/>
            <rFont val="Aptos Narrow"/>
            <family val="2"/>
            <charset val="1"/>
          </rPr>
          <t>KM previsto da Liberação (vai para ATIVIDADES!B4).</t>
        </r>
      </text>
    </comment>
    <comment ref="C32" authorId="0" shapeId="0" xr:uid="{00000000-0006-0000-0000-00000E000000}">
      <text>
        <r>
          <rPr>
            <sz val="11"/>
            <color theme="1"/>
            <rFont val="Aptos Narrow"/>
            <family val="2"/>
            <charset val="1"/>
          </rPr>
          <t>KM em metros. Deixe em branco se não houver mais trechos.</t>
        </r>
      </text>
    </comment>
    <comment ref="D32" authorId="0" shapeId="0" xr:uid="{00000000-0006-0000-0000-00000F000000}">
      <text>
        <r>
          <rPr>
            <sz val="11"/>
            <color theme="1"/>
            <rFont val="Aptos Narrow"/>
            <family val="2"/>
            <charset val="1"/>
          </rPr>
          <t>KM em metros. Deixe em branco se não houver mais trechos.</t>
        </r>
      </text>
    </comment>
    <comment ref="C44" authorId="1" shapeId="0" xr:uid="{00000000-0006-0000-0000-000011000000}">
      <text>
        <r>
          <rPr>
            <sz val="11"/>
            <color theme="1"/>
            <rFont val="Aptos Narrow"/>
            <family val="2"/>
            <charset val="1"/>
          </rPr>
          <t>KM início do colchão (metros).</t>
        </r>
      </text>
    </comment>
    <comment ref="E44" authorId="1" shapeId="0" xr:uid="{00000000-0006-0000-0000-000012000000}">
      <text>
        <r>
          <rPr>
            <sz val="11"/>
            <color theme="1"/>
            <rFont val="Aptos Narrow"/>
            <family val="2"/>
            <charset val="1"/>
          </rPr>
          <t>Digite C se o trecho está concluído. Deixe vazio se pendente.</t>
        </r>
      </text>
    </comment>
  </commentList>
</comments>
</file>

<file path=xl/sharedStrings.xml><?xml version="1.0" encoding="utf-8"?>
<sst xmlns="http://schemas.openxmlformats.org/spreadsheetml/2006/main" count="800" uniqueCount="244">
  <si>
    <t>ACOMPANHAMENTO SUPERESTRUTURA — FOLHA DE ENTRADA</t>
  </si>
  <si>
    <t>COMO PREENCHER:  • Preencha apenas as células AMARELAS.  • KM em metros (ex.: 73091 = km 73+091).  • Data no formato DD/MM/AAAA.
1) DATA DE ATUALIZAÇÃO: a data do levantamento. Ela recalcula sozinha o KM previsto das atividades.
2) ATIVIDADES: informe só o KM REAL de cada atividade. O previsto é calculado automaticamente.
3) LIBERAÇÃO DE PLATAFORMA: preencha o KM PREVISTO e a lista de TRECHOS realizados (com os gaps), um por linha.
4) MATERIAIS: informe Entregue e Consumido de cada insumo. O previsto é calculado automaticamente.</t>
  </si>
  <si>
    <t>1 · DATA DE ATUALIZAÇÃO</t>
  </si>
  <si>
    <t>Data do levantamento:</t>
  </si>
  <si>
    <t>2 · ATIVIDADES (informe o KM REAL)</t>
  </si>
  <si>
    <t>Atividade</t>
  </si>
  <si>
    <t>KM Previsto</t>
  </si>
  <si>
    <t>Montagem de grade</t>
  </si>
  <si>
    <t>1ª Descarga de brita</t>
  </si>
  <si>
    <t>Socaria - 1º levante</t>
  </si>
  <si>
    <t>Socaria - 2º levante</t>
  </si>
  <si>
    <t>2ª Descarga de brita</t>
  </si>
  <si>
    <t>Socaria - 3º levante</t>
  </si>
  <si>
    <t>Socaria - 4º levante</t>
  </si>
  <si>
    <t>3ª Descarga de brita</t>
  </si>
  <si>
    <t>Alívio de tensão</t>
  </si>
  <si>
    <t>Solda aluminotérmica</t>
  </si>
  <si>
    <t>3 · LIBERAÇÃO DE PLATAFORMA</t>
  </si>
  <si>
    <t>KM Previsto (B4):</t>
  </si>
  <si>
    <t>Trechos realizados (com gaps) — um por linha:</t>
  </si>
  <si>
    <t>Trecho #</t>
  </si>
  <si>
    <t>KM Início</t>
  </si>
  <si>
    <t>KM Fim</t>
  </si>
  <si>
    <t>Trecho 1</t>
  </si>
  <si>
    <t>Trecho 2</t>
  </si>
  <si>
    <t>Trecho 3</t>
  </si>
  <si>
    <t>Trecho 4</t>
  </si>
  <si>
    <t>Trecho 5</t>
  </si>
  <si>
    <t>Trecho 6</t>
  </si>
  <si>
    <t>Trecho 7</t>
  </si>
  <si>
    <t>Trecho 8</t>
  </si>
  <si>
    <t>Dormente de concreto</t>
  </si>
  <si>
    <t>un</t>
  </si>
  <si>
    <t>5 · PRÉ-LASTRO EM COLCHÃO DRENANTE</t>
  </si>
  <si>
    <t>Trechos de colchão drenante — um por linha (status: C = concluído / vazio = pendente):</t>
  </si>
  <si>
    <t>Concluído? (C)</t>
  </si>
  <si>
    <t>Trecho 9</t>
  </si>
  <si>
    <t>Trecho 10</t>
  </si>
  <si>
    <t>Trecho 11</t>
  </si>
  <si>
    <t>Trecho 12</t>
  </si>
  <si>
    <t>PCT 02</t>
  </si>
  <si>
    <t>PCT 03</t>
  </si>
  <si>
    <t>PCT 04</t>
  </si>
  <si>
    <t>PCT 05</t>
  </si>
  <si>
    <t>PCT 06</t>
  </si>
  <si>
    <t>PCT 07</t>
  </si>
  <si>
    <t>PCT 08</t>
  </si>
  <si>
    <t>DESCRIÇÃO</t>
  </si>
  <si>
    <t>DATA</t>
  </si>
  <si>
    <t>PCT 01.1</t>
  </si>
  <si>
    <t>Trecho 13</t>
  </si>
  <si>
    <t>Trecho 14</t>
  </si>
  <si>
    <t>Trecho 15</t>
  </si>
  <si>
    <t>Trecho 16</t>
  </si>
  <si>
    <t>Trecho 17</t>
  </si>
  <si>
    <t>C</t>
  </si>
  <si>
    <t>PLANEJADO</t>
  </si>
  <si>
    <t>TENDÊNCIA</t>
  </si>
  <si>
    <t>REALIZADO</t>
  </si>
  <si>
    <t>PLANEJADO ACUM</t>
  </si>
  <si>
    <t>TENDÊNCIA ACUM</t>
  </si>
  <si>
    <t>REALIZADO ACUM</t>
  </si>
  <si>
    <t>ITEM</t>
  </si>
  <si>
    <t>CURVA S - AVANÇO FÍSICO</t>
  </si>
  <si>
    <t>CURVA FINANCEIRA</t>
  </si>
  <si>
    <t>MÃO DE OBRA DIRETA</t>
  </si>
  <si>
    <t>MÃO DE OBRA INDIRETA</t>
  </si>
  <si>
    <t>EQUIPAMENTOS DIRETOS</t>
  </si>
  <si>
    <t>EQUIPAMENTOS INDIRETOS</t>
  </si>
  <si>
    <t>Ajudante geral</t>
  </si>
  <si>
    <t>Auxiliar de ferrovia</t>
  </si>
  <si>
    <t>Auxiliar de reguladora</t>
  </si>
  <si>
    <t>Auxiliar de socadora</t>
  </si>
  <si>
    <t>Encarregado de Superestrutura</t>
  </si>
  <si>
    <t>Feitor de obras</t>
  </si>
  <si>
    <t>Inspetor de trem</t>
  </si>
  <si>
    <t>Líder de equipamento</t>
  </si>
  <si>
    <t>Meio-oficial</t>
  </si>
  <si>
    <t>Motorista de caminhão basculante</t>
  </si>
  <si>
    <t>Motorista de caminhão pipa</t>
  </si>
  <si>
    <t>Motorista de carreta prancha</t>
  </si>
  <si>
    <t>Motorista de veículo pesado</t>
  </si>
  <si>
    <t>Motorista op. caminhão munck</t>
  </si>
  <si>
    <t>Oficial de ferrovia</t>
  </si>
  <si>
    <t>Oficial de obra civil</t>
  </si>
  <si>
    <t>Operador de equipamento ferroviário</t>
  </si>
  <si>
    <t>Operador de equipamento infra</t>
  </si>
  <si>
    <t>Operador de reguladora</t>
  </si>
  <si>
    <t>Operador de socadora</t>
  </si>
  <si>
    <t>Operador mantenedor I</t>
  </si>
  <si>
    <t>Operador mantenedor II</t>
  </si>
  <si>
    <t>Operador mantenedor III</t>
  </si>
  <si>
    <t>Sinaleiro</t>
  </si>
  <si>
    <t>Sinaleiro rigger</t>
  </si>
  <si>
    <t>Soldador aluminotérmico</t>
  </si>
  <si>
    <t>Soldador eletrofusão</t>
  </si>
  <si>
    <t>Supervisor de equipamento ferroviário</t>
  </si>
  <si>
    <t>Técnico eletroeletrônico</t>
  </si>
  <si>
    <t>Técnico mecânico</t>
  </si>
  <si>
    <t>Mão de obra direta</t>
  </si>
  <si>
    <t>prev.</t>
  </si>
  <si>
    <t>real.</t>
  </si>
  <si>
    <t>TOTAL</t>
  </si>
  <si>
    <t>Mão de obra indireta</t>
  </si>
  <si>
    <t>Apontador de produção</t>
  </si>
  <si>
    <t>Assistente administrativo Compras</t>
  </si>
  <si>
    <t>Assistente administrativo RH</t>
  </si>
  <si>
    <t>Assistente social</t>
  </si>
  <si>
    <t>Auxiliar administrativo</t>
  </si>
  <si>
    <t>Auxiliar de inspetor de END</t>
  </si>
  <si>
    <t>Auxiliar de mecânico</t>
  </si>
  <si>
    <t>Auxiliar de serviços gerais [alojamento]</t>
  </si>
  <si>
    <t>Auxiliar de serviços gerais [canteiro]</t>
  </si>
  <si>
    <t>Auxiliar de topografia</t>
  </si>
  <si>
    <t>Chefe administrativo</t>
  </si>
  <si>
    <t>Controlador de equipamentos</t>
  </si>
  <si>
    <t>Eletricista</t>
  </si>
  <si>
    <t>Eletrotécnico</t>
  </si>
  <si>
    <t>Encarregado geral de NTC</t>
  </si>
  <si>
    <t>Engenheiro de meio ambiente</t>
  </si>
  <si>
    <t>Engenheiro de planejamento</t>
  </si>
  <si>
    <t>Engenheiro de produção</t>
  </si>
  <si>
    <t>Engenheiro de qualidade</t>
  </si>
  <si>
    <t>Engenheiro de segurança</t>
  </si>
  <si>
    <t>Engenheiro mecânico</t>
  </si>
  <si>
    <t>Gerente de contrato</t>
  </si>
  <si>
    <t>Inspetor de END</t>
  </si>
  <si>
    <t>Lubrificador</t>
  </si>
  <si>
    <t>Mecânico de locomotivas</t>
  </si>
  <si>
    <t>Mecânico de vagões</t>
  </si>
  <si>
    <t>Mecânico pesado</t>
  </si>
  <si>
    <t>Médico do trabalho</t>
  </si>
  <si>
    <t>Motorista de caminhão comboio</t>
  </si>
  <si>
    <t>Motorista de ônibus</t>
  </si>
  <si>
    <t>Motorista de veículo leve</t>
  </si>
  <si>
    <t>Nivelador de topografia</t>
  </si>
  <si>
    <t>Prefeito</t>
  </si>
  <si>
    <t>Psicólogo</t>
  </si>
  <si>
    <t>Soldador</t>
  </si>
  <si>
    <t>Técnico de enfermagem</t>
  </si>
  <si>
    <t>Técnico de meio ambiente</t>
  </si>
  <si>
    <t>Engenheiro de medição</t>
  </si>
  <si>
    <t>Técnico de qualidade</t>
  </si>
  <si>
    <t>Técnico de segurança</t>
  </si>
  <si>
    <t>Topógrafo I</t>
  </si>
  <si>
    <t>Topógrafo II</t>
  </si>
  <si>
    <t>Van</t>
  </si>
  <si>
    <t>Ônibus</t>
  </si>
  <si>
    <t>Caminhão comboio</t>
  </si>
  <si>
    <t>Equipamentos indiretos</t>
  </si>
  <si>
    <t>Caminhão basculante</t>
  </si>
  <si>
    <t>Caminhão munck</t>
  </si>
  <si>
    <t>Caminhão pipa</t>
  </si>
  <si>
    <t>Carreta prancha</t>
  </si>
  <si>
    <t>Escavadeira</t>
  </si>
  <si>
    <t>Locomotiva</t>
  </si>
  <si>
    <t>Motoniveladora</t>
  </si>
  <si>
    <t>NTC</t>
  </si>
  <si>
    <t>Retroescavadeira</t>
  </si>
  <si>
    <t>Rolo compactador</t>
  </si>
  <si>
    <t>Trator de esteira</t>
  </si>
  <si>
    <t>Vagão de brita</t>
  </si>
  <si>
    <t>Vaiacar</t>
  </si>
  <si>
    <t>Equipamentos diretos</t>
  </si>
  <si>
    <t>delta</t>
  </si>
  <si>
    <t>Máquina de solda</t>
  </si>
  <si>
    <t>Pá carregadeira</t>
  </si>
  <si>
    <t>Reguladora</t>
  </si>
  <si>
    <t>Socadora</t>
  </si>
  <si>
    <t>Viatura</t>
  </si>
  <si>
    <t>Previsto (m)</t>
  </si>
  <si>
    <t>Realizado (m)</t>
  </si>
  <si>
    <t>Tendência (m)</t>
  </si>
  <si>
    <t>Previsto (unid.)</t>
  </si>
  <si>
    <t>Realizado (unid.)</t>
  </si>
  <si>
    <t>Tendência (unid.)</t>
  </si>
  <si>
    <t>Solda elétrica</t>
  </si>
  <si>
    <t>Descarga de brita</t>
  </si>
  <si>
    <t>Previsto (m³)</t>
  </si>
  <si>
    <t>Realizado (m³)</t>
  </si>
  <si>
    <t/>
  </si>
  <si>
    <t>Tendência (m³)</t>
  </si>
  <si>
    <t>Socaria</t>
  </si>
  <si>
    <t>Dias trabalhados</t>
  </si>
  <si>
    <t>Produtividade</t>
  </si>
  <si>
    <t xml:space="preserve">Bela Vista </t>
  </si>
  <si>
    <t xml:space="preserve">Itapaci </t>
  </si>
  <si>
    <t>MÊS</t>
  </si>
  <si>
    <t>PRODUÇÃO (TON)</t>
  </si>
  <si>
    <t>ENTREGA (TON)</t>
  </si>
  <si>
    <t>Hochschild</t>
  </si>
  <si>
    <t>fev/26</t>
  </si>
  <si>
    <t>mar/26</t>
  </si>
  <si>
    <t>abr/26</t>
  </si>
  <si>
    <t>mai/26</t>
  </si>
  <si>
    <t>jun/26</t>
  </si>
  <si>
    <t>jul/26</t>
  </si>
  <si>
    <t>ago/26</t>
  </si>
  <si>
    <t>set/26</t>
  </si>
  <si>
    <t>out/26</t>
  </si>
  <si>
    <t>nov/26</t>
  </si>
  <si>
    <t>dez/26</t>
  </si>
  <si>
    <t>jan/27</t>
  </si>
  <si>
    <t>fev/27</t>
  </si>
  <si>
    <t>mar/27</t>
  </si>
  <si>
    <t>abr/27</t>
  </si>
  <si>
    <t>mai/27</t>
  </si>
  <si>
    <t>jun/27</t>
  </si>
  <si>
    <t>jul/27</t>
  </si>
  <si>
    <t>ago/27</t>
  </si>
  <si>
    <t>set/27</t>
  </si>
  <si>
    <t>out/27</t>
  </si>
  <si>
    <t>PREVISTO (TON)</t>
  </si>
  <si>
    <t>Consumo de brita</t>
  </si>
  <si>
    <t>REALIZADO (TON)</t>
  </si>
  <si>
    <t>Nº vagões/dia</t>
  </si>
  <si>
    <t>Pré lastro</t>
  </si>
  <si>
    <t>UNIDADE</t>
  </si>
  <si>
    <t>PCT 01.2</t>
  </si>
  <si>
    <t>TOTAL 1-8</t>
  </si>
  <si>
    <t>QNDE RECEBIDA</t>
  </si>
  <si>
    <t>QNDE CONSUMIDA</t>
  </si>
  <si>
    <t>Trilho</t>
  </si>
  <si>
    <t>t</t>
  </si>
  <si>
    <t>Ombreira</t>
  </si>
  <si>
    <t>Palmilha</t>
  </si>
  <si>
    <t>Isolador</t>
  </si>
  <si>
    <t>Gampo E-2039</t>
  </si>
  <si>
    <t>Tala</t>
  </si>
  <si>
    <t>Cj Fixação</t>
  </si>
  <si>
    <t>cj</t>
  </si>
  <si>
    <t>AMV 1:14</t>
  </si>
  <si>
    <t>AMV 1:8</t>
  </si>
  <si>
    <t>Dor. de madeira 1:14</t>
  </si>
  <si>
    <t>jg</t>
  </si>
  <si>
    <t>Dor. de madeira 1:8</t>
  </si>
  <si>
    <t>Solda Aluminotérmica</t>
  </si>
  <si>
    <t>pç</t>
  </si>
  <si>
    <t>Lastro</t>
  </si>
  <si>
    <t>m3</t>
  </si>
  <si>
    <t>KM INÍCIO</t>
  </si>
  <si>
    <t>KM FINAL</t>
  </si>
  <si>
    <t>Socaria - 5º levante</t>
  </si>
  <si>
    <t>Socaria - 6º levante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</si>
</sst>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1" x14ac:knownFonts="1">
    <font>
      <sz val="11"/>
      <color theme="1"/>
      <name val="Aptos Narrow"/>
      <family val="2"/>
      <charset val="1"/>
    </font>
    <font>
      <sz val="11"/>
      <color theme="1"/>
      <name val="Aptos Narrow"/>
      <family val="2"/>
      <scheme val="minor"/>
    </font>
    <font>
      <sz val="10"/>
      <name val="Arial"/>
      <family val="2"/>
    </font>
    <font>
      <sz val="10"/>
      <name val="Arial"/>
      <family val="2"/>
      <charset val="1"/>
    </font>
    <font>
      <b/>
      <sz val="14"/>
      <color rgb="FF1F4E79"/>
      <name val="Arial"/>
      <family val="2"/>
    </font>
    <font>
      <sz val="10"/>
      <color rgb="FF000000"/>
      <name val="Arial"/>
      <family val="2"/>
    </font>
    <font>
      <b/>
      <sz val="11"/>
      <color rgb="FF1F4E79"/>
      <name val="Arial"/>
      <family val="2"/>
    </font>
    <font>
      <b/>
      <sz val="10"/>
      <name val="Arial"/>
      <family val="2"/>
    </font>
    <font>
      <sz val="10"/>
      <color rgb="FF0000FF"/>
      <name val="Arial"/>
      <family val="2"/>
    </font>
    <font>
      <b/>
      <sz val="10"/>
      <color rgb="FFFFFFFF"/>
      <name val="Arial"/>
      <family val="2"/>
    </font>
    <font>
      <sz val="10"/>
      <name val="Arial"/>
      <family val="2"/>
    </font>
    <font>
      <i/>
      <sz val="9"/>
      <color rgb="FF888888"/>
      <name val="Arial"/>
      <family val="2"/>
    </font>
    <font>
      <i/>
      <sz val="9"/>
      <color rgb="FF555555"/>
      <name val="Arial"/>
      <family val="2"/>
    </font>
    <font>
      <sz val="9"/>
      <color theme="1"/>
      <name val="Aptos Narrow"/>
      <family val="2"/>
      <charset val="1"/>
    </font>
    <font>
      <b/>
      <sz val="11"/>
      <color rgb="FF1F4E79"/>
      <name val="Arial"/>
      <family val="2"/>
    </font>
    <font>
      <i/>
      <sz val="9"/>
      <color rgb="FF555555"/>
      <name val="Arial"/>
      <family val="2"/>
    </font>
    <font>
      <b/>
      <sz val="10"/>
      <color rgb="FFFFFFFF"/>
      <name val="Arial"/>
      <family val="2"/>
    </font>
    <font>
      <sz val="10"/>
      <name val="Arial"/>
      <family val="2"/>
    </font>
    <font>
      <sz val="10"/>
      <color rgb="FF0000FF"/>
      <name val="Arial"/>
      <family val="2"/>
    </font>
    <font>
      <sz val="8"/>
      <name val="Aptos Narrow"/>
      <family val="2"/>
      <charset val="1"/>
    </font>
    <font>
      <sz val="11"/>
      <color theme="1"/>
      <name val="Aptos Narrow"/>
      <family val="2"/>
      <charset val="1"/>
    </font>
    <font>
      <sz val="10"/>
      <color theme="1"/>
      <name val="Arial"/>
      <family val="2"/>
    </font>
    <font>
      <b/>
      <sz val="11"/>
      <color theme="0"/>
      <name val="Aptos Narrow"/>
      <family val="2"/>
      <scheme val="minor"/>
    </font>
    <font>
      <b/>
      <sz val="10"/>
      <color theme="1"/>
      <name val="Arial"/>
      <family val="2"/>
    </font>
    <font>
      <sz val="8"/>
      <color theme="1"/>
      <name val="Arial"/>
      <family val="2"/>
    </font>
    <font>
      <b/>
      <sz val="11"/>
      <color theme="1"/>
      <name val="Aptos Narrow"/>
      <family val="2"/>
    </font>
    <font>
      <sz val="11"/>
      <name val="Aptos Narrow"/>
      <family val="2"/>
    </font>
    <font>
      <sz val="11"/>
      <name val="Aptos Narrow"/>
      <family val="2"/>
      <scheme val="minor"/>
    </font>
    <font>
      <sz val="11"/>
      <name val="Aptos Narrow"/>
      <family val="2"/>
      <charset val="1"/>
    </font>
    <font>
      <b/>
      <sz val="10"/>
      <name val="Century Gothic"/>
      <family val="2"/>
    </font>
    <font>
      <sz val="10"/>
      <name val="Century Gothic"/>
      <family val="2"/>
    </font>
  </fonts>
  <fills count="20">
    <fill>
      <patternFill patternType="none"/>
    </fill>
    <fill>
      <patternFill patternType="gray125"/>
    </fill>
    <fill>
      <patternFill patternType="solid">
        <fgColor rgb="FFD6E4F0"/>
        <bgColor rgb="FFD9D9D9"/>
      </patternFill>
    </fill>
    <fill>
      <patternFill patternType="solid">
        <fgColor rgb="FFFFF2CC"/>
        <bgColor rgb="FFE2EFDA"/>
      </patternFill>
    </fill>
    <fill>
      <patternFill patternType="solid">
        <fgColor rgb="FF1F4E79"/>
        <bgColor rgb="FF003366"/>
      </patternFill>
    </fill>
    <fill>
      <patternFill patternType="solid">
        <fgColor rgb="FFE2EFDA"/>
        <bgColor rgb="FFD6E4F0"/>
      </patternFill>
    </fill>
    <fill>
      <patternFill patternType="solid">
        <fgColor rgb="FF1F4E79"/>
      </patternFill>
    </fill>
    <fill>
      <patternFill patternType="solid">
        <fgColor rgb="FFFFF2CC"/>
      </patternFill>
    </fill>
    <fill>
      <patternFill patternType="solid">
        <fgColor rgb="FFFFC000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6" tint="0.79998168889431442"/>
        <bgColor indexed="64"/>
      </patternFill>
    </fill>
  </fills>
  <borders count="66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thin">
        <color rgb="FFBFBFBF"/>
      </left>
      <right/>
      <top/>
      <bottom/>
      <diagonal/>
    </border>
    <border>
      <left/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/>
      <bottom/>
      <diagonal/>
    </border>
    <border>
      <left style="thin">
        <color rgb="FFBFBFBF"/>
      </left>
      <right/>
      <top/>
      <bottom style="thin">
        <color rgb="FFBFBFBF"/>
      </bottom>
      <diagonal/>
    </border>
    <border>
      <left/>
      <right/>
      <top/>
      <bottom style="thin">
        <color rgb="FFBFBFBF"/>
      </bottom>
      <diagonal/>
    </border>
    <border>
      <left/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indexed="64"/>
      </left>
      <right style="medium">
        <color theme="0"/>
      </right>
      <top style="medium">
        <color indexed="64"/>
      </top>
      <bottom/>
      <diagonal/>
    </border>
    <border>
      <left style="medium">
        <color theme="0"/>
      </left>
      <right/>
      <top style="medium">
        <color auto="1"/>
      </top>
      <bottom style="medium">
        <color theme="0"/>
      </bottom>
      <diagonal/>
    </border>
    <border>
      <left/>
      <right style="medium">
        <color theme="0"/>
      </right>
      <top style="medium">
        <color auto="1"/>
      </top>
      <bottom style="medium">
        <color theme="0"/>
      </bottom>
      <diagonal/>
    </border>
    <border>
      <left/>
      <right style="medium">
        <color auto="1"/>
      </right>
      <top style="medium">
        <color auto="1"/>
      </top>
      <bottom style="medium">
        <color theme="0"/>
      </bottom>
      <diagonal/>
    </border>
    <border>
      <left style="medium">
        <color indexed="64"/>
      </left>
      <right style="medium">
        <color theme="0"/>
      </right>
      <top/>
      <bottom/>
      <diagonal/>
    </border>
    <border>
      <left style="medium">
        <color theme="0"/>
      </left>
      <right style="thin">
        <color theme="0"/>
      </right>
      <top/>
      <bottom style="medium">
        <color theme="0"/>
      </bottom>
      <diagonal/>
    </border>
    <border>
      <left style="thin">
        <color theme="0"/>
      </left>
      <right style="medium">
        <color theme="0"/>
      </right>
      <top/>
      <bottom style="medium">
        <color theme="0"/>
      </bottom>
      <diagonal/>
    </border>
    <border>
      <left style="thin">
        <color theme="0"/>
      </left>
      <right style="medium">
        <color auto="1"/>
      </right>
      <top/>
      <bottom style="medium">
        <color theme="0"/>
      </bottom>
      <diagonal/>
    </border>
    <border>
      <left style="medium">
        <color indexed="64"/>
      </left>
      <right/>
      <top/>
      <bottom/>
      <diagonal/>
    </border>
    <border>
      <left style="thin">
        <color theme="0" tint="-0.34998626667073579"/>
      </left>
      <right/>
      <top style="medium">
        <color theme="0"/>
      </top>
      <bottom/>
      <diagonal/>
    </border>
    <border>
      <left/>
      <right style="thin">
        <color theme="0" tint="-0.34998626667073579"/>
      </right>
      <top style="medium">
        <color theme="0"/>
      </top>
      <bottom/>
      <diagonal/>
    </border>
    <border>
      <left/>
      <right style="medium">
        <color indexed="64"/>
      </right>
      <top style="medium">
        <color theme="0"/>
      </top>
      <bottom/>
      <diagonal/>
    </border>
    <border>
      <left style="thin">
        <color theme="0" tint="-0.34998626667073579"/>
      </left>
      <right/>
      <top/>
      <bottom/>
      <diagonal/>
    </border>
    <border>
      <left/>
      <right style="thin">
        <color theme="0" tint="-0.34998626667073579"/>
      </right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theme="0" tint="-0.34998626667073579"/>
      </left>
      <right/>
      <top/>
      <bottom style="medium">
        <color indexed="64"/>
      </bottom>
      <diagonal/>
    </border>
    <border>
      <left/>
      <right style="thin">
        <color theme="0" tint="-0.34998626667073579"/>
      </right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thin">
        <color theme="0"/>
      </right>
      <top style="medium">
        <color indexed="64"/>
      </top>
      <bottom style="medium">
        <color indexed="64"/>
      </bottom>
      <diagonal/>
    </border>
    <border>
      <left style="medium">
        <color theme="0"/>
      </left>
      <right style="thin">
        <color theme="0"/>
      </right>
      <top style="medium">
        <color indexed="64"/>
      </top>
      <bottom style="medium">
        <color indexed="64"/>
      </bottom>
      <diagonal/>
    </border>
    <border>
      <left style="thin">
        <color theme="0"/>
      </left>
      <right style="medium">
        <color theme="0"/>
      </right>
      <top style="medium">
        <color indexed="64"/>
      </top>
      <bottom style="medium">
        <color indexed="64"/>
      </bottom>
      <diagonal/>
    </border>
    <border>
      <left style="thin">
        <color theme="0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theme="0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theme="0"/>
      </right>
      <top/>
      <bottom style="medium">
        <color theme="0"/>
      </bottom>
      <diagonal/>
    </border>
    <border>
      <left style="medium">
        <color indexed="64"/>
      </left>
      <right/>
      <top style="medium">
        <color indexed="64"/>
      </top>
      <bottom style="medium">
        <color theme="0"/>
      </bottom>
      <diagonal/>
    </border>
    <border>
      <left style="medium">
        <color theme="0"/>
      </left>
      <right style="medium">
        <color indexed="64"/>
      </right>
      <top style="medium">
        <color indexed="64"/>
      </top>
      <bottom style="medium">
        <color theme="0"/>
      </bottom>
      <diagonal/>
    </border>
    <border>
      <left style="medium">
        <color indexed="64"/>
      </left>
      <right style="thin">
        <color theme="0"/>
      </right>
      <top/>
      <bottom style="medium">
        <color theme="0"/>
      </bottom>
      <diagonal/>
    </border>
    <border>
      <left style="medium">
        <color theme="0"/>
      </left>
      <right style="medium">
        <color indexed="64"/>
      </right>
      <top/>
      <bottom style="medium">
        <color theme="0"/>
      </bottom>
      <diagonal/>
    </border>
    <border>
      <left style="medium">
        <color indexed="64"/>
      </left>
      <right style="thin">
        <color theme="0" tint="-0.34998626667073579"/>
      </right>
      <top style="medium">
        <color theme="0"/>
      </top>
      <bottom/>
      <diagonal/>
    </border>
    <border>
      <left style="medium">
        <color indexed="64"/>
      </left>
      <right style="thin">
        <color theme="0" tint="-0.34998626667073579"/>
      </right>
      <top/>
      <bottom/>
      <diagonal/>
    </border>
    <border>
      <left style="medium">
        <color indexed="64"/>
      </left>
      <right style="thin">
        <color theme="0" tint="-0.34998626667073579"/>
      </right>
      <top/>
      <bottom style="medium">
        <color indexed="64"/>
      </bottom>
      <diagonal/>
    </border>
    <border>
      <left style="medium">
        <color indexed="64"/>
      </left>
      <right style="medium">
        <color theme="0"/>
      </right>
      <top style="medium">
        <color indexed="64"/>
      </top>
      <bottom style="medium">
        <color indexed="64"/>
      </bottom>
      <diagonal/>
    </border>
    <border>
      <left style="thin">
        <color theme="0" tint="-0.34998626667073579"/>
      </left>
      <right style="medium">
        <color indexed="64"/>
      </right>
      <top style="medium">
        <color theme="0"/>
      </top>
      <bottom/>
      <diagonal/>
    </border>
    <border>
      <left style="medium">
        <color theme="0"/>
      </left>
      <right style="medium">
        <color theme="0"/>
      </right>
      <top/>
      <bottom style="medium">
        <color indexed="64"/>
      </bottom>
      <diagonal/>
    </border>
    <border>
      <left style="medium">
        <color theme="0"/>
      </left>
      <right style="medium">
        <color theme="0"/>
      </right>
      <top style="medium">
        <color theme="0"/>
      </top>
      <bottom style="medium">
        <color theme="0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thick">
        <color indexed="64"/>
      </bottom>
      <diagonal/>
    </border>
    <border>
      <left/>
      <right style="medium">
        <color indexed="64"/>
      </right>
      <top/>
      <bottom style="thick">
        <color indexed="64"/>
      </bottom>
      <diagonal/>
    </border>
    <border>
      <left/>
      <right/>
      <top/>
      <bottom style="thick">
        <color indexed="64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indexed="64"/>
      </left>
      <right style="thin">
        <color rgb="FFBFBFBF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indexed="64"/>
      </right>
      <top style="thin">
        <color rgb="FFBFBFBF"/>
      </top>
      <bottom style="thin">
        <color rgb="FFBFBFBF"/>
      </bottom>
      <diagonal/>
    </border>
    <border>
      <left style="thin">
        <color indexed="64"/>
      </left>
      <right style="thin">
        <color rgb="FFBFBFBF"/>
      </right>
      <top style="thin">
        <color rgb="FFBFBFBF"/>
      </top>
      <bottom style="thin">
        <color indexed="64"/>
      </bottom>
      <diagonal/>
    </border>
    <border>
      <left style="thin">
        <color rgb="FFBFBFBF"/>
      </left>
      <right style="thin">
        <color indexed="64"/>
      </right>
      <top style="thin">
        <color rgb="FFBFBFBF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5">
    <xf numFmtId="0" fontId="0" fillId="0" borderId="0"/>
    <xf numFmtId="0" fontId="3" fillId="0" borderId="0"/>
    <xf numFmtId="9" fontId="20" fillId="0" borderId="0" applyFont="0" applyFill="0" applyBorder="0" applyAlignment="0" applyProtection="0"/>
    <xf numFmtId="0" fontId="2" fillId="0" borderId="0"/>
    <xf numFmtId="0" fontId="1" fillId="0" borderId="0"/>
  </cellStyleXfs>
  <cellXfs count="186">
    <xf numFmtId="0" fontId="0" fillId="0" borderId="0" xfId="0"/>
    <xf numFmtId="0" fontId="6" fillId="0" borderId="0" xfId="0" applyFont="1"/>
    <xf numFmtId="0" fontId="7" fillId="0" borderId="0" xfId="0" applyFont="1"/>
    <xf numFmtId="14" fontId="8" fillId="3" borderId="1" xfId="0" applyNumberFormat="1" applyFont="1" applyFill="1" applyBorder="1" applyAlignment="1">
      <alignment horizontal="center" vertical="center"/>
    </xf>
    <xf numFmtId="0" fontId="9" fillId="4" borderId="1" xfId="0" applyFont="1" applyFill="1" applyBorder="1" applyAlignment="1">
      <alignment horizontal="center" vertical="center"/>
    </xf>
    <xf numFmtId="0" fontId="10" fillId="0" borderId="1" xfId="0" applyFont="1" applyBorder="1"/>
    <xf numFmtId="0" fontId="8" fillId="3" borderId="1" xfId="0" applyFont="1" applyFill="1" applyBorder="1" applyAlignment="1">
      <alignment horizontal="center" vertical="center"/>
    </xf>
    <xf numFmtId="0" fontId="12" fillId="0" borderId="0" xfId="0" applyFont="1"/>
    <xf numFmtId="0" fontId="13" fillId="0" borderId="0" xfId="0" applyFont="1"/>
    <xf numFmtId="0" fontId="0" fillId="0" borderId="0" xfId="0" applyAlignment="1">
      <alignment horizontal="center"/>
    </xf>
    <xf numFmtId="1" fontId="0" fillId="0" borderId="0" xfId="0" applyNumberFormat="1" applyAlignment="1">
      <alignment horizontal="center"/>
    </xf>
    <xf numFmtId="0" fontId="0" fillId="0" borderId="0" xfId="0" applyAlignment="1">
      <alignment horizontal="center" vertical="center"/>
    </xf>
    <xf numFmtId="0" fontId="14" fillId="0" borderId="0" xfId="0" applyFont="1"/>
    <xf numFmtId="0" fontId="15" fillId="0" borderId="0" xfId="0" applyFont="1"/>
    <xf numFmtId="0" fontId="16" fillId="6" borderId="10" xfId="0" applyFont="1" applyFill="1" applyBorder="1" applyAlignment="1">
      <alignment horizontal="center" vertical="center"/>
    </xf>
    <xf numFmtId="0" fontId="17" fillId="0" borderId="10" xfId="0" applyFont="1" applyBorder="1"/>
    <xf numFmtId="0" fontId="18" fillId="7" borderId="10" xfId="0" applyFont="1" applyFill="1" applyBorder="1" applyAlignment="1">
      <alignment horizontal="center" vertical="center"/>
    </xf>
    <xf numFmtId="9" fontId="8" fillId="3" borderId="1" xfId="2" applyFont="1" applyFill="1" applyBorder="1" applyAlignment="1">
      <alignment horizontal="center" vertical="center"/>
    </xf>
    <xf numFmtId="9" fontId="8" fillId="0" borderId="1" xfId="2" applyFont="1" applyFill="1" applyBorder="1" applyAlignment="1">
      <alignment horizontal="center" vertical="center"/>
    </xf>
    <xf numFmtId="0" fontId="21" fillId="0" borderId="0" xfId="0" applyFont="1"/>
    <xf numFmtId="17" fontId="9" fillId="4" borderId="1" xfId="0" applyNumberFormat="1" applyFont="1" applyFill="1" applyBorder="1" applyAlignment="1">
      <alignment horizontal="center" vertical="center"/>
    </xf>
    <xf numFmtId="1" fontId="8" fillId="0" borderId="1" xfId="2" applyNumberFormat="1" applyFont="1" applyFill="1" applyBorder="1" applyAlignment="1">
      <alignment horizontal="center" vertical="center"/>
    </xf>
    <xf numFmtId="0" fontId="23" fillId="8" borderId="0" xfId="0" applyFont="1" applyFill="1"/>
    <xf numFmtId="17" fontId="22" fillId="9" borderId="12" xfId="0" applyNumberFormat="1" applyFont="1" applyFill="1" applyBorder="1" applyAlignment="1">
      <alignment horizontal="centerContinuous" vertical="center"/>
    </xf>
    <xf numFmtId="17" fontId="22" fillId="9" borderId="13" xfId="0" applyNumberFormat="1" applyFont="1" applyFill="1" applyBorder="1" applyAlignment="1">
      <alignment horizontal="centerContinuous" vertical="center"/>
    </xf>
    <xf numFmtId="17" fontId="22" fillId="9" borderId="14" xfId="0" applyNumberFormat="1" applyFont="1" applyFill="1" applyBorder="1" applyAlignment="1">
      <alignment horizontal="centerContinuous" vertical="center"/>
    </xf>
    <xf numFmtId="17" fontId="22" fillId="9" borderId="16" xfId="0" applyNumberFormat="1" applyFont="1" applyFill="1" applyBorder="1" applyAlignment="1">
      <alignment horizontal="center" vertical="center"/>
    </xf>
    <xf numFmtId="17" fontId="22" fillId="9" borderId="17" xfId="0" applyNumberFormat="1" applyFont="1" applyFill="1" applyBorder="1" applyAlignment="1">
      <alignment horizontal="center" vertical="center"/>
    </xf>
    <xf numFmtId="17" fontId="22" fillId="9" borderId="18" xfId="0" applyNumberFormat="1" applyFont="1" applyFill="1" applyBorder="1" applyAlignment="1">
      <alignment horizontal="center" vertical="center"/>
    </xf>
    <xf numFmtId="0" fontId="0" fillId="0" borderId="19" xfId="0" applyBorder="1" applyAlignment="1">
      <alignment vertical="center"/>
    </xf>
    <xf numFmtId="3" fontId="0" fillId="0" borderId="20" xfId="0" applyNumberFormat="1" applyBorder="1" applyAlignment="1">
      <alignment horizontal="center" vertical="center"/>
    </xf>
    <xf numFmtId="3" fontId="0" fillId="0" borderId="21" xfId="0" applyNumberFormat="1" applyBorder="1" applyAlignment="1">
      <alignment horizontal="center" vertical="center"/>
    </xf>
    <xf numFmtId="3" fontId="0" fillId="0" borderId="22" xfId="0" applyNumberFormat="1" applyBorder="1" applyAlignment="1">
      <alignment horizontal="center" vertical="center"/>
    </xf>
    <xf numFmtId="0" fontId="0" fillId="10" borderId="19" xfId="0" applyFill="1" applyBorder="1" applyAlignment="1">
      <alignment vertical="center"/>
    </xf>
    <xf numFmtId="3" fontId="0" fillId="10" borderId="23" xfId="0" applyNumberFormat="1" applyFill="1" applyBorder="1" applyAlignment="1">
      <alignment horizontal="center" vertical="center"/>
    </xf>
    <xf numFmtId="3" fontId="0" fillId="10" borderId="24" xfId="0" applyNumberFormat="1" applyFill="1" applyBorder="1" applyAlignment="1">
      <alignment horizontal="center" vertical="center"/>
    </xf>
    <xf numFmtId="3" fontId="0" fillId="10" borderId="25" xfId="0" applyNumberFormat="1" applyFill="1" applyBorder="1" applyAlignment="1">
      <alignment horizontal="center" vertical="center"/>
    </xf>
    <xf numFmtId="3" fontId="0" fillId="0" borderId="23" xfId="0" applyNumberFormat="1" applyBorder="1" applyAlignment="1">
      <alignment horizontal="center" vertical="center"/>
    </xf>
    <xf numFmtId="3" fontId="0" fillId="0" borderId="24" xfId="0" applyNumberFormat="1" applyBorder="1" applyAlignment="1">
      <alignment horizontal="center" vertical="center"/>
    </xf>
    <xf numFmtId="3" fontId="0" fillId="0" borderId="25" xfId="0" applyNumberFormat="1" applyBorder="1" applyAlignment="1">
      <alignment horizontal="center" vertical="center"/>
    </xf>
    <xf numFmtId="0" fontId="0" fillId="10" borderId="26" xfId="0" applyFill="1" applyBorder="1" applyAlignment="1">
      <alignment vertical="center"/>
    </xf>
    <xf numFmtId="3" fontId="0" fillId="10" borderId="27" xfId="0" applyNumberFormat="1" applyFill="1" applyBorder="1" applyAlignment="1">
      <alignment horizontal="center" vertical="center"/>
    </xf>
    <xf numFmtId="3" fontId="0" fillId="10" borderId="28" xfId="0" applyNumberFormat="1" applyFill="1" applyBorder="1" applyAlignment="1">
      <alignment horizontal="center" vertical="center"/>
    </xf>
    <xf numFmtId="3" fontId="0" fillId="10" borderId="29" xfId="0" applyNumberFormat="1" applyFill="1" applyBorder="1" applyAlignment="1">
      <alignment horizontal="center" vertical="center"/>
    </xf>
    <xf numFmtId="3" fontId="0" fillId="0" borderId="0" xfId="0" applyNumberFormat="1" applyAlignment="1">
      <alignment horizontal="center" vertical="center"/>
    </xf>
    <xf numFmtId="3" fontId="0" fillId="10" borderId="0" xfId="0" applyNumberFormat="1" applyFill="1" applyAlignment="1">
      <alignment horizontal="center" vertical="center"/>
    </xf>
    <xf numFmtId="3" fontId="0" fillId="10" borderId="30" xfId="0" applyNumberFormat="1" applyFill="1" applyBorder="1" applyAlignment="1">
      <alignment horizontal="center" vertical="center"/>
    </xf>
    <xf numFmtId="1" fontId="22" fillId="9" borderId="31" xfId="0" applyNumberFormat="1" applyFont="1" applyFill="1" applyBorder="1" applyAlignment="1">
      <alignment horizontal="left" vertical="center"/>
    </xf>
    <xf numFmtId="1" fontId="22" fillId="9" borderId="32" xfId="0" applyNumberFormat="1" applyFont="1" applyFill="1" applyBorder="1" applyAlignment="1">
      <alignment horizontal="center" vertical="center"/>
    </xf>
    <xf numFmtId="1" fontId="22" fillId="9" borderId="33" xfId="0" applyNumberFormat="1" applyFont="1" applyFill="1" applyBorder="1" applyAlignment="1">
      <alignment horizontal="center" vertical="center"/>
    </xf>
    <xf numFmtId="1" fontId="22" fillId="9" borderId="34" xfId="0" applyNumberFormat="1" applyFont="1" applyFill="1" applyBorder="1" applyAlignment="1">
      <alignment horizontal="center" vertical="center"/>
    </xf>
    <xf numFmtId="1" fontId="22" fillId="9" borderId="35" xfId="0" applyNumberFormat="1" applyFont="1" applyFill="1" applyBorder="1" applyAlignment="1">
      <alignment horizontal="center" vertical="center"/>
    </xf>
    <xf numFmtId="0" fontId="0" fillId="0" borderId="26" xfId="0" applyBorder="1" applyAlignment="1">
      <alignment vertical="center"/>
    </xf>
    <xf numFmtId="3" fontId="0" fillId="0" borderId="27" xfId="0" applyNumberFormat="1" applyBorder="1" applyAlignment="1">
      <alignment horizontal="center" vertical="center"/>
    </xf>
    <xf numFmtId="3" fontId="0" fillId="0" borderId="28" xfId="0" applyNumberFormat="1" applyBorder="1" applyAlignment="1">
      <alignment horizontal="center" vertical="center"/>
    </xf>
    <xf numFmtId="3" fontId="0" fillId="0" borderId="30" xfId="0" applyNumberFormat="1" applyBorder="1" applyAlignment="1">
      <alignment horizontal="center" vertical="center"/>
    </xf>
    <xf numFmtId="3" fontId="0" fillId="0" borderId="29" xfId="0" applyNumberFormat="1" applyBorder="1" applyAlignment="1">
      <alignment horizontal="center" vertical="center"/>
    </xf>
    <xf numFmtId="3" fontId="0" fillId="10" borderId="20" xfId="0" applyNumberFormat="1" applyFill="1" applyBorder="1" applyAlignment="1">
      <alignment horizontal="center" vertical="center"/>
    </xf>
    <xf numFmtId="3" fontId="0" fillId="10" borderId="21" xfId="0" applyNumberFormat="1" applyFill="1" applyBorder="1" applyAlignment="1">
      <alignment horizontal="center" vertical="center"/>
    </xf>
    <xf numFmtId="1" fontId="24" fillId="10" borderId="25" xfId="0" applyNumberFormat="1" applyFont="1" applyFill="1" applyBorder="1" applyAlignment="1">
      <alignment horizontal="center" vertical="center"/>
    </xf>
    <xf numFmtId="1" fontId="24" fillId="0" borderId="25" xfId="0" applyNumberFormat="1" applyFont="1" applyBorder="1" applyAlignment="1">
      <alignment horizontal="center" vertical="center"/>
    </xf>
    <xf numFmtId="1" fontId="24" fillId="0" borderId="29" xfId="0" applyNumberFormat="1" applyFont="1" applyBorder="1" applyAlignment="1">
      <alignment horizontal="center" vertical="center"/>
    </xf>
    <xf numFmtId="17" fontId="22" fillId="9" borderId="12" xfId="0" applyNumberFormat="1" applyFont="1" applyFill="1" applyBorder="1" applyAlignment="1">
      <alignment horizontal="center" vertical="center"/>
    </xf>
    <xf numFmtId="17" fontId="22" fillId="9" borderId="37" xfId="0" applyNumberFormat="1" applyFont="1" applyFill="1" applyBorder="1" applyAlignment="1">
      <alignment horizontal="center" vertical="center"/>
    </xf>
    <xf numFmtId="17" fontId="22" fillId="9" borderId="38" xfId="0" applyNumberFormat="1" applyFont="1" applyFill="1" applyBorder="1" applyAlignment="1">
      <alignment horizontal="center" vertical="center"/>
    </xf>
    <xf numFmtId="17" fontId="22" fillId="9" borderId="39" xfId="0" applyNumberFormat="1" applyFont="1" applyFill="1" applyBorder="1" applyAlignment="1">
      <alignment horizontal="center" vertical="center"/>
    </xf>
    <xf numFmtId="17" fontId="22" fillId="9" borderId="40" xfId="0" applyNumberFormat="1" applyFont="1" applyFill="1" applyBorder="1" applyAlignment="1">
      <alignment horizontal="center" vertical="center"/>
    </xf>
    <xf numFmtId="3" fontId="0" fillId="0" borderId="41" xfId="0" applyNumberFormat="1" applyBorder="1" applyAlignment="1">
      <alignment horizontal="center" vertical="center"/>
    </xf>
    <xf numFmtId="3" fontId="0" fillId="10" borderId="42" xfId="0" applyNumberFormat="1" applyFill="1" applyBorder="1" applyAlignment="1">
      <alignment horizontal="center" vertical="center"/>
    </xf>
    <xf numFmtId="3" fontId="0" fillId="0" borderId="42" xfId="0" applyNumberFormat="1" applyBorder="1" applyAlignment="1">
      <alignment horizontal="center" vertical="center"/>
    </xf>
    <xf numFmtId="3" fontId="0" fillId="10" borderId="43" xfId="0" applyNumberFormat="1" applyFill="1" applyBorder="1" applyAlignment="1">
      <alignment horizontal="center" vertical="center"/>
    </xf>
    <xf numFmtId="1" fontId="22" fillId="9" borderId="44" xfId="0" applyNumberFormat="1" applyFont="1" applyFill="1" applyBorder="1" applyAlignment="1">
      <alignment horizontal="center" vertical="center"/>
    </xf>
    <xf numFmtId="3" fontId="0" fillId="0" borderId="45" xfId="0" applyNumberFormat="1" applyBorder="1" applyAlignment="1">
      <alignment horizontal="center" vertical="center"/>
    </xf>
    <xf numFmtId="1" fontId="22" fillId="9" borderId="26" xfId="0" applyNumberFormat="1" applyFont="1" applyFill="1" applyBorder="1" applyAlignment="1">
      <alignment horizontal="center" vertical="center"/>
    </xf>
    <xf numFmtId="1" fontId="22" fillId="9" borderId="46" xfId="0" applyNumberFormat="1" applyFont="1" applyFill="1" applyBorder="1" applyAlignment="1">
      <alignment horizontal="center" vertical="center"/>
    </xf>
    <xf numFmtId="1" fontId="22" fillId="9" borderId="29" xfId="0" applyNumberFormat="1" applyFont="1" applyFill="1" applyBorder="1" applyAlignment="1">
      <alignment horizontal="center" vertical="center"/>
    </xf>
    <xf numFmtId="3" fontId="0" fillId="10" borderId="19" xfId="0" applyNumberFormat="1" applyFill="1" applyBorder="1" applyAlignment="1">
      <alignment horizontal="center" vertical="center"/>
    </xf>
    <xf numFmtId="3" fontId="0" fillId="0" borderId="19" xfId="0" applyNumberFormat="1" applyBorder="1" applyAlignment="1">
      <alignment horizontal="center" vertical="center"/>
    </xf>
    <xf numFmtId="3" fontId="0" fillId="0" borderId="26" xfId="0" applyNumberFormat="1" applyBorder="1" applyAlignment="1">
      <alignment horizontal="center" vertical="center"/>
    </xf>
    <xf numFmtId="0" fontId="0" fillId="11" borderId="19" xfId="0" applyFill="1" applyBorder="1" applyAlignment="1">
      <alignment vertical="center"/>
    </xf>
    <xf numFmtId="3" fontId="0" fillId="11" borderId="23" xfId="0" applyNumberFormat="1" applyFill="1" applyBorder="1" applyAlignment="1">
      <alignment horizontal="center" vertical="center"/>
    </xf>
    <xf numFmtId="3" fontId="0" fillId="11" borderId="24" xfId="0" applyNumberFormat="1" applyFill="1" applyBorder="1" applyAlignment="1">
      <alignment horizontal="center" vertical="center"/>
    </xf>
    <xf numFmtId="3" fontId="0" fillId="11" borderId="0" xfId="0" applyNumberFormat="1" applyFill="1" applyAlignment="1">
      <alignment horizontal="center" vertical="center"/>
    </xf>
    <xf numFmtId="1" fontId="24" fillId="11" borderId="25" xfId="0" applyNumberFormat="1" applyFont="1" applyFill="1" applyBorder="1" applyAlignment="1">
      <alignment horizontal="center" vertical="center"/>
    </xf>
    <xf numFmtId="3" fontId="0" fillId="11" borderId="19" xfId="0" applyNumberFormat="1" applyFill="1" applyBorder="1" applyAlignment="1">
      <alignment horizontal="center" vertical="center"/>
    </xf>
    <xf numFmtId="3" fontId="0" fillId="11" borderId="25" xfId="0" applyNumberFormat="1" applyFill="1" applyBorder="1" applyAlignment="1">
      <alignment horizontal="center" vertical="center"/>
    </xf>
    <xf numFmtId="3" fontId="0" fillId="12" borderId="21" xfId="0" applyNumberFormat="1" applyFill="1" applyBorder="1" applyAlignment="1">
      <alignment horizontal="center" vertical="center"/>
    </xf>
    <xf numFmtId="3" fontId="0" fillId="12" borderId="24" xfId="0" applyNumberFormat="1" applyFill="1" applyBorder="1" applyAlignment="1">
      <alignment horizontal="center" vertical="center"/>
    </xf>
    <xf numFmtId="3" fontId="0" fillId="12" borderId="28" xfId="0" applyNumberFormat="1" applyFill="1" applyBorder="1" applyAlignment="1">
      <alignment horizontal="center" vertical="center"/>
    </xf>
    <xf numFmtId="0" fontId="22" fillId="13" borderId="47" xfId="0" applyFont="1" applyFill="1" applyBorder="1" applyAlignment="1">
      <alignment vertical="center"/>
    </xf>
    <xf numFmtId="17" fontId="22" fillId="13" borderId="47" xfId="0" applyNumberFormat="1" applyFont="1" applyFill="1" applyBorder="1" applyAlignment="1">
      <alignment horizontal="center" vertical="center"/>
    </xf>
    <xf numFmtId="0" fontId="0" fillId="14" borderId="47" xfId="0" applyFill="1" applyBorder="1" applyAlignment="1">
      <alignment vertical="center"/>
    </xf>
    <xf numFmtId="3" fontId="0" fillId="14" borderId="47" xfId="0" applyNumberFormat="1" applyFill="1" applyBorder="1" applyAlignment="1">
      <alignment horizontal="center" vertical="center"/>
    </xf>
    <xf numFmtId="0" fontId="0" fillId="15" borderId="47" xfId="0" applyFill="1" applyBorder="1" applyAlignment="1">
      <alignment vertical="center"/>
    </xf>
    <xf numFmtId="3" fontId="0" fillId="15" borderId="47" xfId="0" applyNumberFormat="1" applyFill="1" applyBorder="1" applyAlignment="1">
      <alignment horizontal="center" vertical="center"/>
    </xf>
    <xf numFmtId="0" fontId="0" fillId="16" borderId="47" xfId="0" applyFill="1" applyBorder="1" applyAlignment="1">
      <alignment vertical="center"/>
    </xf>
    <xf numFmtId="3" fontId="0" fillId="16" borderId="47" xfId="0" applyNumberFormat="1" applyFill="1" applyBorder="1" applyAlignment="1">
      <alignment horizontal="center" vertical="center"/>
    </xf>
    <xf numFmtId="3" fontId="0" fillId="0" borderId="47" xfId="0" applyNumberFormat="1" applyBorder="1" applyAlignment="1">
      <alignment horizontal="center" vertical="center"/>
    </xf>
    <xf numFmtId="0" fontId="0" fillId="0" borderId="47" xfId="0" applyBorder="1" applyAlignment="1">
      <alignment horizontal="left" vertical="center" indent="1"/>
    </xf>
    <xf numFmtId="3" fontId="0" fillId="0" borderId="0" xfId="0" applyNumberFormat="1"/>
    <xf numFmtId="0" fontId="0" fillId="0" borderId="0" xfId="0" applyAlignment="1">
      <alignment horizontal="center" wrapText="1"/>
    </xf>
    <xf numFmtId="0" fontId="0" fillId="0" borderId="0" xfId="0" applyAlignment="1">
      <alignment wrapText="1"/>
    </xf>
    <xf numFmtId="3" fontId="25" fillId="0" borderId="48" xfId="0" applyNumberFormat="1" applyFont="1" applyBorder="1" applyAlignment="1">
      <alignment horizontal="center" vertical="center" wrapText="1"/>
    </xf>
    <xf numFmtId="0" fontId="0" fillId="17" borderId="0" xfId="0" applyFill="1"/>
    <xf numFmtId="3" fontId="0" fillId="17" borderId="0" xfId="0" applyNumberFormat="1" applyFill="1"/>
    <xf numFmtId="0" fontId="0" fillId="17" borderId="0" xfId="0" applyFill="1" applyAlignment="1">
      <alignment horizontal="center"/>
    </xf>
    <xf numFmtId="3" fontId="0" fillId="17" borderId="0" xfId="0" applyNumberFormat="1" applyFill="1" applyAlignment="1">
      <alignment horizontal="center"/>
    </xf>
    <xf numFmtId="1" fontId="0" fillId="17" borderId="0" xfId="0" applyNumberFormat="1" applyFill="1" applyAlignment="1">
      <alignment horizontal="center"/>
    </xf>
    <xf numFmtId="17" fontId="22" fillId="0" borderId="47" xfId="0" applyNumberFormat="1" applyFont="1" applyBorder="1" applyAlignment="1">
      <alignment horizontal="center" vertical="center"/>
    </xf>
    <xf numFmtId="0" fontId="25" fillId="0" borderId="0" xfId="0" applyFont="1" applyAlignment="1">
      <alignment wrapText="1"/>
    </xf>
    <xf numFmtId="3" fontId="25" fillId="0" borderId="19" xfId="0" applyNumberFormat="1" applyFont="1" applyBorder="1" applyAlignment="1">
      <alignment horizontal="center" wrapText="1"/>
    </xf>
    <xf numFmtId="3" fontId="25" fillId="0" borderId="0" xfId="0" applyNumberFormat="1" applyFont="1" applyAlignment="1">
      <alignment horizontal="center" wrapText="1"/>
    </xf>
    <xf numFmtId="3" fontId="25" fillId="0" borderId="25" xfId="0" applyNumberFormat="1" applyFont="1" applyBorder="1" applyAlignment="1">
      <alignment horizontal="center" wrapText="1"/>
    </xf>
    <xf numFmtId="3" fontId="25" fillId="0" borderId="52" xfId="0" applyNumberFormat="1" applyFont="1" applyBorder="1" applyAlignment="1">
      <alignment horizontal="center" vertical="center" wrapText="1"/>
    </xf>
    <xf numFmtId="3" fontId="25" fillId="0" borderId="53" xfId="0" applyNumberFormat="1" applyFont="1" applyBorder="1" applyAlignment="1">
      <alignment horizontal="center" vertical="center" wrapText="1"/>
    </xf>
    <xf numFmtId="3" fontId="0" fillId="0" borderId="19" xfId="0" applyNumberFormat="1" applyBorder="1" applyAlignment="1">
      <alignment horizontal="center" wrapText="1"/>
    </xf>
    <xf numFmtId="3" fontId="0" fillId="0" borderId="0" xfId="0" applyNumberFormat="1" applyAlignment="1">
      <alignment horizontal="center" wrapText="1"/>
    </xf>
    <xf numFmtId="3" fontId="0" fillId="0" borderId="25" xfId="0" applyNumberFormat="1" applyBorder="1" applyAlignment="1">
      <alignment horizontal="center" wrapText="1"/>
    </xf>
    <xf numFmtId="0" fontId="0" fillId="0" borderId="25" xfId="0" applyBorder="1" applyAlignment="1">
      <alignment horizontal="center"/>
    </xf>
    <xf numFmtId="0" fontId="0" fillId="0" borderId="25" xfId="0" applyBorder="1" applyAlignment="1">
      <alignment horizontal="center" wrapText="1"/>
    </xf>
    <xf numFmtId="0" fontId="0" fillId="0" borderId="49" xfId="0" applyBorder="1"/>
    <xf numFmtId="0" fontId="0" fillId="0" borderId="51" xfId="0" applyBorder="1"/>
    <xf numFmtId="0" fontId="0" fillId="0" borderId="19" xfId="0" applyBorder="1"/>
    <xf numFmtId="0" fontId="0" fillId="0" borderId="25" xfId="0" applyBorder="1"/>
    <xf numFmtId="0" fontId="25" fillId="0" borderId="52" xfId="0" applyFont="1" applyBorder="1" applyAlignment="1">
      <alignment horizontal="center" vertical="center"/>
    </xf>
    <xf numFmtId="0" fontId="25" fillId="0" borderId="53" xfId="0" applyFont="1" applyBorder="1" applyAlignment="1">
      <alignment horizontal="center" vertical="center"/>
    </xf>
    <xf numFmtId="14" fontId="0" fillId="0" borderId="19" xfId="0" applyNumberFormat="1" applyBorder="1"/>
    <xf numFmtId="1" fontId="0" fillId="0" borderId="19" xfId="0" applyNumberFormat="1" applyBorder="1" applyAlignment="1">
      <alignment horizontal="center" wrapText="1"/>
    </xf>
    <xf numFmtId="17" fontId="0" fillId="0" borderId="0" xfId="0" applyNumberFormat="1" applyAlignment="1">
      <alignment horizontal="center" vertical="center"/>
    </xf>
    <xf numFmtId="3" fontId="0" fillId="12" borderId="21" xfId="0" quotePrefix="1" applyNumberFormat="1" applyFill="1" applyBorder="1" applyAlignment="1">
      <alignment horizontal="center" vertical="center"/>
    </xf>
    <xf numFmtId="0" fontId="22" fillId="9" borderId="11" xfId="0" applyFont="1" applyFill="1" applyBorder="1" applyAlignment="1">
      <alignment vertical="center"/>
    </xf>
    <xf numFmtId="0" fontId="22" fillId="9" borderId="15" xfId="0" applyFont="1" applyFill="1" applyBorder="1" applyAlignment="1">
      <alignment vertical="center"/>
    </xf>
    <xf numFmtId="1" fontId="8" fillId="3" borderId="1" xfId="2" applyNumberFormat="1" applyFont="1" applyFill="1" applyBorder="1" applyAlignment="1">
      <alignment horizontal="center" vertical="center"/>
    </xf>
    <xf numFmtId="14" fontId="26" fillId="17" borderId="0" xfId="0" applyNumberFormat="1" applyFont="1" applyFill="1" applyAlignment="1">
      <alignment horizontal="center"/>
    </xf>
    <xf numFmtId="14" fontId="27" fillId="0" borderId="47" xfId="0" applyNumberFormat="1" applyFont="1" applyBorder="1" applyAlignment="1">
      <alignment horizontal="center" vertical="center"/>
    </xf>
    <xf numFmtId="3" fontId="28" fillId="0" borderId="47" xfId="0" applyNumberFormat="1" applyFont="1" applyBorder="1" applyAlignment="1">
      <alignment horizontal="center" vertical="center"/>
    </xf>
    <xf numFmtId="16" fontId="0" fillId="0" borderId="0" xfId="0" applyNumberFormat="1"/>
    <xf numFmtId="14" fontId="0" fillId="0" borderId="0" xfId="0" applyNumberFormat="1"/>
    <xf numFmtId="14" fontId="0" fillId="0" borderId="54" xfId="0" applyNumberFormat="1" applyBorder="1"/>
    <xf numFmtId="0" fontId="0" fillId="0" borderId="55" xfId="0" applyBorder="1" applyAlignment="1">
      <alignment horizontal="center"/>
    </xf>
    <xf numFmtId="3" fontId="0" fillId="0" borderId="54" xfId="0" applyNumberFormat="1" applyBorder="1" applyAlignment="1">
      <alignment horizontal="center" wrapText="1"/>
    </xf>
    <xf numFmtId="3" fontId="0" fillId="0" borderId="56" xfId="0" applyNumberFormat="1" applyBorder="1" applyAlignment="1">
      <alignment horizontal="center" wrapText="1"/>
    </xf>
    <xf numFmtId="1" fontId="0" fillId="0" borderId="54" xfId="0" applyNumberFormat="1" applyBorder="1" applyAlignment="1">
      <alignment horizontal="center" wrapText="1"/>
    </xf>
    <xf numFmtId="3" fontId="0" fillId="0" borderId="55" xfId="0" applyNumberFormat="1" applyBorder="1" applyAlignment="1">
      <alignment horizontal="center" wrapText="1"/>
    </xf>
    <xf numFmtId="0" fontId="29" fillId="18" borderId="0" xfId="1" applyFont="1" applyFill="1" applyAlignment="1">
      <alignment vertical="center"/>
    </xf>
    <xf numFmtId="4" fontId="29" fillId="18" borderId="0" xfId="1" applyNumberFormat="1" applyFont="1" applyFill="1" applyAlignment="1">
      <alignment horizontal="center" vertical="center"/>
    </xf>
    <xf numFmtId="49" fontId="30" fillId="0" borderId="2" xfId="3" applyNumberFormat="1" applyFont="1" applyBorder="1" applyAlignment="1">
      <alignment horizontal="left" vertical="center" wrapText="1"/>
    </xf>
    <xf numFmtId="0" fontId="30" fillId="0" borderId="2" xfId="4" applyFont="1" applyBorder="1" applyAlignment="1" applyProtection="1">
      <alignment horizontal="center" vertical="center" wrapText="1"/>
      <protection locked="0"/>
    </xf>
    <xf numFmtId="3" fontId="30" fillId="0" borderId="2" xfId="1" applyNumberFormat="1" applyFont="1" applyBorder="1" applyAlignment="1">
      <alignment horizontal="center" vertical="center"/>
    </xf>
    <xf numFmtId="3" fontId="30" fillId="19" borderId="2" xfId="1" applyNumberFormat="1" applyFont="1" applyFill="1" applyBorder="1" applyAlignment="1">
      <alignment horizontal="center" vertical="center"/>
    </xf>
    <xf numFmtId="3" fontId="30" fillId="0" borderId="2" xfId="1" applyNumberFormat="1" applyFont="1" applyBorder="1" applyAlignment="1">
      <alignment horizontal="center"/>
    </xf>
    <xf numFmtId="14" fontId="0" fillId="0" borderId="0" xfId="0" applyNumberFormat="1" applyAlignment="1">
      <alignment horizontal="center"/>
    </xf>
    <xf numFmtId="0" fontId="0" fillId="0" borderId="0" xfId="0" applyAlignment="1">
      <alignment horizontal="left"/>
    </xf>
    <xf numFmtId="3" fontId="30" fillId="0" borderId="0" xfId="1" applyNumberFormat="1" applyFont="1" applyAlignment="1">
      <alignment horizontal="center" vertical="center"/>
    </xf>
    <xf numFmtId="0" fontId="8" fillId="7" borderId="10" xfId="0" applyFont="1" applyFill="1" applyBorder="1" applyAlignment="1">
      <alignment horizontal="center" vertical="center"/>
    </xf>
    <xf numFmtId="0" fontId="25" fillId="0" borderId="49" xfId="0" applyFont="1" applyBorder="1" applyAlignment="1">
      <alignment horizontal="center" wrapText="1"/>
    </xf>
    <xf numFmtId="0" fontId="25" fillId="0" borderId="51" xfId="0" applyFont="1" applyBorder="1" applyAlignment="1">
      <alignment horizontal="center" wrapText="1"/>
    </xf>
    <xf numFmtId="0" fontId="25" fillId="0" borderId="50" xfId="0" applyFont="1" applyBorder="1" applyAlignment="1">
      <alignment horizontal="center" wrapText="1"/>
    </xf>
    <xf numFmtId="0" fontId="4" fillId="0" borderId="0" xfId="0" applyFont="1" applyAlignment="1">
      <alignment horizontal="left" vertical="center"/>
    </xf>
    <xf numFmtId="0" fontId="0" fillId="0" borderId="0" xfId="0"/>
    <xf numFmtId="0" fontId="5" fillId="2" borderId="1" xfId="0" applyFont="1" applyFill="1" applyBorder="1" applyAlignment="1">
      <alignment horizontal="left" vertical="center" wrapText="1"/>
    </xf>
    <xf numFmtId="0" fontId="0" fillId="0" borderId="3" xfId="0" applyBorder="1"/>
    <xf numFmtId="0" fontId="0" fillId="0" borderId="5" xfId="0" applyBorder="1"/>
    <xf numFmtId="0" fontId="0" fillId="0" borderId="4" xfId="0" applyBorder="1"/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0" borderId="9" xfId="0" applyBorder="1"/>
    <xf numFmtId="0" fontId="22" fillId="9" borderId="11" xfId="0" applyFont="1" applyFill="1" applyBorder="1" applyAlignment="1">
      <alignment horizontal="center" vertical="center"/>
    </xf>
    <xf numFmtId="0" fontId="22" fillId="9" borderId="15" xfId="0" applyFont="1" applyFill="1" applyBorder="1" applyAlignment="1">
      <alignment horizontal="center" vertical="center"/>
    </xf>
    <xf numFmtId="0" fontId="22" fillId="9" borderId="36" xfId="0" applyFont="1" applyFill="1" applyBorder="1" applyAlignment="1">
      <alignment horizontal="center" vertical="center"/>
    </xf>
    <xf numFmtId="0" fontId="0" fillId="0" borderId="0" xfId="0" applyFill="1" applyAlignment="1">
      <alignment horizontal="center"/>
    </xf>
    <xf numFmtId="0" fontId="9" fillId="0" borderId="0" xfId="0" applyFont="1" applyFill="1" applyBorder="1" applyAlignment="1">
      <alignment horizontal="center" vertical="center"/>
    </xf>
    <xf numFmtId="0" fontId="0" fillId="0" borderId="0" xfId="0" applyFill="1"/>
    <xf numFmtId="0" fontId="9" fillId="4" borderId="57" xfId="0" applyFont="1" applyFill="1" applyBorder="1" applyAlignment="1">
      <alignment horizontal="center" vertical="center"/>
    </xf>
    <xf numFmtId="0" fontId="10" fillId="0" borderId="57" xfId="0" applyFont="1" applyBorder="1"/>
    <xf numFmtId="0" fontId="2" fillId="0" borderId="57" xfId="0" applyFont="1" applyBorder="1"/>
    <xf numFmtId="0" fontId="9" fillId="4" borderId="59" xfId="0" applyFont="1" applyFill="1" applyBorder="1" applyAlignment="1">
      <alignment horizontal="center" vertical="center"/>
    </xf>
    <xf numFmtId="0" fontId="9" fillId="4" borderId="60" xfId="0" applyFont="1" applyFill="1" applyBorder="1" applyAlignment="1">
      <alignment horizontal="center" vertical="center"/>
    </xf>
    <xf numFmtId="0" fontId="8" fillId="3" borderId="61" xfId="0" applyFont="1" applyFill="1" applyBorder="1" applyAlignment="1">
      <alignment horizontal="center" vertical="center"/>
    </xf>
    <xf numFmtId="0" fontId="8" fillId="3" borderId="62" xfId="0" applyFont="1" applyFill="1" applyBorder="1" applyAlignment="1">
      <alignment horizontal="center" vertical="center"/>
    </xf>
    <xf numFmtId="0" fontId="8" fillId="3" borderId="63" xfId="0" applyFont="1" applyFill="1" applyBorder="1" applyAlignment="1">
      <alignment horizontal="center" vertical="center"/>
    </xf>
    <xf numFmtId="0" fontId="8" fillId="3" borderId="64" xfId="0" applyFont="1" applyFill="1" applyBorder="1" applyAlignment="1">
      <alignment horizontal="center" vertical="center"/>
    </xf>
    <xf numFmtId="0" fontId="9" fillId="4" borderId="65" xfId="0" applyFont="1" applyFill="1" applyBorder="1" applyAlignment="1">
      <alignment horizontal="center" vertical="center"/>
    </xf>
    <xf numFmtId="0" fontId="9" fillId="4" borderId="58" xfId="0" applyFont="1" applyFill="1" applyBorder="1" applyAlignment="1">
      <alignment horizontal="center" vertical="center"/>
    </xf>
    <xf numFmtId="0" fontId="11" fillId="5" borderId="58" xfId="0" applyFont="1" applyFill="1" applyBorder="1" applyAlignment="1">
      <alignment horizontal="center" vertical="center"/>
    </xf>
  </cellXfs>
  <cellStyles count="5">
    <cellStyle name="Normal" xfId="0" builtinId="0"/>
    <cellStyle name="Normal 10" xfId="4" xr:uid="{AB8D9E9E-F28D-4C91-B1E3-0E433BC492F8}"/>
    <cellStyle name="Normal 10 10" xfId="1" xr:uid="{00000000-0005-0000-0000-000006000000}"/>
    <cellStyle name="Normal_Licitadas" xfId="3" xr:uid="{DBB80EFC-082F-44D6-A301-326433BAB5F3}"/>
    <cellStyle name="Porcentagem" xfId="2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88888"/>
      <rgbColor rgb="FF9999FF"/>
      <rgbColor rgb="FF993366"/>
      <rgbColor rgb="FFFFF2CC"/>
      <rgbColor rgb="FFD6E4F0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A6CAEC"/>
      <rgbColor rgb="FFFF99CC"/>
      <rgbColor rgb="FFCC99FF"/>
      <rgbColor rgb="FFFFCC99"/>
      <rgbColor rgb="FF3366FF"/>
      <rgbColor rgb="FF84E291"/>
      <rgbColor rgb="FF99CC00"/>
      <rgbColor rgb="FFFFC000"/>
      <rgbColor rgb="FFFF9900"/>
      <rgbColor rgb="FFFF6600"/>
      <rgbColor rgb="FF555555"/>
      <rgbColor rgb="FF969696"/>
      <rgbColor rgb="FF003366"/>
      <rgbColor rgb="FF339966"/>
      <rgbColor rgb="FF003300"/>
      <rgbColor rgb="FF333300"/>
      <rgbColor rgb="FF993300"/>
      <rgbColor rgb="FF993366"/>
      <rgbColor rgb="FF1F4E7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  <mruColors>
      <color rgb="FFFFF2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1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../../../nara_saraiva_vale_com/Documents/2.SUPERETRUTURA/02.%20ESTOQUE%20E%20CONTRATA&#199;&#195;O%20DE%20MATERIAL%20FASE%202/04%20-%20Controle%20LASTRO.Super.xlsx" TargetMode="External"/><Relationship Id="rId2" Type="http://schemas.openxmlformats.org/officeDocument/2006/relationships/externalLinkPath" Target="https://globalvale-my.sharepoint.com/personal/nara_saraiva_vale_com/Documents/2.SUPERETRUTURA/02.%20ESTOQUE%20E%20CONTRATA&#199;&#195;O%20DE%20MATERIAL%20FASE%202/04%20-%20Controle%20LASTRO.Super.xlsx" TargetMode="External"/><Relationship Id="rId1" Type="http://schemas.openxmlformats.org/officeDocument/2006/relationships/externalLinkPath" Target="/personal/nara_saraiva_vale_com/Documents/2.SUPERETRUTURA/02.%20ESTOQUE%20E%20CONTRATA&#199;&#195;O%20DE%20MATERIAL%20FASE%202/04%20-%20Controle%20LASTRO.Super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PRODUÇÃO"/>
      <sheetName val="ENTREGA"/>
      <sheetName val="RESUMO"/>
      <sheetName val="CARRETAS "/>
      <sheetName val="Lastro infra"/>
      <sheetName val="Faturamento 18-06"/>
      <sheetName val="somafel - não retirar daqui"/>
    </sheetNames>
    <sheetDataSet>
      <sheetData sheetId="0">
        <row r="1">
          <cell r="A1" t="str">
            <v>Controle de produção Lastro Super</v>
          </cell>
          <cell r="F1"/>
          <cell r="H1"/>
        </row>
        <row r="2">
          <cell r="A2"/>
          <cell r="F2"/>
          <cell r="H2"/>
        </row>
        <row r="3">
          <cell r="F3">
            <v>197298.93700000003</v>
          </cell>
        </row>
        <row r="4">
          <cell r="A4" t="str">
            <v>Data de Produção</v>
          </cell>
          <cell r="F4" t="str">
            <v>Produção Real (TON)</v>
          </cell>
          <cell r="H4" t="str">
            <v xml:space="preserve">Fornecedor </v>
          </cell>
        </row>
        <row r="5">
          <cell r="A5">
            <v>46044</v>
          </cell>
          <cell r="F5">
            <v>630.4</v>
          </cell>
          <cell r="H5" t="str">
            <v xml:space="preserve">Bela Vista </v>
          </cell>
        </row>
        <row r="6">
          <cell r="A6">
            <v>46045</v>
          </cell>
          <cell r="F6">
            <v>696.4</v>
          </cell>
          <cell r="H6" t="str">
            <v xml:space="preserve">Bela Vista </v>
          </cell>
        </row>
        <row r="7">
          <cell r="A7">
            <v>46046</v>
          </cell>
          <cell r="F7">
            <v>665.45</v>
          </cell>
          <cell r="H7" t="str">
            <v xml:space="preserve">Bela Vista </v>
          </cell>
        </row>
        <row r="8">
          <cell r="A8">
            <v>46047</v>
          </cell>
          <cell r="F8">
            <v>541.72</v>
          </cell>
          <cell r="H8" t="str">
            <v xml:space="preserve">Bela Vista </v>
          </cell>
        </row>
        <row r="9">
          <cell r="A9">
            <v>46048</v>
          </cell>
          <cell r="F9">
            <v>555.94000000000005</v>
          </cell>
          <cell r="H9" t="str">
            <v xml:space="preserve">Bela Vista </v>
          </cell>
        </row>
        <row r="10">
          <cell r="A10">
            <v>46049</v>
          </cell>
          <cell r="F10">
            <v>841.38</v>
          </cell>
          <cell r="H10" t="str">
            <v xml:space="preserve">Bela Vista </v>
          </cell>
        </row>
        <row r="11">
          <cell r="A11">
            <v>46050</v>
          </cell>
          <cell r="F11">
            <v>867.44</v>
          </cell>
          <cell r="H11" t="str">
            <v xml:space="preserve">Bela Vista </v>
          </cell>
        </row>
        <row r="12">
          <cell r="A12">
            <v>46051</v>
          </cell>
          <cell r="F12">
            <v>810.43</v>
          </cell>
          <cell r="H12" t="str">
            <v xml:space="preserve">Bela Vista </v>
          </cell>
        </row>
        <row r="13">
          <cell r="A13">
            <v>46052</v>
          </cell>
          <cell r="F13">
            <v>938.3</v>
          </cell>
          <cell r="H13" t="str">
            <v xml:space="preserve">Bela Vista </v>
          </cell>
        </row>
        <row r="14">
          <cell r="A14">
            <v>46053</v>
          </cell>
          <cell r="F14">
            <v>358.38</v>
          </cell>
          <cell r="H14" t="str">
            <v xml:space="preserve">Bela Vista </v>
          </cell>
        </row>
        <row r="15">
          <cell r="A15">
            <v>46054</v>
          </cell>
          <cell r="F15">
            <v>248.42</v>
          </cell>
          <cell r="H15" t="str">
            <v xml:space="preserve">Bela Vista </v>
          </cell>
        </row>
        <row r="16">
          <cell r="A16">
            <v>46055</v>
          </cell>
          <cell r="F16">
            <v>764.82</v>
          </cell>
          <cell r="H16" t="str">
            <v xml:space="preserve">Bela Vista </v>
          </cell>
        </row>
        <row r="17">
          <cell r="A17">
            <v>46056</v>
          </cell>
          <cell r="F17">
            <v>1057.22</v>
          </cell>
          <cell r="H17" t="str">
            <v xml:space="preserve">Bela Vista </v>
          </cell>
        </row>
        <row r="18">
          <cell r="A18">
            <v>46057</v>
          </cell>
          <cell r="F18">
            <v>746.9</v>
          </cell>
          <cell r="H18" t="str">
            <v xml:space="preserve">Bela Vista </v>
          </cell>
        </row>
        <row r="19">
          <cell r="A19">
            <v>46058</v>
          </cell>
          <cell r="F19">
            <v>509.06</v>
          </cell>
          <cell r="H19" t="str">
            <v xml:space="preserve">Bela Vista </v>
          </cell>
        </row>
        <row r="20">
          <cell r="A20">
            <v>46059</v>
          </cell>
          <cell r="F20">
            <v>424.35</v>
          </cell>
          <cell r="H20" t="str">
            <v xml:space="preserve">Bela Vista </v>
          </cell>
        </row>
        <row r="21">
          <cell r="A21">
            <v>46060</v>
          </cell>
          <cell r="F21">
            <v>616.58000000000004</v>
          </cell>
          <cell r="H21" t="str">
            <v xml:space="preserve">Bela Vista </v>
          </cell>
        </row>
        <row r="22">
          <cell r="A22">
            <v>46061</v>
          </cell>
          <cell r="F22">
            <v>67.599999999999994</v>
          </cell>
          <cell r="H22" t="str">
            <v xml:space="preserve">Bela Vista </v>
          </cell>
        </row>
        <row r="23">
          <cell r="A23">
            <v>46062</v>
          </cell>
          <cell r="F23">
            <v>799.84</v>
          </cell>
          <cell r="H23" t="str">
            <v xml:space="preserve">Bela Vista </v>
          </cell>
        </row>
        <row r="24">
          <cell r="A24">
            <v>46063</v>
          </cell>
          <cell r="F24">
            <v>351.86</v>
          </cell>
          <cell r="H24" t="str">
            <v xml:space="preserve">Bela Vista </v>
          </cell>
        </row>
        <row r="25">
          <cell r="A25">
            <v>46064</v>
          </cell>
          <cell r="F25">
            <v>564.45000000000005</v>
          </cell>
          <cell r="H25" t="str">
            <v xml:space="preserve">Bela Vista </v>
          </cell>
        </row>
        <row r="26">
          <cell r="A26">
            <v>46065</v>
          </cell>
          <cell r="F26">
            <v>706.17</v>
          </cell>
          <cell r="H26" t="str">
            <v xml:space="preserve">Bela Vista </v>
          </cell>
        </row>
        <row r="27">
          <cell r="A27">
            <v>46066</v>
          </cell>
          <cell r="F27">
            <v>576.66999999999996</v>
          </cell>
          <cell r="H27" t="str">
            <v xml:space="preserve">Bela Vista </v>
          </cell>
        </row>
        <row r="28">
          <cell r="A28">
            <v>46067</v>
          </cell>
          <cell r="F28"/>
          <cell r="H28"/>
        </row>
        <row r="29">
          <cell r="A29">
            <v>46068</v>
          </cell>
          <cell r="F29"/>
          <cell r="H29"/>
        </row>
        <row r="30">
          <cell r="A30">
            <v>46069</v>
          </cell>
          <cell r="F30">
            <v>637.75</v>
          </cell>
          <cell r="H30" t="str">
            <v xml:space="preserve">Bela Vista </v>
          </cell>
        </row>
        <row r="31">
          <cell r="A31">
            <v>46070</v>
          </cell>
          <cell r="F31">
            <v>644.27</v>
          </cell>
          <cell r="H31" t="str">
            <v xml:space="preserve">Bela Vista </v>
          </cell>
        </row>
        <row r="32">
          <cell r="A32">
            <v>46071</v>
          </cell>
          <cell r="F32">
            <v>592.14</v>
          </cell>
          <cell r="H32" t="str">
            <v xml:space="preserve">Bela Vista </v>
          </cell>
        </row>
        <row r="33">
          <cell r="A33">
            <v>46072</v>
          </cell>
          <cell r="F33">
            <v>670.33</v>
          </cell>
          <cell r="H33" t="str">
            <v xml:space="preserve">Bela Vista </v>
          </cell>
        </row>
        <row r="34">
          <cell r="A34">
            <v>46073</v>
          </cell>
          <cell r="F34">
            <v>542.46</v>
          </cell>
          <cell r="H34" t="str">
            <v xml:space="preserve">Bela Vista </v>
          </cell>
        </row>
        <row r="35">
          <cell r="A35">
            <v>46074</v>
          </cell>
          <cell r="F35"/>
          <cell r="H35"/>
        </row>
        <row r="36">
          <cell r="A36">
            <v>46075</v>
          </cell>
          <cell r="F36"/>
          <cell r="H36"/>
        </row>
        <row r="37">
          <cell r="A37">
            <v>46076</v>
          </cell>
          <cell r="F37">
            <v>0</v>
          </cell>
          <cell r="H37"/>
        </row>
        <row r="38">
          <cell r="A38">
            <v>46077</v>
          </cell>
          <cell r="F38">
            <v>231.32</v>
          </cell>
          <cell r="H38" t="str">
            <v xml:space="preserve">Bela Vista </v>
          </cell>
        </row>
        <row r="39">
          <cell r="A39">
            <v>46078</v>
          </cell>
          <cell r="F39">
            <v>0</v>
          </cell>
          <cell r="H39" t="str">
            <v xml:space="preserve">Bela Vista </v>
          </cell>
        </row>
        <row r="40">
          <cell r="A40">
            <v>46079</v>
          </cell>
          <cell r="F40">
            <v>0</v>
          </cell>
          <cell r="H40" t="str">
            <v xml:space="preserve">Bela Vista </v>
          </cell>
        </row>
        <row r="41">
          <cell r="A41">
            <v>46080</v>
          </cell>
          <cell r="F41">
            <v>0</v>
          </cell>
          <cell r="H41" t="str">
            <v xml:space="preserve">Bela Vista </v>
          </cell>
        </row>
        <row r="42">
          <cell r="A42">
            <v>46081</v>
          </cell>
          <cell r="F42"/>
          <cell r="H42"/>
        </row>
        <row r="43">
          <cell r="A43">
            <v>46082</v>
          </cell>
          <cell r="F43"/>
          <cell r="H43"/>
        </row>
        <row r="44">
          <cell r="A44">
            <v>46073</v>
          </cell>
          <cell r="F44">
            <v>202.5</v>
          </cell>
          <cell r="H44" t="str">
            <v xml:space="preserve">Itapaci </v>
          </cell>
        </row>
        <row r="45">
          <cell r="A45">
            <v>46074</v>
          </cell>
          <cell r="F45">
            <v>202.5</v>
          </cell>
          <cell r="H45" t="str">
            <v xml:space="preserve">Itapaci </v>
          </cell>
        </row>
        <row r="46">
          <cell r="A46">
            <v>46075</v>
          </cell>
          <cell r="F46">
            <v>202.5</v>
          </cell>
          <cell r="H46" t="str">
            <v xml:space="preserve">Itapaci </v>
          </cell>
        </row>
        <row r="47">
          <cell r="A47">
            <v>46076</v>
          </cell>
          <cell r="F47">
            <v>202.5</v>
          </cell>
          <cell r="H47" t="str">
            <v xml:space="preserve">Itapaci </v>
          </cell>
        </row>
        <row r="48">
          <cell r="A48">
            <v>46077</v>
          </cell>
          <cell r="F48">
            <v>202.5</v>
          </cell>
          <cell r="H48" t="str">
            <v xml:space="preserve">Itapaci </v>
          </cell>
        </row>
        <row r="49">
          <cell r="A49">
            <v>46078</v>
          </cell>
          <cell r="F49">
            <v>202.5</v>
          </cell>
          <cell r="H49" t="str">
            <v xml:space="preserve">Itapaci </v>
          </cell>
        </row>
        <row r="50">
          <cell r="A50">
            <v>46079</v>
          </cell>
          <cell r="F50">
            <v>202.5</v>
          </cell>
          <cell r="H50" t="str">
            <v xml:space="preserve">Itapaci </v>
          </cell>
        </row>
        <row r="51">
          <cell r="A51">
            <v>46080</v>
          </cell>
          <cell r="F51">
            <v>202.5</v>
          </cell>
          <cell r="H51" t="str">
            <v xml:space="preserve">Itapaci </v>
          </cell>
        </row>
        <row r="52">
          <cell r="A52">
            <v>46083</v>
          </cell>
          <cell r="F52">
            <v>0</v>
          </cell>
          <cell r="H52"/>
        </row>
        <row r="53">
          <cell r="A53">
            <v>46084</v>
          </cell>
          <cell r="F53">
            <v>726.75</v>
          </cell>
          <cell r="H53" t="str">
            <v xml:space="preserve">Itapaci </v>
          </cell>
        </row>
        <row r="54">
          <cell r="A54">
            <v>46085</v>
          </cell>
          <cell r="F54">
            <v>1020</v>
          </cell>
          <cell r="H54" t="str">
            <v xml:space="preserve">Itapaci </v>
          </cell>
        </row>
        <row r="55">
          <cell r="A55">
            <v>46086</v>
          </cell>
          <cell r="F55">
            <v>807.5</v>
          </cell>
          <cell r="H55" t="str">
            <v xml:space="preserve">Itapaci </v>
          </cell>
        </row>
        <row r="56">
          <cell r="A56">
            <v>46087</v>
          </cell>
          <cell r="F56">
            <v>443.7</v>
          </cell>
          <cell r="H56" t="str">
            <v xml:space="preserve">Itapaci </v>
          </cell>
        </row>
        <row r="57">
          <cell r="A57">
            <v>46088</v>
          </cell>
          <cell r="F57"/>
          <cell r="H57"/>
        </row>
        <row r="58">
          <cell r="A58">
            <v>46089</v>
          </cell>
          <cell r="F58"/>
          <cell r="H58"/>
        </row>
        <row r="59">
          <cell r="A59">
            <v>46090</v>
          </cell>
          <cell r="F59">
            <v>651.70000000000005</v>
          </cell>
          <cell r="H59" t="str">
            <v xml:space="preserve">Itapaci </v>
          </cell>
        </row>
        <row r="60">
          <cell r="A60">
            <v>46091</v>
          </cell>
          <cell r="F60">
            <v>755.76</v>
          </cell>
          <cell r="H60" t="str">
            <v xml:space="preserve">Itapaci </v>
          </cell>
        </row>
        <row r="61">
          <cell r="A61">
            <v>46092</v>
          </cell>
          <cell r="F61">
            <v>949.03</v>
          </cell>
          <cell r="H61" t="str">
            <v xml:space="preserve">Itapaci </v>
          </cell>
        </row>
        <row r="62">
          <cell r="A62">
            <v>46093</v>
          </cell>
          <cell r="F62">
            <v>828.75</v>
          </cell>
          <cell r="H62" t="str">
            <v xml:space="preserve">Itapaci </v>
          </cell>
        </row>
        <row r="63">
          <cell r="A63">
            <v>46094</v>
          </cell>
          <cell r="F63">
            <v>932.66</v>
          </cell>
          <cell r="H63" t="str">
            <v xml:space="preserve">Itapaci </v>
          </cell>
        </row>
        <row r="64">
          <cell r="A64">
            <v>46095</v>
          </cell>
          <cell r="F64">
            <v>685.74</v>
          </cell>
          <cell r="H64" t="str">
            <v xml:space="preserve">Itapaci </v>
          </cell>
        </row>
        <row r="65">
          <cell r="A65">
            <v>46096</v>
          </cell>
          <cell r="F65"/>
          <cell r="H65"/>
        </row>
        <row r="66">
          <cell r="A66">
            <v>46097</v>
          </cell>
          <cell r="F66">
            <v>584.59</v>
          </cell>
          <cell r="H66" t="str">
            <v xml:space="preserve">Itapaci </v>
          </cell>
        </row>
        <row r="67">
          <cell r="A67">
            <v>46098</v>
          </cell>
          <cell r="F67">
            <v>816.54</v>
          </cell>
          <cell r="H67" t="str">
            <v xml:space="preserve">Itapaci </v>
          </cell>
        </row>
        <row r="68">
          <cell r="A68">
            <v>46099</v>
          </cell>
          <cell r="F68">
            <v>1127.6099999999999</v>
          </cell>
          <cell r="H68" t="str">
            <v xml:space="preserve">Itapaci </v>
          </cell>
        </row>
        <row r="69">
          <cell r="A69">
            <v>46100</v>
          </cell>
          <cell r="F69">
            <v>997.31</v>
          </cell>
          <cell r="H69" t="str">
            <v xml:space="preserve">Itapaci </v>
          </cell>
        </row>
        <row r="70">
          <cell r="A70">
            <v>46101</v>
          </cell>
          <cell r="F70">
            <v>862.75</v>
          </cell>
          <cell r="H70" t="str">
            <v xml:space="preserve">Itapaci </v>
          </cell>
        </row>
        <row r="71">
          <cell r="A71">
            <v>46102</v>
          </cell>
          <cell r="F71">
            <v>680.26</v>
          </cell>
          <cell r="H71" t="str">
            <v xml:space="preserve">Itapaci </v>
          </cell>
        </row>
        <row r="72">
          <cell r="A72">
            <v>46103</v>
          </cell>
          <cell r="F72"/>
          <cell r="H72"/>
        </row>
        <row r="73">
          <cell r="A73">
            <v>46104</v>
          </cell>
          <cell r="F73">
            <v>821.07</v>
          </cell>
          <cell r="H73" t="str">
            <v xml:space="preserve">Itapaci </v>
          </cell>
        </row>
        <row r="74">
          <cell r="A74">
            <v>46105</v>
          </cell>
          <cell r="F74">
            <v>1072.07</v>
          </cell>
          <cell r="H74" t="str">
            <v xml:space="preserve">Itapaci </v>
          </cell>
        </row>
        <row r="75">
          <cell r="A75">
            <v>46106</v>
          </cell>
          <cell r="F75">
            <v>1146.8699999999999</v>
          </cell>
          <cell r="H75" t="str">
            <v xml:space="preserve">Itapaci </v>
          </cell>
        </row>
        <row r="76">
          <cell r="A76">
            <v>46107</v>
          </cell>
          <cell r="F76">
            <v>1227.94</v>
          </cell>
          <cell r="H76" t="str">
            <v xml:space="preserve">Itapaci </v>
          </cell>
        </row>
        <row r="77">
          <cell r="A77">
            <v>46108</v>
          </cell>
          <cell r="F77">
            <v>1372.11</v>
          </cell>
          <cell r="H77" t="str">
            <v xml:space="preserve">Itapaci </v>
          </cell>
        </row>
        <row r="78">
          <cell r="A78">
            <v>46109</v>
          </cell>
          <cell r="F78">
            <v>480.52</v>
          </cell>
          <cell r="H78" t="str">
            <v xml:space="preserve">Itapaci </v>
          </cell>
        </row>
        <row r="79">
          <cell r="A79">
            <v>46109</v>
          </cell>
          <cell r="F79">
            <v>733.89</v>
          </cell>
          <cell r="H79" t="str">
            <v xml:space="preserve">Bela Vista </v>
          </cell>
        </row>
        <row r="80">
          <cell r="A80">
            <v>46110</v>
          </cell>
          <cell r="F80"/>
          <cell r="H80"/>
        </row>
        <row r="81">
          <cell r="A81">
            <v>46111</v>
          </cell>
          <cell r="F81">
            <v>534.38</v>
          </cell>
          <cell r="H81" t="str">
            <v xml:space="preserve">Bela Vista </v>
          </cell>
        </row>
        <row r="82">
          <cell r="A82">
            <v>46111</v>
          </cell>
          <cell r="F82">
            <v>1190</v>
          </cell>
          <cell r="H82" t="str">
            <v xml:space="preserve">Itapaci </v>
          </cell>
        </row>
        <row r="83">
          <cell r="A83">
            <v>46112</v>
          </cell>
          <cell r="F83">
            <v>1284.04</v>
          </cell>
          <cell r="H83" t="str">
            <v xml:space="preserve">Itapaci </v>
          </cell>
        </row>
        <row r="84">
          <cell r="A84">
            <v>46112</v>
          </cell>
          <cell r="F84">
            <v>643.14</v>
          </cell>
          <cell r="H84" t="str">
            <v xml:space="preserve">Bela Vista </v>
          </cell>
        </row>
        <row r="85">
          <cell r="A85">
            <v>46113</v>
          </cell>
          <cell r="F85">
            <v>1344.7</v>
          </cell>
          <cell r="H85" t="str">
            <v xml:space="preserve">Itapaci </v>
          </cell>
        </row>
        <row r="86">
          <cell r="A86">
            <v>46113</v>
          </cell>
          <cell r="F86">
            <v>766.73</v>
          </cell>
          <cell r="H86" t="str">
            <v xml:space="preserve">Bela Vista </v>
          </cell>
        </row>
        <row r="87">
          <cell r="A87">
            <v>46114</v>
          </cell>
          <cell r="F87">
            <v>1148.78</v>
          </cell>
          <cell r="H87" t="str">
            <v xml:space="preserve">Itapaci </v>
          </cell>
        </row>
        <row r="88">
          <cell r="A88">
            <v>46114</v>
          </cell>
          <cell r="F88">
            <v>229.08</v>
          </cell>
          <cell r="H88" t="str">
            <v xml:space="preserve">Bela Vista </v>
          </cell>
        </row>
        <row r="89">
          <cell r="A89">
            <v>46115</v>
          </cell>
          <cell r="F89"/>
          <cell r="H89"/>
        </row>
        <row r="90">
          <cell r="A90">
            <v>46116</v>
          </cell>
          <cell r="F90"/>
          <cell r="H90"/>
        </row>
        <row r="91">
          <cell r="A91">
            <v>46117</v>
          </cell>
          <cell r="F91"/>
          <cell r="H91"/>
        </row>
        <row r="92">
          <cell r="A92">
            <v>46118</v>
          </cell>
          <cell r="F92">
            <v>1168.8599999999999</v>
          </cell>
          <cell r="H92" t="str">
            <v xml:space="preserve">Itapaci </v>
          </cell>
        </row>
        <row r="93">
          <cell r="A93">
            <v>46118</v>
          </cell>
          <cell r="F93">
            <v>614.02</v>
          </cell>
          <cell r="H93" t="str">
            <v xml:space="preserve">Bela Vista </v>
          </cell>
        </row>
        <row r="94">
          <cell r="A94">
            <v>46119</v>
          </cell>
          <cell r="F94">
            <v>1166.17</v>
          </cell>
          <cell r="H94" t="str">
            <v xml:space="preserve">Itapaci </v>
          </cell>
        </row>
        <row r="95">
          <cell r="A95">
            <v>46119</v>
          </cell>
          <cell r="F95">
            <v>807.58</v>
          </cell>
          <cell r="H95" t="str">
            <v xml:space="preserve">Bela Vista </v>
          </cell>
        </row>
        <row r="96">
          <cell r="A96">
            <v>46120</v>
          </cell>
          <cell r="F96">
            <v>1128.73</v>
          </cell>
          <cell r="H96" t="str">
            <v xml:space="preserve">Itapaci </v>
          </cell>
        </row>
        <row r="97">
          <cell r="A97">
            <v>46120</v>
          </cell>
          <cell r="F97">
            <v>801.29</v>
          </cell>
          <cell r="H97" t="str">
            <v xml:space="preserve">bela Vista </v>
          </cell>
        </row>
        <row r="98">
          <cell r="A98">
            <v>46121</v>
          </cell>
          <cell r="F98">
            <v>0</v>
          </cell>
          <cell r="H98" t="str">
            <v xml:space="preserve">Itapaci </v>
          </cell>
        </row>
        <row r="99">
          <cell r="A99">
            <v>46121</v>
          </cell>
          <cell r="F99">
            <v>721.68</v>
          </cell>
          <cell r="H99" t="str">
            <v xml:space="preserve">Bela Vista </v>
          </cell>
        </row>
        <row r="100">
          <cell r="A100">
            <v>46122</v>
          </cell>
          <cell r="F100">
            <v>0</v>
          </cell>
          <cell r="H100" t="str">
            <v xml:space="preserve">Itapaci </v>
          </cell>
        </row>
        <row r="101">
          <cell r="A101">
            <v>46122</v>
          </cell>
          <cell r="F101">
            <v>457.56</v>
          </cell>
          <cell r="H101" t="str">
            <v xml:space="preserve">Bela Vista </v>
          </cell>
        </row>
        <row r="102">
          <cell r="A102">
            <v>46123</v>
          </cell>
          <cell r="F102"/>
          <cell r="H102" t="str">
            <v xml:space="preserve">Itapaci </v>
          </cell>
        </row>
        <row r="103">
          <cell r="A103">
            <v>46123</v>
          </cell>
          <cell r="F103">
            <v>534.94000000000005</v>
          </cell>
          <cell r="H103" t="str">
            <v xml:space="preserve">Bela Vista </v>
          </cell>
        </row>
        <row r="104">
          <cell r="A104">
            <v>46124</v>
          </cell>
          <cell r="F104"/>
          <cell r="H104"/>
        </row>
        <row r="105">
          <cell r="A105">
            <v>46125</v>
          </cell>
          <cell r="F105">
            <v>0</v>
          </cell>
          <cell r="H105" t="str">
            <v xml:space="preserve">Itapaci </v>
          </cell>
        </row>
        <row r="106">
          <cell r="A106">
            <v>46125</v>
          </cell>
          <cell r="F106">
            <v>210.65</v>
          </cell>
          <cell r="H106" t="str">
            <v xml:space="preserve">Bela Vista </v>
          </cell>
        </row>
        <row r="107">
          <cell r="A107">
            <v>46126</v>
          </cell>
          <cell r="F107">
            <v>0</v>
          </cell>
          <cell r="H107" t="str">
            <v xml:space="preserve">Itapaci </v>
          </cell>
        </row>
        <row r="108">
          <cell r="A108">
            <v>46126</v>
          </cell>
          <cell r="F108">
            <v>637.78</v>
          </cell>
          <cell r="H108" t="str">
            <v xml:space="preserve">Bela Vista </v>
          </cell>
        </row>
        <row r="109">
          <cell r="A109">
            <v>46127</v>
          </cell>
          <cell r="F109">
            <v>1210.04</v>
          </cell>
          <cell r="H109" t="str">
            <v xml:space="preserve">Itapaci </v>
          </cell>
        </row>
        <row r="110">
          <cell r="A110">
            <v>46127</v>
          </cell>
          <cell r="F110">
            <v>786.99</v>
          </cell>
          <cell r="H110" t="str">
            <v xml:space="preserve">Bela Vista </v>
          </cell>
        </row>
        <row r="111">
          <cell r="A111">
            <v>46128</v>
          </cell>
          <cell r="F111">
            <v>1194.17</v>
          </cell>
          <cell r="H111" t="str">
            <v xml:space="preserve">Itapaci </v>
          </cell>
        </row>
        <row r="112">
          <cell r="A112">
            <v>46128</v>
          </cell>
          <cell r="F112">
            <v>684.45</v>
          </cell>
          <cell r="H112" t="str">
            <v xml:space="preserve">Bela Vista </v>
          </cell>
        </row>
        <row r="113">
          <cell r="A113">
            <v>46129</v>
          </cell>
          <cell r="F113">
            <v>1184.27</v>
          </cell>
          <cell r="H113" t="str">
            <v xml:space="preserve">Itapaci </v>
          </cell>
        </row>
        <row r="114">
          <cell r="A114">
            <v>46129</v>
          </cell>
          <cell r="F114">
            <v>718.85</v>
          </cell>
          <cell r="H114" t="str">
            <v xml:space="preserve">Bela Vista </v>
          </cell>
        </row>
        <row r="115">
          <cell r="A115">
            <v>46130</v>
          </cell>
          <cell r="F115">
            <v>650.25</v>
          </cell>
          <cell r="H115" t="str">
            <v xml:space="preserve">Itapaci </v>
          </cell>
        </row>
        <row r="116">
          <cell r="A116">
            <v>46130</v>
          </cell>
          <cell r="F116">
            <v>518.08000000000004</v>
          </cell>
          <cell r="H116" t="str">
            <v xml:space="preserve">Bela Vista </v>
          </cell>
        </row>
        <row r="117">
          <cell r="A117">
            <v>46131</v>
          </cell>
          <cell r="F117"/>
          <cell r="H117"/>
        </row>
        <row r="118">
          <cell r="A118">
            <v>46132</v>
          </cell>
          <cell r="F118">
            <v>1091.74</v>
          </cell>
          <cell r="H118" t="str">
            <v xml:space="preserve">Itapaci </v>
          </cell>
        </row>
        <row r="119">
          <cell r="A119">
            <v>46132</v>
          </cell>
          <cell r="F119">
            <v>730.78</v>
          </cell>
          <cell r="H119" t="str">
            <v xml:space="preserve">Bela Vista </v>
          </cell>
        </row>
        <row r="120">
          <cell r="A120">
            <v>46133</v>
          </cell>
          <cell r="F120">
            <v>0</v>
          </cell>
          <cell r="H120" t="str">
            <v xml:space="preserve">Itapaci </v>
          </cell>
        </row>
        <row r="121">
          <cell r="A121">
            <v>46133</v>
          </cell>
          <cell r="F121">
            <v>91.96</v>
          </cell>
          <cell r="H121" t="str">
            <v xml:space="preserve">Bela Vista </v>
          </cell>
        </row>
        <row r="122">
          <cell r="A122">
            <v>46134</v>
          </cell>
          <cell r="F122">
            <v>0</v>
          </cell>
          <cell r="H122" t="str">
            <v xml:space="preserve">Itapaci </v>
          </cell>
        </row>
        <row r="123">
          <cell r="A123">
            <v>46134</v>
          </cell>
          <cell r="F123">
            <v>680.94</v>
          </cell>
          <cell r="H123" t="str">
            <v xml:space="preserve">Bela Vista </v>
          </cell>
        </row>
        <row r="124">
          <cell r="A124">
            <v>46135</v>
          </cell>
          <cell r="F124">
            <v>0</v>
          </cell>
          <cell r="H124" t="str">
            <v xml:space="preserve">Itapaci </v>
          </cell>
        </row>
        <row r="125">
          <cell r="A125">
            <v>46135</v>
          </cell>
          <cell r="F125"/>
          <cell r="H125" t="str">
            <v xml:space="preserve">Bela Vista </v>
          </cell>
        </row>
        <row r="126">
          <cell r="A126">
            <v>46136</v>
          </cell>
          <cell r="F126">
            <v>0</v>
          </cell>
          <cell r="H126" t="str">
            <v xml:space="preserve">Itapaci </v>
          </cell>
        </row>
        <row r="127">
          <cell r="A127">
            <v>46136</v>
          </cell>
          <cell r="F127"/>
          <cell r="H127" t="str">
            <v xml:space="preserve">Bela Vista </v>
          </cell>
        </row>
        <row r="128">
          <cell r="A128">
            <v>46137</v>
          </cell>
          <cell r="F128"/>
          <cell r="H128"/>
        </row>
        <row r="129">
          <cell r="A129">
            <v>46138</v>
          </cell>
          <cell r="F129"/>
          <cell r="H129"/>
        </row>
        <row r="130">
          <cell r="A130">
            <v>46139</v>
          </cell>
          <cell r="F130">
            <v>0</v>
          </cell>
          <cell r="H130" t="str">
            <v xml:space="preserve">Itapaci </v>
          </cell>
        </row>
        <row r="131">
          <cell r="A131">
            <v>46139</v>
          </cell>
          <cell r="F131">
            <v>0</v>
          </cell>
          <cell r="H131" t="str">
            <v xml:space="preserve">Bela Vista </v>
          </cell>
        </row>
        <row r="132">
          <cell r="A132">
            <v>46140</v>
          </cell>
          <cell r="F132">
            <v>0</v>
          </cell>
          <cell r="H132" t="str">
            <v xml:space="preserve">Itapaci </v>
          </cell>
        </row>
        <row r="133">
          <cell r="A133">
            <v>46140</v>
          </cell>
          <cell r="F133">
            <v>499.32</v>
          </cell>
          <cell r="H133" t="str">
            <v xml:space="preserve">Bela Vista </v>
          </cell>
        </row>
        <row r="134">
          <cell r="A134">
            <v>46141</v>
          </cell>
          <cell r="F134">
            <v>546.59</v>
          </cell>
          <cell r="H134" t="str">
            <v xml:space="preserve">Itapaci </v>
          </cell>
        </row>
        <row r="135">
          <cell r="A135">
            <v>46141</v>
          </cell>
          <cell r="F135">
            <v>499.32</v>
          </cell>
          <cell r="H135" t="str">
            <v xml:space="preserve">Bela Vista </v>
          </cell>
        </row>
        <row r="136">
          <cell r="A136">
            <v>46142</v>
          </cell>
          <cell r="F136">
            <v>1150.05</v>
          </cell>
          <cell r="H136" t="str">
            <v xml:space="preserve">Itapaci </v>
          </cell>
        </row>
        <row r="137">
          <cell r="A137">
            <v>46142</v>
          </cell>
          <cell r="F137">
            <v>440.19</v>
          </cell>
          <cell r="H137" t="str">
            <v xml:space="preserve">Bela Vista </v>
          </cell>
        </row>
        <row r="138">
          <cell r="A138">
            <v>46143</v>
          </cell>
          <cell r="F138">
            <v>316.8</v>
          </cell>
          <cell r="H138" t="str">
            <v xml:space="preserve">Itapaci </v>
          </cell>
        </row>
        <row r="139">
          <cell r="A139">
            <v>46143</v>
          </cell>
          <cell r="F139">
            <v>549.59</v>
          </cell>
          <cell r="H139" t="str">
            <v xml:space="preserve">Bela Vista </v>
          </cell>
        </row>
        <row r="140">
          <cell r="A140">
            <v>46144</v>
          </cell>
          <cell r="F140">
            <v>514.82000000000005</v>
          </cell>
          <cell r="H140" t="str">
            <v xml:space="preserve">Itapaci </v>
          </cell>
        </row>
        <row r="141">
          <cell r="A141">
            <v>46144</v>
          </cell>
          <cell r="F141">
            <v>563.04999999999995</v>
          </cell>
          <cell r="H141" t="str">
            <v xml:space="preserve">Bela Vista </v>
          </cell>
        </row>
        <row r="142">
          <cell r="A142">
            <v>46145</v>
          </cell>
          <cell r="F142"/>
          <cell r="H142"/>
        </row>
        <row r="143">
          <cell r="A143">
            <v>46146</v>
          </cell>
          <cell r="F143">
            <v>588.02</v>
          </cell>
          <cell r="H143" t="str">
            <v xml:space="preserve">Bela Vista </v>
          </cell>
        </row>
        <row r="144">
          <cell r="A144">
            <v>46146</v>
          </cell>
          <cell r="F144">
            <v>632.61</v>
          </cell>
          <cell r="H144" t="str">
            <v xml:space="preserve">Itapaci </v>
          </cell>
        </row>
        <row r="145">
          <cell r="A145">
            <v>46147</v>
          </cell>
          <cell r="F145">
            <v>643.86</v>
          </cell>
          <cell r="H145" t="str">
            <v xml:space="preserve">Bela Vista </v>
          </cell>
        </row>
        <row r="146">
          <cell r="A146">
            <v>46147</v>
          </cell>
          <cell r="F146">
            <v>836.55</v>
          </cell>
          <cell r="H146" t="str">
            <v xml:space="preserve">Itapaci </v>
          </cell>
        </row>
        <row r="147">
          <cell r="A147">
            <v>46148</v>
          </cell>
          <cell r="F147">
            <v>576.19000000000005</v>
          </cell>
          <cell r="H147" t="str">
            <v xml:space="preserve">Bela Vista </v>
          </cell>
        </row>
        <row r="148">
          <cell r="A148">
            <v>46148</v>
          </cell>
          <cell r="F148">
            <v>1370.29</v>
          </cell>
          <cell r="H148" t="str">
            <v xml:space="preserve">Itapaci </v>
          </cell>
        </row>
        <row r="149">
          <cell r="A149">
            <v>46149</v>
          </cell>
          <cell r="F149">
            <v>268.70999999999998</v>
          </cell>
          <cell r="H149" t="str">
            <v xml:space="preserve">Bela Vista </v>
          </cell>
        </row>
        <row r="150">
          <cell r="A150">
            <v>46149</v>
          </cell>
          <cell r="F150">
            <v>920.07</v>
          </cell>
          <cell r="H150" t="str">
            <v xml:space="preserve">Itapaci </v>
          </cell>
        </row>
        <row r="151">
          <cell r="A151">
            <v>46150</v>
          </cell>
          <cell r="F151">
            <v>1118.07</v>
          </cell>
          <cell r="H151" t="str">
            <v xml:space="preserve">Bela Vista </v>
          </cell>
        </row>
        <row r="152">
          <cell r="A152">
            <v>46120</v>
          </cell>
          <cell r="F152">
            <v>1039.5</v>
          </cell>
          <cell r="H152" t="str">
            <v xml:space="preserve">Itapaci </v>
          </cell>
        </row>
        <row r="153">
          <cell r="A153">
            <v>46151</v>
          </cell>
          <cell r="F153">
            <v>771.74</v>
          </cell>
          <cell r="H153" t="str">
            <v xml:space="preserve">Bela Vista </v>
          </cell>
        </row>
        <row r="154">
          <cell r="A154">
            <v>46151</v>
          </cell>
          <cell r="F154"/>
          <cell r="H154" t="str">
            <v xml:space="preserve">Itapaci </v>
          </cell>
        </row>
        <row r="155">
          <cell r="A155">
            <v>46152</v>
          </cell>
          <cell r="F155"/>
          <cell r="H155"/>
        </row>
        <row r="156">
          <cell r="A156">
            <v>46153</v>
          </cell>
          <cell r="F156">
            <v>739.17</v>
          </cell>
          <cell r="H156" t="str">
            <v xml:space="preserve">Bela Vista </v>
          </cell>
        </row>
        <row r="157">
          <cell r="A157">
            <v>46153</v>
          </cell>
          <cell r="F157">
            <v>1346.4</v>
          </cell>
          <cell r="H157" t="str">
            <v xml:space="preserve">Itapaci </v>
          </cell>
        </row>
        <row r="158">
          <cell r="A158">
            <v>46154</v>
          </cell>
          <cell r="F158">
            <v>824.36</v>
          </cell>
          <cell r="H158" t="str">
            <v xml:space="preserve">Bela Vista </v>
          </cell>
        </row>
        <row r="159">
          <cell r="A159">
            <v>46154</v>
          </cell>
          <cell r="F159">
            <v>1029.1099999999999</v>
          </cell>
          <cell r="H159" t="str">
            <v xml:space="preserve">Itapaci </v>
          </cell>
        </row>
        <row r="160">
          <cell r="A160">
            <v>46155</v>
          </cell>
          <cell r="F160">
            <v>572.02</v>
          </cell>
          <cell r="H160" t="str">
            <v xml:space="preserve">Bela Vista </v>
          </cell>
        </row>
        <row r="161">
          <cell r="A161">
            <v>46155</v>
          </cell>
          <cell r="F161">
            <v>912.29</v>
          </cell>
          <cell r="H161" t="str">
            <v xml:space="preserve">Itapaci </v>
          </cell>
        </row>
        <row r="162">
          <cell r="A162">
            <v>46156</v>
          </cell>
          <cell r="F162">
            <v>0</v>
          </cell>
          <cell r="H162" t="str">
            <v xml:space="preserve">Bela Vista </v>
          </cell>
        </row>
        <row r="163">
          <cell r="A163">
            <v>46156</v>
          </cell>
          <cell r="F163">
            <v>470.25</v>
          </cell>
          <cell r="H163" t="str">
            <v xml:space="preserve">Itapaci </v>
          </cell>
        </row>
        <row r="164">
          <cell r="A164">
            <v>46157</v>
          </cell>
          <cell r="F164">
            <v>1391.38</v>
          </cell>
          <cell r="H164" t="str">
            <v xml:space="preserve">Bela Vista </v>
          </cell>
        </row>
        <row r="165">
          <cell r="A165">
            <v>46157</v>
          </cell>
          <cell r="F165">
            <v>420.75</v>
          </cell>
          <cell r="H165" t="str">
            <v xml:space="preserve">Itapaci </v>
          </cell>
        </row>
        <row r="166">
          <cell r="A166">
            <v>46158</v>
          </cell>
          <cell r="F166">
            <v>778.59</v>
          </cell>
          <cell r="H166" t="str">
            <v xml:space="preserve">Bela Vista </v>
          </cell>
        </row>
        <row r="167">
          <cell r="A167">
            <v>46158</v>
          </cell>
          <cell r="F167">
            <v>222.75</v>
          </cell>
          <cell r="H167" t="str">
            <v xml:space="preserve">Itapaci </v>
          </cell>
        </row>
        <row r="168">
          <cell r="A168">
            <v>46159</v>
          </cell>
          <cell r="F168">
            <v>675.81</v>
          </cell>
          <cell r="H168" t="str">
            <v xml:space="preserve">Bela Vista </v>
          </cell>
        </row>
        <row r="169">
          <cell r="A169">
            <v>46160</v>
          </cell>
          <cell r="F169">
            <v>849.26</v>
          </cell>
          <cell r="H169" t="str">
            <v xml:space="preserve">Bela Vista </v>
          </cell>
        </row>
        <row r="170">
          <cell r="A170">
            <v>46160</v>
          </cell>
          <cell r="F170">
            <v>564.29999999999995</v>
          </cell>
          <cell r="H170" t="str">
            <v xml:space="preserve">Itapaci </v>
          </cell>
        </row>
        <row r="171">
          <cell r="A171">
            <v>46161</v>
          </cell>
          <cell r="F171">
            <v>552.24</v>
          </cell>
          <cell r="H171" t="str">
            <v xml:space="preserve">Bela Vista </v>
          </cell>
        </row>
        <row r="172">
          <cell r="A172">
            <v>46161</v>
          </cell>
          <cell r="F172">
            <v>504.9</v>
          </cell>
          <cell r="H172" t="str">
            <v xml:space="preserve">Itapaci </v>
          </cell>
        </row>
        <row r="173">
          <cell r="A173">
            <v>46162</v>
          </cell>
          <cell r="F173">
            <v>590.92999999999995</v>
          </cell>
          <cell r="H173" t="str">
            <v xml:space="preserve">Bela Vista </v>
          </cell>
        </row>
        <row r="174">
          <cell r="A174">
            <v>46162</v>
          </cell>
          <cell r="F174">
            <v>445.5</v>
          </cell>
          <cell r="H174" t="str">
            <v xml:space="preserve">Itapaci </v>
          </cell>
        </row>
        <row r="175">
          <cell r="A175">
            <v>46163</v>
          </cell>
          <cell r="F175">
            <v>1004.76</v>
          </cell>
          <cell r="H175" t="str">
            <v xml:space="preserve">Bela Vista </v>
          </cell>
        </row>
        <row r="176">
          <cell r="A176">
            <v>46163</v>
          </cell>
          <cell r="F176">
            <v>594</v>
          </cell>
          <cell r="H176" t="str">
            <v xml:space="preserve">Itapaci </v>
          </cell>
        </row>
        <row r="177">
          <cell r="A177">
            <v>46164</v>
          </cell>
          <cell r="F177">
            <v>1030.3499999999999</v>
          </cell>
          <cell r="H177" t="str">
            <v xml:space="preserve">Bela Vista </v>
          </cell>
        </row>
        <row r="178">
          <cell r="A178">
            <v>46164</v>
          </cell>
          <cell r="F178">
            <v>118.8</v>
          </cell>
          <cell r="H178" t="str">
            <v xml:space="preserve">Itapaci </v>
          </cell>
        </row>
        <row r="179">
          <cell r="A179">
            <v>46165</v>
          </cell>
          <cell r="F179">
            <v>781.02</v>
          </cell>
          <cell r="H179" t="str">
            <v xml:space="preserve">Bela Vista </v>
          </cell>
        </row>
        <row r="180">
          <cell r="A180">
            <v>46165</v>
          </cell>
          <cell r="F180"/>
          <cell r="H180" t="str">
            <v xml:space="preserve">Itapaci </v>
          </cell>
        </row>
        <row r="181">
          <cell r="A181">
            <v>46166</v>
          </cell>
          <cell r="F181">
            <v>289.79000000000002</v>
          </cell>
          <cell r="H181" t="str">
            <v xml:space="preserve">Bela Vista </v>
          </cell>
        </row>
        <row r="182">
          <cell r="A182">
            <v>46167</v>
          </cell>
          <cell r="F182">
            <v>541.59</v>
          </cell>
          <cell r="H182" t="str">
            <v xml:space="preserve">Bela Vista </v>
          </cell>
        </row>
        <row r="183">
          <cell r="A183">
            <v>46167</v>
          </cell>
          <cell r="F183">
            <v>99</v>
          </cell>
          <cell r="H183" t="str">
            <v xml:space="preserve">Itapaci </v>
          </cell>
        </row>
        <row r="184">
          <cell r="A184">
            <v>46168</v>
          </cell>
          <cell r="F184">
            <v>624.98</v>
          </cell>
          <cell r="H184" t="str">
            <v xml:space="preserve">Bela Vista </v>
          </cell>
        </row>
        <row r="185">
          <cell r="A185">
            <v>46168</v>
          </cell>
          <cell r="F185">
            <v>681.12</v>
          </cell>
          <cell r="H185" t="str">
            <v xml:space="preserve">Itapaci </v>
          </cell>
        </row>
        <row r="186">
          <cell r="A186">
            <v>46169</v>
          </cell>
          <cell r="F186">
            <v>120.54</v>
          </cell>
          <cell r="H186" t="str">
            <v xml:space="preserve">Bela Vista </v>
          </cell>
        </row>
        <row r="187">
          <cell r="A187">
            <v>46169</v>
          </cell>
          <cell r="F187">
            <v>396</v>
          </cell>
          <cell r="H187" t="str">
            <v xml:space="preserve">Itapaci </v>
          </cell>
        </row>
        <row r="188">
          <cell r="A188">
            <v>46170</v>
          </cell>
          <cell r="F188">
            <v>329.41</v>
          </cell>
          <cell r="H188" t="str">
            <v xml:space="preserve">Bela Vista </v>
          </cell>
        </row>
        <row r="189">
          <cell r="A189">
            <v>46170</v>
          </cell>
          <cell r="F189">
            <v>609.84</v>
          </cell>
          <cell r="H189" t="str">
            <v xml:space="preserve">Itapaci </v>
          </cell>
        </row>
        <row r="190">
          <cell r="A190">
            <v>46171</v>
          </cell>
          <cell r="F190">
            <v>463.99</v>
          </cell>
          <cell r="H190" t="str">
            <v xml:space="preserve">Bela Vista </v>
          </cell>
        </row>
        <row r="191">
          <cell r="A191">
            <v>46171</v>
          </cell>
          <cell r="F191">
            <v>495</v>
          </cell>
          <cell r="H191" t="str">
            <v xml:space="preserve">Itapaci </v>
          </cell>
        </row>
        <row r="192">
          <cell r="A192">
            <v>46172</v>
          </cell>
          <cell r="F192">
            <v>442.52</v>
          </cell>
          <cell r="H192" t="str">
            <v xml:space="preserve">Bela Vista </v>
          </cell>
        </row>
        <row r="193">
          <cell r="A193">
            <v>46172</v>
          </cell>
          <cell r="F193"/>
          <cell r="H193" t="str">
            <v xml:space="preserve">Itapaci </v>
          </cell>
        </row>
        <row r="194">
          <cell r="A194">
            <v>46173</v>
          </cell>
          <cell r="F194"/>
          <cell r="H194"/>
        </row>
        <row r="195">
          <cell r="A195">
            <v>46174</v>
          </cell>
          <cell r="F195">
            <v>962.65</v>
          </cell>
          <cell r="H195" t="str">
            <v xml:space="preserve">Bela Vista </v>
          </cell>
        </row>
        <row r="196">
          <cell r="A196">
            <v>46174</v>
          </cell>
          <cell r="F196">
            <v>375</v>
          </cell>
          <cell r="H196" t="str">
            <v xml:space="preserve">Itapaci </v>
          </cell>
        </row>
        <row r="197">
          <cell r="A197">
            <v>46175</v>
          </cell>
          <cell r="F197">
            <v>820.65</v>
          </cell>
          <cell r="H197" t="str">
            <v xml:space="preserve">Bela Vista </v>
          </cell>
        </row>
        <row r="198">
          <cell r="A198">
            <v>46175</v>
          </cell>
          <cell r="F198">
            <v>611.25</v>
          </cell>
          <cell r="H198" t="str">
            <v xml:space="preserve">Itapaci </v>
          </cell>
        </row>
        <row r="199">
          <cell r="A199">
            <v>46176</v>
          </cell>
          <cell r="F199">
            <v>855.32</v>
          </cell>
          <cell r="H199" t="str">
            <v xml:space="preserve">Bela Vista </v>
          </cell>
        </row>
        <row r="200">
          <cell r="A200">
            <v>46176</v>
          </cell>
          <cell r="F200">
            <v>602.25</v>
          </cell>
          <cell r="H200" t="str">
            <v xml:space="preserve">Itapaci </v>
          </cell>
        </row>
        <row r="201">
          <cell r="A201">
            <v>46177</v>
          </cell>
          <cell r="F201">
            <v>887.52</v>
          </cell>
          <cell r="H201" t="str">
            <v xml:space="preserve">Bela Vista </v>
          </cell>
        </row>
        <row r="202">
          <cell r="A202">
            <v>46177</v>
          </cell>
          <cell r="F202">
            <v>438.57</v>
          </cell>
          <cell r="H202" t="str">
            <v xml:space="preserve">Itapaci </v>
          </cell>
        </row>
        <row r="203">
          <cell r="A203">
            <v>46178</v>
          </cell>
          <cell r="F203">
            <v>1063.3699999999999</v>
          </cell>
          <cell r="H203" t="str">
            <v xml:space="preserve">Bela Vista </v>
          </cell>
        </row>
        <row r="204">
          <cell r="A204">
            <v>46178</v>
          </cell>
          <cell r="F204">
            <v>412.5</v>
          </cell>
          <cell r="H204" t="str">
            <v xml:space="preserve">Itapaci </v>
          </cell>
        </row>
        <row r="205">
          <cell r="A205">
            <v>46179</v>
          </cell>
          <cell r="F205">
            <v>589.48</v>
          </cell>
          <cell r="H205" t="str">
            <v xml:space="preserve">Bela Vista </v>
          </cell>
        </row>
        <row r="206">
          <cell r="A206">
            <v>46179</v>
          </cell>
          <cell r="F206">
            <v>300</v>
          </cell>
          <cell r="H206" t="str">
            <v xml:space="preserve">Itapaci </v>
          </cell>
        </row>
        <row r="207">
          <cell r="A207">
            <v>46180</v>
          </cell>
          <cell r="F207"/>
          <cell r="H207"/>
        </row>
        <row r="208">
          <cell r="A208">
            <v>46181</v>
          </cell>
          <cell r="F208">
            <v>758.98</v>
          </cell>
          <cell r="H208" t="str">
            <v xml:space="preserve">Bela Vista </v>
          </cell>
        </row>
        <row r="209">
          <cell r="A209">
            <v>46181</v>
          </cell>
          <cell r="F209">
            <v>870.38</v>
          </cell>
          <cell r="H209" t="str">
            <v xml:space="preserve">Itapaci </v>
          </cell>
        </row>
        <row r="210">
          <cell r="A210">
            <v>46182</v>
          </cell>
          <cell r="F210">
            <v>537.07000000000005</v>
          </cell>
          <cell r="H210" t="str">
            <v xml:space="preserve">Bela Vista </v>
          </cell>
        </row>
        <row r="211">
          <cell r="A211">
            <v>46182</v>
          </cell>
          <cell r="F211">
            <v>618.75</v>
          </cell>
          <cell r="H211" t="str">
            <v xml:space="preserve">Itapaci </v>
          </cell>
        </row>
        <row r="212">
          <cell r="A212">
            <v>46183</v>
          </cell>
          <cell r="F212">
            <v>631.62</v>
          </cell>
          <cell r="H212" t="str">
            <v xml:space="preserve">Bela Vista </v>
          </cell>
        </row>
        <row r="213">
          <cell r="A213">
            <v>46183</v>
          </cell>
          <cell r="F213">
            <v>555.75</v>
          </cell>
          <cell r="H213" t="str">
            <v xml:space="preserve">Itapaci </v>
          </cell>
        </row>
        <row r="214">
          <cell r="A214">
            <v>46184</v>
          </cell>
          <cell r="F214">
            <v>936.4</v>
          </cell>
          <cell r="H214" t="str">
            <v xml:space="preserve">Bela Vista </v>
          </cell>
        </row>
        <row r="215">
          <cell r="A215">
            <v>46184</v>
          </cell>
          <cell r="F215">
            <v>472.5</v>
          </cell>
          <cell r="H215" t="str">
            <v xml:space="preserve">Itapaci </v>
          </cell>
        </row>
        <row r="216">
          <cell r="A216">
            <v>46185</v>
          </cell>
          <cell r="F216">
            <v>959.79</v>
          </cell>
          <cell r="H216" t="str">
            <v xml:space="preserve">Bela Vista </v>
          </cell>
        </row>
        <row r="217">
          <cell r="A217">
            <v>46185</v>
          </cell>
          <cell r="F217">
            <v>468.19</v>
          </cell>
          <cell r="H217" t="str">
            <v xml:space="preserve">Itapaci </v>
          </cell>
        </row>
        <row r="218">
          <cell r="A218">
            <v>46186</v>
          </cell>
          <cell r="F218">
            <v>562.66</v>
          </cell>
          <cell r="H218" t="str">
            <v xml:space="preserve">Bela Vista </v>
          </cell>
        </row>
        <row r="219">
          <cell r="A219">
            <v>46186</v>
          </cell>
          <cell r="F219" t="str">
            <v>MANUTENÇÃO</v>
          </cell>
          <cell r="H219" t="str">
            <v xml:space="preserve">Itapaci </v>
          </cell>
        </row>
        <row r="220">
          <cell r="A220">
            <v>46187</v>
          </cell>
          <cell r="F220">
            <v>447.54</v>
          </cell>
          <cell r="H220" t="str">
            <v xml:space="preserve">Bela Vista </v>
          </cell>
        </row>
        <row r="221">
          <cell r="A221">
            <v>46188</v>
          </cell>
          <cell r="F221">
            <v>1020.63</v>
          </cell>
          <cell r="H221" t="str">
            <v xml:space="preserve">Bela Vista </v>
          </cell>
        </row>
        <row r="222">
          <cell r="A222">
            <v>46188</v>
          </cell>
          <cell r="F222">
            <v>300</v>
          </cell>
          <cell r="H222" t="str">
            <v xml:space="preserve">Itapaci </v>
          </cell>
        </row>
        <row r="223">
          <cell r="A223">
            <v>46189</v>
          </cell>
          <cell r="F223">
            <v>928.06</v>
          </cell>
          <cell r="H223" t="str">
            <v xml:space="preserve">Bela Vista </v>
          </cell>
        </row>
        <row r="224">
          <cell r="A224">
            <v>46189</v>
          </cell>
          <cell r="F224">
            <v>412.5</v>
          </cell>
          <cell r="H224" t="str">
            <v xml:space="preserve">Itapaci </v>
          </cell>
        </row>
        <row r="225">
          <cell r="A225">
            <v>46190</v>
          </cell>
          <cell r="F225">
            <v>494</v>
          </cell>
          <cell r="H225" t="str">
            <v xml:space="preserve">Bela Vista </v>
          </cell>
        </row>
        <row r="226">
          <cell r="A226">
            <v>46190</v>
          </cell>
          <cell r="F226">
            <v>412.5</v>
          </cell>
          <cell r="H226" t="str">
            <v xml:space="preserve">Itapaci </v>
          </cell>
        </row>
        <row r="227">
          <cell r="A227">
            <v>46191</v>
          </cell>
          <cell r="F227">
            <v>818.37</v>
          </cell>
          <cell r="H227" t="str">
            <v xml:space="preserve">Bela Vista </v>
          </cell>
        </row>
        <row r="228">
          <cell r="A228">
            <v>46191</v>
          </cell>
          <cell r="F228">
            <v>412.5</v>
          </cell>
          <cell r="H228" t="str">
            <v xml:space="preserve">Itapaci </v>
          </cell>
        </row>
        <row r="229">
          <cell r="A229">
            <v>46192</v>
          </cell>
          <cell r="F229">
            <v>594.33000000000004</v>
          </cell>
          <cell r="H229" t="str">
            <v xml:space="preserve">Bela Vista </v>
          </cell>
        </row>
        <row r="230">
          <cell r="A230">
            <v>46192</v>
          </cell>
          <cell r="F230">
            <v>911.25</v>
          </cell>
          <cell r="H230" t="str">
            <v xml:space="preserve">Itapaci </v>
          </cell>
        </row>
        <row r="231">
          <cell r="A231">
            <v>46193</v>
          </cell>
          <cell r="F231">
            <v>150.13999999999999</v>
          </cell>
          <cell r="H231" t="str">
            <v xml:space="preserve">Bela Vista </v>
          </cell>
        </row>
        <row r="232">
          <cell r="A232">
            <v>46193</v>
          </cell>
          <cell r="F232">
            <v>810</v>
          </cell>
          <cell r="H232" t="str">
            <v xml:space="preserve">Itapaci </v>
          </cell>
        </row>
        <row r="233">
          <cell r="A233">
            <v>46194</v>
          </cell>
          <cell r="F233">
            <v>0</v>
          </cell>
          <cell r="H233" t="str">
            <v xml:space="preserve">Bela Vista </v>
          </cell>
        </row>
        <row r="234">
          <cell r="A234">
            <v>46194</v>
          </cell>
          <cell r="F234">
            <v>969</v>
          </cell>
          <cell r="H234" t="str">
            <v xml:space="preserve">Itapaci </v>
          </cell>
        </row>
        <row r="235">
          <cell r="A235">
            <v>46195</v>
          </cell>
          <cell r="F235">
            <v>940.51</v>
          </cell>
          <cell r="H235" t="str">
            <v xml:space="preserve">Bela Vista </v>
          </cell>
        </row>
        <row r="236">
          <cell r="A236">
            <v>46195</v>
          </cell>
          <cell r="F236">
            <v>1390.13</v>
          </cell>
          <cell r="H236" t="str">
            <v xml:space="preserve">Itapaci </v>
          </cell>
        </row>
        <row r="237">
          <cell r="A237">
            <v>46196</v>
          </cell>
          <cell r="F237">
            <v>1025.98</v>
          </cell>
          <cell r="H237" t="str">
            <v xml:space="preserve">Bela Vista </v>
          </cell>
        </row>
        <row r="238">
          <cell r="A238">
            <v>46196</v>
          </cell>
          <cell r="F238">
            <v>2227.21</v>
          </cell>
          <cell r="H238" t="str">
            <v xml:space="preserve">Itapaci </v>
          </cell>
        </row>
        <row r="239">
          <cell r="A239">
            <v>46197</v>
          </cell>
          <cell r="F239">
            <v>1057.2</v>
          </cell>
          <cell r="H239" t="str">
            <v xml:space="preserve">Bela Vista </v>
          </cell>
        </row>
        <row r="240">
          <cell r="A240">
            <v>46197</v>
          </cell>
          <cell r="F240">
            <v>1947</v>
          </cell>
          <cell r="H240" t="str">
            <v xml:space="preserve">Itapaci </v>
          </cell>
        </row>
        <row r="241">
          <cell r="A241">
            <v>46198</v>
          </cell>
          <cell r="F241">
            <v>1023.31</v>
          </cell>
          <cell r="H241" t="str">
            <v xml:space="preserve">Bela Vista </v>
          </cell>
        </row>
        <row r="242">
          <cell r="A242">
            <v>46198</v>
          </cell>
          <cell r="F242">
            <v>1945.2</v>
          </cell>
          <cell r="H242" t="str">
            <v xml:space="preserve">Itapaci </v>
          </cell>
        </row>
        <row r="243">
          <cell r="A243">
            <v>46199</v>
          </cell>
          <cell r="F243">
            <v>1012.28</v>
          </cell>
          <cell r="H243" t="str">
            <v xml:space="preserve">Bela Vista </v>
          </cell>
        </row>
        <row r="244">
          <cell r="A244">
            <v>46199</v>
          </cell>
          <cell r="F244">
            <v>1554.75</v>
          </cell>
          <cell r="H244" t="str">
            <v xml:space="preserve">Itapaci </v>
          </cell>
        </row>
        <row r="245">
          <cell r="A245">
            <v>46200</v>
          </cell>
          <cell r="F245">
            <v>650.35</v>
          </cell>
          <cell r="H245" t="str">
            <v xml:space="preserve">Bela Vista </v>
          </cell>
        </row>
        <row r="246">
          <cell r="A246">
            <v>46200</v>
          </cell>
          <cell r="F246">
            <v>0</v>
          </cell>
          <cell r="H246" t="str">
            <v xml:space="preserve">Itapaci </v>
          </cell>
        </row>
        <row r="247">
          <cell r="A247">
            <v>46201</v>
          </cell>
          <cell r="F247">
            <v>650.35</v>
          </cell>
          <cell r="H247" t="str">
            <v xml:space="preserve">Bela Vista </v>
          </cell>
        </row>
        <row r="248">
          <cell r="A248">
            <v>46201</v>
          </cell>
          <cell r="F248">
            <v>1588.5</v>
          </cell>
          <cell r="H248" t="str">
            <v xml:space="preserve">Itapaci </v>
          </cell>
        </row>
        <row r="249">
          <cell r="A249">
            <v>46202</v>
          </cell>
          <cell r="F249">
            <v>1053.83</v>
          </cell>
          <cell r="H249" t="str">
            <v xml:space="preserve">Bela Vista </v>
          </cell>
        </row>
        <row r="250">
          <cell r="A250">
            <v>46202</v>
          </cell>
          <cell r="F250">
            <v>1261</v>
          </cell>
          <cell r="H250" t="str">
            <v xml:space="preserve">Itapaci </v>
          </cell>
        </row>
        <row r="251">
          <cell r="A251">
            <v>46203</v>
          </cell>
          <cell r="F251">
            <v>1388.66</v>
          </cell>
          <cell r="H251" t="str">
            <v xml:space="preserve">Bela Vista </v>
          </cell>
        </row>
        <row r="252">
          <cell r="A252">
            <v>46203</v>
          </cell>
          <cell r="F252">
            <v>1956.5</v>
          </cell>
          <cell r="H252" t="str">
            <v xml:space="preserve">Itapaci </v>
          </cell>
        </row>
        <row r="253">
          <cell r="A253">
            <v>46204</v>
          </cell>
          <cell r="F253">
            <v>663.85</v>
          </cell>
          <cell r="H253" t="str">
            <v xml:space="preserve">Bela Vista </v>
          </cell>
        </row>
        <row r="254">
          <cell r="A254">
            <v>46204</v>
          </cell>
          <cell r="F254">
            <v>1969.5</v>
          </cell>
          <cell r="H254" t="str">
            <v xml:space="preserve">Itapaci </v>
          </cell>
        </row>
        <row r="255">
          <cell r="A255">
            <v>46205</v>
          </cell>
          <cell r="F255">
            <v>467.53</v>
          </cell>
          <cell r="H255" t="str">
            <v xml:space="preserve">Bela Vista </v>
          </cell>
        </row>
        <row r="256">
          <cell r="A256">
            <v>46205</v>
          </cell>
          <cell r="F256">
            <v>1840</v>
          </cell>
          <cell r="H256" t="str">
            <v xml:space="preserve">Itapaci </v>
          </cell>
        </row>
        <row r="257">
          <cell r="A257">
            <v>46206</v>
          </cell>
          <cell r="F257">
            <v>1043.82</v>
          </cell>
          <cell r="H257" t="str">
            <v xml:space="preserve">Bela Vista </v>
          </cell>
        </row>
        <row r="258">
          <cell r="A258">
            <v>46206</v>
          </cell>
          <cell r="F258">
            <v>1335</v>
          </cell>
          <cell r="H258" t="str">
            <v xml:space="preserve">Itapaci </v>
          </cell>
        </row>
        <row r="259">
          <cell r="A259">
            <v>46207</v>
          </cell>
          <cell r="F259">
            <v>581.97</v>
          </cell>
          <cell r="H259" t="str">
            <v xml:space="preserve">Bela Vista </v>
          </cell>
        </row>
        <row r="260">
          <cell r="A260">
            <v>46207</v>
          </cell>
          <cell r="F260">
            <v>688.5</v>
          </cell>
          <cell r="H260" t="str">
            <v xml:space="preserve">Itapaci </v>
          </cell>
        </row>
        <row r="261">
          <cell r="A261">
            <v>46208</v>
          </cell>
          <cell r="F261"/>
          <cell r="H261" t="str">
            <v xml:space="preserve">Bela Vista </v>
          </cell>
        </row>
        <row r="262">
          <cell r="A262">
            <v>46209</v>
          </cell>
          <cell r="F262">
            <v>961.95</v>
          </cell>
          <cell r="H262" t="str">
            <v xml:space="preserve">Bela Vista </v>
          </cell>
        </row>
        <row r="263">
          <cell r="A263">
            <v>46209</v>
          </cell>
          <cell r="F263">
            <v>2070</v>
          </cell>
          <cell r="H263" t="str">
            <v xml:space="preserve">Itapaci </v>
          </cell>
        </row>
        <row r="264">
          <cell r="A264">
            <v>46210</v>
          </cell>
          <cell r="F264">
            <v>819.17</v>
          </cell>
          <cell r="H264" t="str">
            <v xml:space="preserve">Bela Vista </v>
          </cell>
        </row>
        <row r="265">
          <cell r="A265">
            <v>46210</v>
          </cell>
          <cell r="F265">
            <v>1870</v>
          </cell>
          <cell r="H265" t="str">
            <v xml:space="preserve">Itapaci </v>
          </cell>
        </row>
        <row r="266">
          <cell r="A266">
            <v>46211</v>
          </cell>
          <cell r="F266">
            <v>804.45</v>
          </cell>
          <cell r="H266" t="str">
            <v xml:space="preserve">Bela Vista </v>
          </cell>
        </row>
        <row r="267">
          <cell r="A267">
            <v>46211</v>
          </cell>
          <cell r="F267">
            <v>2319.2469999999998</v>
          </cell>
          <cell r="H267" t="str">
            <v xml:space="preserve">Itapaci </v>
          </cell>
        </row>
        <row r="268">
          <cell r="A268">
            <v>46212</v>
          </cell>
          <cell r="F268">
            <v>966.37</v>
          </cell>
          <cell r="H268" t="str">
            <v xml:space="preserve">Bela Vista </v>
          </cell>
        </row>
        <row r="269">
          <cell r="A269">
            <v>46212</v>
          </cell>
          <cell r="F269">
            <v>1987.12</v>
          </cell>
          <cell r="H269" t="str">
            <v xml:space="preserve">Itapaci </v>
          </cell>
        </row>
        <row r="270">
          <cell r="A270">
            <v>46213</v>
          </cell>
          <cell r="F270">
            <v>705.64</v>
          </cell>
          <cell r="H270" t="str">
            <v xml:space="preserve">Bela Vista </v>
          </cell>
        </row>
        <row r="271">
          <cell r="A271">
            <v>46213</v>
          </cell>
          <cell r="F271">
            <v>1902.18</v>
          </cell>
          <cell r="H271" t="str">
            <v xml:space="preserve">Itapaci </v>
          </cell>
        </row>
        <row r="272">
          <cell r="A272">
            <v>46214</v>
          </cell>
          <cell r="F272">
            <v>797.43</v>
          </cell>
          <cell r="H272" t="str">
            <v xml:space="preserve">Bela Vista </v>
          </cell>
        </row>
        <row r="273">
          <cell r="A273">
            <v>46214</v>
          </cell>
          <cell r="F273">
            <v>271.39999999999998</v>
          </cell>
          <cell r="H273" t="str">
            <v xml:space="preserve">Itapaci </v>
          </cell>
        </row>
        <row r="274">
          <cell r="A274">
            <v>46215</v>
          </cell>
          <cell r="F274">
            <v>0</v>
          </cell>
          <cell r="H274" t="str">
            <v xml:space="preserve">Itapaci </v>
          </cell>
        </row>
        <row r="275">
          <cell r="A275">
            <v>46216</v>
          </cell>
          <cell r="F275">
            <v>0</v>
          </cell>
          <cell r="H275" t="str">
            <v xml:space="preserve">Bela Vista </v>
          </cell>
        </row>
        <row r="276">
          <cell r="A276">
            <v>46216</v>
          </cell>
          <cell r="F276">
            <v>2478</v>
          </cell>
          <cell r="H276" t="str">
            <v xml:space="preserve">Itapaci </v>
          </cell>
        </row>
        <row r="277">
          <cell r="A277">
            <v>46217</v>
          </cell>
          <cell r="F277">
            <v>441.6</v>
          </cell>
          <cell r="H277" t="str">
            <v xml:space="preserve">Bela Vista </v>
          </cell>
        </row>
        <row r="278">
          <cell r="A278">
            <v>46217</v>
          </cell>
          <cell r="F278">
            <v>2208</v>
          </cell>
          <cell r="H278" t="str">
            <v xml:space="preserve">Itapaci </v>
          </cell>
        </row>
        <row r="279">
          <cell r="A279">
            <v>46218</v>
          </cell>
          <cell r="F279">
            <v>473.98</v>
          </cell>
          <cell r="H279" t="str">
            <v xml:space="preserve">Bela Vista </v>
          </cell>
        </row>
        <row r="280">
          <cell r="A280">
            <v>46218</v>
          </cell>
          <cell r="F280">
            <v>1471.5</v>
          </cell>
          <cell r="H280" t="str">
            <v xml:space="preserve">Itapaci </v>
          </cell>
        </row>
        <row r="281">
          <cell r="A281">
            <v>46219</v>
          </cell>
          <cell r="F281">
            <v>801.5</v>
          </cell>
          <cell r="H281" t="str">
            <v xml:space="preserve">Bela Vista </v>
          </cell>
        </row>
        <row r="282">
          <cell r="A282">
            <v>46219</v>
          </cell>
          <cell r="F282">
            <v>1912.95</v>
          </cell>
          <cell r="H282" t="str">
            <v xml:space="preserve">Itapaci </v>
          </cell>
        </row>
        <row r="283">
          <cell r="A283">
            <v>46220</v>
          </cell>
          <cell r="F283">
            <v>651.36</v>
          </cell>
          <cell r="H283" t="str">
            <v xml:space="preserve">Bela Vista </v>
          </cell>
        </row>
        <row r="284">
          <cell r="A284">
            <v>46220</v>
          </cell>
          <cell r="F284">
            <v>1941.06</v>
          </cell>
          <cell r="H284" t="str">
            <v xml:space="preserve">Itapaci </v>
          </cell>
        </row>
        <row r="285">
          <cell r="A285">
            <v>46221</v>
          </cell>
          <cell r="F285">
            <v>549.79</v>
          </cell>
          <cell r="H285" t="str">
            <v xml:space="preserve">Bela Vista </v>
          </cell>
        </row>
        <row r="286">
          <cell r="A286">
            <v>46221</v>
          </cell>
          <cell r="F286">
            <v>1260.5899999999999</v>
          </cell>
          <cell r="H286" t="str">
            <v xml:space="preserve">Itapaci </v>
          </cell>
        </row>
        <row r="287">
          <cell r="A287">
            <v>46222</v>
          </cell>
          <cell r="F287">
            <v>0</v>
          </cell>
          <cell r="H287" t="str">
            <v xml:space="preserve">Itapaci </v>
          </cell>
        </row>
        <row r="288">
          <cell r="A288">
            <v>46223</v>
          </cell>
          <cell r="F288">
            <v>482.08</v>
          </cell>
          <cell r="H288" t="str">
            <v xml:space="preserve">Bela Vista </v>
          </cell>
        </row>
        <row r="289">
          <cell r="A289">
            <v>46223</v>
          </cell>
          <cell r="F289">
            <v>1754.4</v>
          </cell>
          <cell r="H289" t="str">
            <v xml:space="preserve">Itapaci </v>
          </cell>
        </row>
        <row r="290">
          <cell r="A290">
            <v>46224</v>
          </cell>
          <cell r="F290">
            <v>450.48</v>
          </cell>
          <cell r="H290" t="str">
            <v xml:space="preserve">Bela Vista </v>
          </cell>
        </row>
        <row r="291">
          <cell r="A291">
            <v>46224</v>
          </cell>
          <cell r="F291">
            <v>1621.77</v>
          </cell>
          <cell r="H291" t="str">
            <v xml:space="preserve">Itapaci </v>
          </cell>
        </row>
        <row r="292">
          <cell r="A292">
            <v>46225</v>
          </cell>
          <cell r="F292">
            <v>460.56</v>
          </cell>
          <cell r="H292" t="str">
            <v xml:space="preserve">Bela Vista </v>
          </cell>
        </row>
        <row r="293">
          <cell r="A293">
            <v>46225</v>
          </cell>
          <cell r="F293">
            <v>1750.21</v>
          </cell>
          <cell r="H293" t="str">
            <v xml:space="preserve">Itapaci </v>
          </cell>
        </row>
        <row r="294">
          <cell r="A294">
            <v>46226</v>
          </cell>
          <cell r="F294">
            <v>1298.8</v>
          </cell>
          <cell r="H294" t="str">
            <v xml:space="preserve">Bela Vista </v>
          </cell>
        </row>
        <row r="295">
          <cell r="A295">
            <v>46226</v>
          </cell>
          <cell r="F295">
            <v>1522.45</v>
          </cell>
          <cell r="H295" t="str">
            <v xml:space="preserve">Itapaci </v>
          </cell>
        </row>
        <row r="296">
          <cell r="A296">
            <v>46227</v>
          </cell>
          <cell r="F296">
            <v>698.37</v>
          </cell>
          <cell r="H296" t="str">
            <v xml:space="preserve">Bela Vista </v>
          </cell>
        </row>
        <row r="297">
          <cell r="A297">
            <v>46227</v>
          </cell>
          <cell r="F297">
            <v>1932.19</v>
          </cell>
          <cell r="H297" t="str">
            <v xml:space="preserve">Itapaci </v>
          </cell>
        </row>
        <row r="298">
          <cell r="A298">
            <v>46228</v>
          </cell>
          <cell r="F298">
            <v>540.70000000000005</v>
          </cell>
          <cell r="H298" t="str">
            <v xml:space="preserve">Bela Vista </v>
          </cell>
        </row>
        <row r="299">
          <cell r="A299">
            <v>46228</v>
          </cell>
          <cell r="F299">
            <v>880.18</v>
          </cell>
          <cell r="H299" t="str">
            <v xml:space="preserve">Itapaci </v>
          </cell>
        </row>
        <row r="300">
          <cell r="A300">
            <v>46229</v>
          </cell>
          <cell r="F300">
            <v>0</v>
          </cell>
          <cell r="H300" t="str">
            <v xml:space="preserve">Itapaci </v>
          </cell>
        </row>
        <row r="301">
          <cell r="A301">
            <v>46230</v>
          </cell>
          <cell r="F301"/>
          <cell r="H301" t="str">
            <v xml:space="preserve">Bela Vista </v>
          </cell>
        </row>
        <row r="302">
          <cell r="A302">
            <v>46230</v>
          </cell>
          <cell r="F302"/>
          <cell r="H302" t="str">
            <v xml:space="preserve">Itapaci </v>
          </cell>
        </row>
        <row r="303">
          <cell r="A303">
            <v>46231</v>
          </cell>
          <cell r="F303"/>
          <cell r="H303" t="str">
            <v xml:space="preserve">Bela Vista </v>
          </cell>
        </row>
        <row r="304">
          <cell r="A304">
            <v>46231</v>
          </cell>
          <cell r="F304"/>
          <cell r="H304" t="str">
            <v xml:space="preserve">Itapaci </v>
          </cell>
        </row>
        <row r="305">
          <cell r="A305">
            <v>46232</v>
          </cell>
          <cell r="F305"/>
          <cell r="H305" t="str">
            <v xml:space="preserve">Bela Vista </v>
          </cell>
        </row>
        <row r="306">
          <cell r="A306">
            <v>46232</v>
          </cell>
          <cell r="F306"/>
          <cell r="H306" t="str">
            <v xml:space="preserve">Itapaci </v>
          </cell>
        </row>
        <row r="307">
          <cell r="A307">
            <v>46233</v>
          </cell>
          <cell r="F307"/>
          <cell r="H307" t="str">
            <v xml:space="preserve">Bela Vista </v>
          </cell>
        </row>
        <row r="308">
          <cell r="A308">
            <v>46233</v>
          </cell>
          <cell r="F308"/>
          <cell r="H308" t="str">
            <v xml:space="preserve">Itapaci </v>
          </cell>
        </row>
        <row r="309">
          <cell r="A309">
            <v>46234</v>
          </cell>
          <cell r="F309"/>
          <cell r="H309" t="str">
            <v xml:space="preserve">Bela Vista </v>
          </cell>
        </row>
        <row r="310">
          <cell r="A310">
            <v>46234</v>
          </cell>
          <cell r="F310"/>
          <cell r="H310" t="str">
            <v xml:space="preserve">Itapaci </v>
          </cell>
        </row>
        <row r="311">
          <cell r="A311">
            <v>46235</v>
          </cell>
          <cell r="F311"/>
          <cell r="H311" t="str">
            <v xml:space="preserve">Bela Vista </v>
          </cell>
        </row>
        <row r="312">
          <cell r="A312">
            <v>46235</v>
          </cell>
          <cell r="F312"/>
          <cell r="H312" t="str">
            <v xml:space="preserve">Itapaci </v>
          </cell>
        </row>
        <row r="313">
          <cell r="A313">
            <v>46236</v>
          </cell>
          <cell r="F313"/>
          <cell r="H313" t="str">
            <v xml:space="preserve">Itapaci </v>
          </cell>
        </row>
        <row r="314">
          <cell r="A314">
            <v>46237</v>
          </cell>
          <cell r="F314"/>
          <cell r="H314"/>
        </row>
        <row r="315">
          <cell r="A315">
            <v>46238</v>
          </cell>
          <cell r="F315"/>
          <cell r="H315"/>
        </row>
        <row r="316">
          <cell r="A316">
            <v>46239</v>
          </cell>
          <cell r="F316"/>
          <cell r="H316"/>
        </row>
        <row r="317">
          <cell r="A317">
            <v>46240</v>
          </cell>
          <cell r="F317"/>
          <cell r="H317"/>
        </row>
        <row r="318">
          <cell r="A318">
            <v>46241</v>
          </cell>
          <cell r="F318"/>
          <cell r="H318"/>
        </row>
        <row r="319">
          <cell r="A319">
            <v>46242</v>
          </cell>
          <cell r="F319"/>
          <cell r="H319"/>
        </row>
        <row r="320">
          <cell r="A320">
            <v>46243</v>
          </cell>
          <cell r="F320"/>
          <cell r="H320"/>
        </row>
        <row r="321">
          <cell r="A321">
            <v>46244</v>
          </cell>
          <cell r="F321"/>
          <cell r="H321"/>
        </row>
        <row r="322">
          <cell r="A322">
            <v>46245</v>
          </cell>
          <cell r="F322"/>
          <cell r="H322"/>
        </row>
        <row r="323">
          <cell r="A323">
            <v>46246</v>
          </cell>
          <cell r="F323"/>
          <cell r="H323"/>
        </row>
        <row r="324">
          <cell r="A324">
            <v>46247</v>
          </cell>
          <cell r="F324"/>
          <cell r="H324"/>
        </row>
        <row r="325">
          <cell r="A325">
            <v>46248</v>
          </cell>
          <cell r="F325"/>
          <cell r="H325"/>
        </row>
        <row r="326">
          <cell r="A326">
            <v>46249</v>
          </cell>
          <cell r="F326"/>
          <cell r="H326"/>
        </row>
        <row r="327">
          <cell r="A327">
            <v>46250</v>
          </cell>
          <cell r="F327"/>
          <cell r="H327"/>
        </row>
        <row r="328">
          <cell r="A328">
            <v>46251</v>
          </cell>
          <cell r="F328"/>
          <cell r="H328"/>
        </row>
        <row r="329">
          <cell r="A329">
            <v>46252</v>
          </cell>
          <cell r="F329"/>
          <cell r="H329"/>
        </row>
        <row r="330">
          <cell r="A330">
            <v>46253</v>
          </cell>
          <cell r="F330"/>
          <cell r="H330"/>
        </row>
        <row r="331">
          <cell r="A331">
            <v>46254</v>
          </cell>
          <cell r="F331"/>
          <cell r="H331"/>
        </row>
        <row r="332">
          <cell r="A332">
            <v>46255</v>
          </cell>
          <cell r="F332"/>
          <cell r="H332"/>
        </row>
        <row r="333">
          <cell r="A333">
            <v>46256</v>
          </cell>
          <cell r="F333"/>
          <cell r="H333"/>
        </row>
        <row r="334">
          <cell r="A334">
            <v>46257</v>
          </cell>
          <cell r="F334"/>
          <cell r="H334"/>
        </row>
        <row r="335">
          <cell r="A335">
            <v>46258</v>
          </cell>
          <cell r="F335"/>
          <cell r="H335"/>
        </row>
        <row r="336">
          <cell r="A336">
            <v>46259</v>
          </cell>
          <cell r="F336"/>
          <cell r="H336"/>
        </row>
        <row r="337">
          <cell r="A337">
            <v>46260</v>
          </cell>
          <cell r="F337"/>
          <cell r="H337"/>
        </row>
        <row r="338">
          <cell r="A338">
            <v>46261</v>
          </cell>
          <cell r="F338"/>
          <cell r="H338"/>
        </row>
        <row r="339">
          <cell r="A339">
            <v>46262</v>
          </cell>
          <cell r="F339"/>
          <cell r="H339"/>
        </row>
        <row r="340">
          <cell r="A340">
            <v>46263</v>
          </cell>
          <cell r="F340"/>
          <cell r="H340"/>
        </row>
        <row r="341">
          <cell r="A341">
            <v>46264</v>
          </cell>
          <cell r="F341"/>
          <cell r="H341"/>
        </row>
        <row r="342">
          <cell r="A342">
            <v>46265</v>
          </cell>
          <cell r="F342"/>
          <cell r="H342"/>
        </row>
        <row r="343">
          <cell r="A343">
            <v>46266</v>
          </cell>
          <cell r="F343"/>
          <cell r="H343"/>
        </row>
        <row r="344">
          <cell r="A344">
            <v>46267</v>
          </cell>
          <cell r="F344"/>
          <cell r="H344"/>
        </row>
        <row r="345">
          <cell r="A345">
            <v>46268</v>
          </cell>
          <cell r="F345"/>
          <cell r="H345"/>
        </row>
        <row r="346">
          <cell r="A346">
            <v>46269</v>
          </cell>
          <cell r="F346"/>
          <cell r="H346"/>
        </row>
        <row r="347">
          <cell r="A347">
            <v>46270</v>
          </cell>
          <cell r="F347"/>
          <cell r="H347"/>
        </row>
        <row r="348">
          <cell r="A348">
            <v>46271</v>
          </cell>
          <cell r="F348"/>
          <cell r="H348"/>
        </row>
        <row r="349">
          <cell r="A349">
            <v>46272</v>
          </cell>
          <cell r="F349"/>
          <cell r="H349"/>
        </row>
        <row r="350">
          <cell r="A350">
            <v>46273</v>
          </cell>
          <cell r="F350"/>
          <cell r="H350"/>
        </row>
        <row r="351">
          <cell r="A351">
            <v>46274</v>
          </cell>
          <cell r="F351"/>
          <cell r="H351"/>
        </row>
        <row r="352">
          <cell r="A352">
            <v>46275</v>
          </cell>
          <cell r="F352"/>
          <cell r="H352"/>
        </row>
        <row r="353">
          <cell r="A353">
            <v>46276</v>
          </cell>
          <cell r="F353"/>
          <cell r="H353"/>
        </row>
        <row r="354">
          <cell r="A354">
            <v>46277</v>
          </cell>
          <cell r="F354"/>
          <cell r="H354"/>
        </row>
        <row r="355">
          <cell r="A355">
            <v>46278</v>
          </cell>
          <cell r="F355"/>
          <cell r="H355"/>
        </row>
        <row r="356">
          <cell r="A356">
            <v>46279</v>
          </cell>
          <cell r="F356"/>
          <cell r="H356"/>
        </row>
        <row r="357">
          <cell r="A357">
            <v>46280</v>
          </cell>
          <cell r="F357"/>
          <cell r="H357"/>
        </row>
        <row r="358">
          <cell r="A358">
            <v>46281</v>
          </cell>
          <cell r="F358"/>
          <cell r="H358"/>
        </row>
        <row r="359">
          <cell r="A359">
            <v>46282</v>
          </cell>
          <cell r="F359"/>
          <cell r="H359"/>
        </row>
        <row r="360">
          <cell r="A360">
            <v>46283</v>
          </cell>
          <cell r="F360"/>
          <cell r="H360"/>
        </row>
        <row r="361">
          <cell r="A361">
            <v>46284</v>
          </cell>
          <cell r="F361"/>
          <cell r="H361"/>
        </row>
        <row r="362">
          <cell r="A362">
            <v>46285</v>
          </cell>
          <cell r="F362"/>
          <cell r="H362"/>
        </row>
        <row r="363">
          <cell r="A363">
            <v>46286</v>
          </cell>
          <cell r="F363"/>
          <cell r="H363"/>
        </row>
        <row r="364">
          <cell r="A364">
            <v>46287</v>
          </cell>
          <cell r="F364"/>
          <cell r="H364"/>
        </row>
        <row r="365">
          <cell r="A365">
            <v>46288</v>
          </cell>
          <cell r="F365"/>
          <cell r="H365"/>
        </row>
        <row r="366">
          <cell r="A366">
            <v>46289</v>
          </cell>
          <cell r="F366"/>
          <cell r="H366"/>
        </row>
        <row r="367">
          <cell r="A367">
            <v>46290</v>
          </cell>
          <cell r="F367"/>
          <cell r="H367"/>
        </row>
        <row r="368">
          <cell r="A368">
            <v>46291</v>
          </cell>
          <cell r="F368"/>
          <cell r="H368"/>
        </row>
        <row r="369">
          <cell r="A369">
            <v>46292</v>
          </cell>
          <cell r="F369"/>
          <cell r="H369"/>
        </row>
        <row r="370">
          <cell r="A370">
            <v>46293</v>
          </cell>
          <cell r="F370"/>
          <cell r="H370"/>
        </row>
        <row r="371">
          <cell r="A371">
            <v>46294</v>
          </cell>
          <cell r="F371"/>
          <cell r="H371"/>
        </row>
        <row r="372">
          <cell r="A372">
            <v>46295</v>
          </cell>
          <cell r="F372"/>
          <cell r="H372"/>
        </row>
        <row r="373">
          <cell r="A373">
            <v>46296</v>
          </cell>
          <cell r="F373"/>
          <cell r="H373"/>
        </row>
        <row r="374">
          <cell r="A374">
            <v>46297</v>
          </cell>
          <cell r="F374"/>
          <cell r="H374"/>
        </row>
        <row r="375">
          <cell r="A375">
            <v>46298</v>
          </cell>
          <cell r="F375"/>
          <cell r="H375"/>
        </row>
        <row r="376">
          <cell r="A376">
            <v>46299</v>
          </cell>
          <cell r="F376"/>
          <cell r="H376"/>
        </row>
        <row r="377">
          <cell r="A377">
            <v>46300</v>
          </cell>
          <cell r="F377"/>
          <cell r="H377"/>
        </row>
        <row r="378">
          <cell r="A378">
            <v>46301</v>
          </cell>
          <cell r="F378"/>
          <cell r="H378"/>
        </row>
        <row r="379">
          <cell r="A379">
            <v>46302</v>
          </cell>
          <cell r="F379"/>
          <cell r="H379"/>
        </row>
        <row r="380">
          <cell r="A380">
            <v>46303</v>
          </cell>
          <cell r="F380"/>
          <cell r="H380"/>
        </row>
        <row r="381">
          <cell r="A381">
            <v>46304</v>
          </cell>
          <cell r="F381"/>
          <cell r="H381"/>
        </row>
        <row r="382">
          <cell r="A382">
            <v>46305</v>
          </cell>
          <cell r="F382"/>
          <cell r="H382"/>
        </row>
        <row r="383">
          <cell r="A383">
            <v>46306</v>
          </cell>
          <cell r="F383"/>
          <cell r="H383"/>
        </row>
        <row r="384">
          <cell r="A384">
            <v>46307</v>
          </cell>
          <cell r="F384"/>
          <cell r="H384"/>
        </row>
        <row r="385">
          <cell r="A385">
            <v>46308</v>
          </cell>
          <cell r="F385"/>
          <cell r="H385"/>
        </row>
        <row r="386">
          <cell r="A386">
            <v>46309</v>
          </cell>
          <cell r="F386"/>
          <cell r="H386"/>
        </row>
        <row r="387">
          <cell r="A387">
            <v>46310</v>
          </cell>
          <cell r="F387"/>
          <cell r="H387"/>
        </row>
        <row r="388">
          <cell r="A388">
            <v>46311</v>
          </cell>
          <cell r="F388"/>
          <cell r="H388"/>
        </row>
        <row r="389">
          <cell r="A389">
            <v>46312</v>
          </cell>
          <cell r="F389"/>
          <cell r="H389"/>
        </row>
        <row r="390">
          <cell r="A390">
            <v>46313</v>
          </cell>
          <cell r="F390"/>
          <cell r="H390"/>
        </row>
        <row r="391">
          <cell r="A391">
            <v>46314</v>
          </cell>
          <cell r="F391"/>
          <cell r="H391"/>
        </row>
        <row r="392">
          <cell r="A392">
            <v>46315</v>
          </cell>
          <cell r="F392"/>
          <cell r="H392"/>
        </row>
        <row r="393">
          <cell r="A393">
            <v>46316</v>
          </cell>
          <cell r="F393"/>
          <cell r="H393"/>
        </row>
        <row r="394">
          <cell r="A394">
            <v>46317</v>
          </cell>
          <cell r="F394"/>
          <cell r="H394"/>
        </row>
        <row r="395">
          <cell r="A395">
            <v>46318</v>
          </cell>
          <cell r="F395"/>
          <cell r="H395"/>
        </row>
        <row r="396">
          <cell r="A396">
            <v>46319</v>
          </cell>
          <cell r="F396"/>
          <cell r="H396"/>
        </row>
        <row r="397">
          <cell r="A397">
            <v>46320</v>
          </cell>
          <cell r="F397"/>
          <cell r="H397"/>
        </row>
        <row r="398">
          <cell r="A398">
            <v>46321</v>
          </cell>
          <cell r="F398"/>
          <cell r="H398"/>
        </row>
        <row r="399">
          <cell r="A399">
            <v>46322</v>
          </cell>
          <cell r="F399"/>
          <cell r="H399"/>
        </row>
        <row r="400">
          <cell r="A400">
            <v>46323</v>
          </cell>
          <cell r="F400"/>
          <cell r="H400"/>
        </row>
        <row r="401">
          <cell r="A401">
            <v>46324</v>
          </cell>
          <cell r="F401"/>
          <cell r="H401"/>
        </row>
        <row r="402">
          <cell r="A402">
            <v>46325</v>
          </cell>
          <cell r="F402"/>
          <cell r="H402"/>
        </row>
        <row r="403">
          <cell r="A403">
            <v>46326</v>
          </cell>
          <cell r="F403"/>
          <cell r="H403"/>
        </row>
        <row r="404">
          <cell r="A404">
            <v>46327</v>
          </cell>
          <cell r="F404"/>
          <cell r="H404"/>
        </row>
        <row r="405">
          <cell r="A405">
            <v>46328</v>
          </cell>
          <cell r="F405"/>
          <cell r="H405"/>
        </row>
        <row r="406">
          <cell r="A406">
            <v>46329</v>
          </cell>
          <cell r="F406"/>
          <cell r="H406"/>
        </row>
        <row r="407">
          <cell r="A407">
            <v>46330</v>
          </cell>
          <cell r="F407"/>
          <cell r="H407"/>
        </row>
        <row r="408">
          <cell r="A408">
            <v>46331</v>
          </cell>
          <cell r="F408"/>
          <cell r="H408"/>
        </row>
        <row r="409">
          <cell r="A409">
            <v>46332</v>
          </cell>
          <cell r="F409"/>
          <cell r="H409"/>
        </row>
        <row r="410">
          <cell r="A410">
            <v>46333</v>
          </cell>
          <cell r="F410"/>
          <cell r="H410"/>
        </row>
        <row r="411">
          <cell r="A411">
            <v>46334</v>
          </cell>
          <cell r="F411"/>
          <cell r="H411"/>
        </row>
        <row r="412">
          <cell r="A412">
            <v>46335</v>
          </cell>
          <cell r="F412"/>
          <cell r="H412"/>
        </row>
        <row r="413">
          <cell r="A413">
            <v>46336</v>
          </cell>
          <cell r="F413"/>
          <cell r="H413"/>
        </row>
        <row r="414">
          <cell r="A414">
            <v>46337</v>
          </cell>
          <cell r="F414"/>
          <cell r="H414"/>
        </row>
        <row r="415">
          <cell r="A415">
            <v>46338</v>
          </cell>
          <cell r="F415"/>
          <cell r="H415"/>
        </row>
        <row r="416">
          <cell r="A416">
            <v>46339</v>
          </cell>
          <cell r="F416"/>
          <cell r="H416"/>
        </row>
        <row r="417">
          <cell r="A417">
            <v>46340</v>
          </cell>
          <cell r="F417"/>
          <cell r="H417"/>
        </row>
        <row r="418">
          <cell r="A418">
            <v>46341</v>
          </cell>
          <cell r="F418"/>
          <cell r="H418"/>
        </row>
        <row r="419">
          <cell r="A419">
            <v>46342</v>
          </cell>
          <cell r="F419"/>
          <cell r="H419"/>
        </row>
        <row r="420">
          <cell r="A420">
            <v>46343</v>
          </cell>
          <cell r="F420"/>
          <cell r="H420"/>
        </row>
        <row r="421">
          <cell r="A421">
            <v>46344</v>
          </cell>
          <cell r="F421"/>
          <cell r="H421"/>
        </row>
        <row r="422">
          <cell r="A422">
            <v>46345</v>
          </cell>
          <cell r="F422"/>
          <cell r="H422"/>
        </row>
        <row r="423">
          <cell r="A423">
            <v>46346</v>
          </cell>
          <cell r="F423"/>
          <cell r="H423"/>
        </row>
        <row r="424">
          <cell r="A424">
            <v>46347</v>
          </cell>
          <cell r="F424"/>
          <cell r="H424"/>
        </row>
        <row r="425">
          <cell r="A425">
            <v>46348</v>
          </cell>
          <cell r="F425"/>
          <cell r="H425"/>
        </row>
        <row r="426">
          <cell r="A426">
            <v>46349</v>
          </cell>
          <cell r="F426"/>
          <cell r="H426"/>
        </row>
        <row r="427">
          <cell r="A427">
            <v>46350</v>
          </cell>
          <cell r="F427"/>
          <cell r="H427"/>
        </row>
        <row r="428">
          <cell r="A428">
            <v>46351</v>
          </cell>
          <cell r="F428"/>
          <cell r="H428"/>
        </row>
        <row r="429">
          <cell r="A429">
            <v>46352</v>
          </cell>
          <cell r="F429"/>
          <cell r="H429"/>
        </row>
        <row r="430">
          <cell r="A430">
            <v>46353</v>
          </cell>
          <cell r="F430"/>
          <cell r="H430"/>
        </row>
        <row r="431">
          <cell r="A431">
            <v>46354</v>
          </cell>
          <cell r="F431"/>
          <cell r="H431"/>
        </row>
        <row r="432">
          <cell r="A432">
            <v>46355</v>
          </cell>
          <cell r="F432"/>
          <cell r="H432"/>
        </row>
        <row r="433">
          <cell r="A433">
            <v>46356</v>
          </cell>
          <cell r="F433"/>
          <cell r="H433"/>
        </row>
        <row r="434">
          <cell r="A434">
            <v>46357</v>
          </cell>
          <cell r="F434"/>
          <cell r="H434"/>
        </row>
        <row r="435">
          <cell r="A435">
            <v>46358</v>
          </cell>
          <cell r="F435"/>
          <cell r="H435"/>
        </row>
        <row r="436">
          <cell r="A436">
            <v>46359</v>
          </cell>
          <cell r="F436"/>
          <cell r="H436"/>
        </row>
        <row r="437">
          <cell r="A437">
            <v>46360</v>
          </cell>
          <cell r="F437"/>
          <cell r="H437"/>
        </row>
        <row r="438">
          <cell r="A438">
            <v>46361</v>
          </cell>
          <cell r="F438"/>
          <cell r="H438"/>
        </row>
        <row r="439">
          <cell r="A439">
            <v>46362</v>
          </cell>
          <cell r="F439"/>
          <cell r="H439"/>
        </row>
        <row r="440">
          <cell r="A440">
            <v>46363</v>
          </cell>
          <cell r="F440"/>
          <cell r="H440"/>
        </row>
        <row r="441">
          <cell r="A441">
            <v>46364</v>
          </cell>
          <cell r="F441"/>
          <cell r="H441"/>
        </row>
        <row r="442">
          <cell r="A442">
            <v>46365</v>
          </cell>
          <cell r="F442"/>
          <cell r="H442"/>
        </row>
        <row r="443">
          <cell r="A443">
            <v>46366</v>
          </cell>
          <cell r="F443"/>
          <cell r="H443"/>
        </row>
        <row r="444">
          <cell r="A444">
            <v>46367</v>
          </cell>
          <cell r="F444"/>
          <cell r="H444"/>
        </row>
        <row r="445">
          <cell r="A445">
            <v>46368</v>
          </cell>
          <cell r="F445"/>
          <cell r="H445"/>
        </row>
        <row r="446">
          <cell r="A446">
            <v>46369</v>
          </cell>
          <cell r="F446"/>
          <cell r="H446"/>
        </row>
        <row r="447">
          <cell r="A447">
            <v>46370</v>
          </cell>
          <cell r="F447"/>
          <cell r="H447"/>
        </row>
        <row r="448">
          <cell r="A448">
            <v>46371</v>
          </cell>
          <cell r="F448"/>
          <cell r="H448"/>
        </row>
        <row r="449">
          <cell r="A449">
            <v>46372</v>
          </cell>
          <cell r="F449"/>
          <cell r="H449"/>
        </row>
        <row r="450">
          <cell r="A450">
            <v>46373</v>
          </cell>
          <cell r="F450"/>
          <cell r="H450"/>
        </row>
        <row r="451">
          <cell r="A451">
            <v>46374</v>
          </cell>
          <cell r="F451"/>
          <cell r="H451"/>
        </row>
        <row r="452">
          <cell r="A452">
            <v>46375</v>
          </cell>
          <cell r="F452"/>
          <cell r="H452"/>
        </row>
        <row r="453">
          <cell r="A453">
            <v>46376</v>
          </cell>
          <cell r="F453"/>
          <cell r="H453"/>
        </row>
        <row r="454">
          <cell r="A454">
            <v>46377</v>
          </cell>
          <cell r="F454"/>
          <cell r="H454"/>
        </row>
        <row r="455">
          <cell r="A455">
            <v>46378</v>
          </cell>
          <cell r="F455"/>
          <cell r="H455"/>
        </row>
        <row r="456">
          <cell r="A456">
            <v>46379</v>
          </cell>
          <cell r="F456"/>
          <cell r="H456"/>
        </row>
        <row r="457">
          <cell r="A457">
            <v>46380</v>
          </cell>
          <cell r="F457"/>
          <cell r="H457"/>
        </row>
        <row r="458">
          <cell r="A458">
            <v>46381</v>
          </cell>
          <cell r="F458"/>
          <cell r="H458"/>
        </row>
        <row r="459">
          <cell r="A459">
            <v>46382</v>
          </cell>
          <cell r="F459"/>
          <cell r="H459"/>
        </row>
      </sheetData>
      <sheetData sheetId="1">
        <row r="1">
          <cell r="H1">
            <v>84101.260000000024</v>
          </cell>
        </row>
        <row r="2">
          <cell r="A2"/>
          <cell r="C2"/>
          <cell r="H2">
            <v>196707.33999999979</v>
          </cell>
        </row>
        <row r="3">
          <cell r="A3" t="str">
            <v>Data de Recebimento de Material</v>
          </cell>
          <cell r="C3" t="str">
            <v>Fornecedor</v>
          </cell>
          <cell r="H3" t="str">
            <v>Quant. Material Recebido TON</v>
          </cell>
        </row>
        <row r="4">
          <cell r="A4">
            <v>46051</v>
          </cell>
          <cell r="C4" t="str">
            <v xml:space="preserve">Bela Vista </v>
          </cell>
          <cell r="H4">
            <v>33.64</v>
          </cell>
        </row>
        <row r="5">
          <cell r="A5">
            <v>46051</v>
          </cell>
          <cell r="C5" t="str">
            <v xml:space="preserve">Bela Vista </v>
          </cell>
          <cell r="H5">
            <v>33.1</v>
          </cell>
        </row>
        <row r="6">
          <cell r="A6">
            <v>46051</v>
          </cell>
          <cell r="C6" t="str">
            <v xml:space="preserve">Bela Vista </v>
          </cell>
          <cell r="H6">
            <v>33.880000000000003</v>
          </cell>
        </row>
        <row r="7">
          <cell r="A7">
            <v>46051</v>
          </cell>
          <cell r="C7" t="str">
            <v xml:space="preserve">Bela Vista </v>
          </cell>
          <cell r="H7">
            <v>33.840000000000003</v>
          </cell>
        </row>
        <row r="8">
          <cell r="A8">
            <v>46051</v>
          </cell>
          <cell r="C8" t="str">
            <v xml:space="preserve">Bela Vista </v>
          </cell>
          <cell r="H8">
            <v>33.299999999999997</v>
          </cell>
        </row>
        <row r="9">
          <cell r="A9">
            <v>46051</v>
          </cell>
          <cell r="C9" t="str">
            <v xml:space="preserve">Bela Vista </v>
          </cell>
          <cell r="H9">
            <v>34.14</v>
          </cell>
        </row>
        <row r="10">
          <cell r="A10">
            <v>46051</v>
          </cell>
          <cell r="C10" t="str">
            <v xml:space="preserve">Bela Vista </v>
          </cell>
          <cell r="H10">
            <v>33.92</v>
          </cell>
        </row>
        <row r="11">
          <cell r="A11">
            <v>46051</v>
          </cell>
          <cell r="C11" t="str">
            <v xml:space="preserve">Bela Vista </v>
          </cell>
          <cell r="H11">
            <v>33.92</v>
          </cell>
        </row>
        <row r="12">
          <cell r="A12">
            <v>46051</v>
          </cell>
          <cell r="C12" t="str">
            <v xml:space="preserve">Bela Vista </v>
          </cell>
          <cell r="H12">
            <v>33.04</v>
          </cell>
        </row>
        <row r="13">
          <cell r="A13">
            <v>46051</v>
          </cell>
          <cell r="C13" t="str">
            <v xml:space="preserve">Bela Vista </v>
          </cell>
          <cell r="H13">
            <v>33.76</v>
          </cell>
        </row>
        <row r="14">
          <cell r="A14">
            <v>46051</v>
          </cell>
          <cell r="C14" t="str">
            <v xml:space="preserve">Bela Vista </v>
          </cell>
          <cell r="H14">
            <v>33.44</v>
          </cell>
        </row>
        <row r="15">
          <cell r="A15">
            <v>46051</v>
          </cell>
          <cell r="C15" t="str">
            <v xml:space="preserve">Bela Vista </v>
          </cell>
          <cell r="H15">
            <v>34.159999999999997</v>
          </cell>
        </row>
        <row r="16">
          <cell r="A16">
            <v>46052</v>
          </cell>
          <cell r="C16" t="str">
            <v xml:space="preserve">Bela Vista </v>
          </cell>
          <cell r="H16">
            <v>33.64</v>
          </cell>
        </row>
        <row r="17">
          <cell r="A17">
            <v>46052</v>
          </cell>
          <cell r="C17" t="str">
            <v xml:space="preserve">Bela Vista </v>
          </cell>
          <cell r="H17">
            <v>33.9</v>
          </cell>
        </row>
        <row r="18">
          <cell r="A18">
            <v>46052</v>
          </cell>
          <cell r="C18" t="str">
            <v xml:space="preserve">Bela Vista </v>
          </cell>
          <cell r="H18">
            <v>33.86</v>
          </cell>
        </row>
        <row r="19">
          <cell r="A19">
            <v>46052</v>
          </cell>
          <cell r="C19" t="str">
            <v xml:space="preserve">Bela Vista </v>
          </cell>
          <cell r="H19">
            <v>33.18</v>
          </cell>
        </row>
        <row r="20">
          <cell r="A20">
            <v>46052</v>
          </cell>
          <cell r="C20" t="str">
            <v xml:space="preserve">Bela Vista </v>
          </cell>
          <cell r="H20">
            <v>33.04</v>
          </cell>
        </row>
        <row r="21">
          <cell r="A21">
            <v>46053</v>
          </cell>
          <cell r="C21" t="str">
            <v xml:space="preserve">Bela Vista </v>
          </cell>
          <cell r="H21">
            <v>33.56</v>
          </cell>
        </row>
        <row r="22">
          <cell r="A22">
            <v>46053</v>
          </cell>
          <cell r="C22" t="str">
            <v xml:space="preserve">Bela Vista </v>
          </cell>
          <cell r="H22">
            <v>33.119999999999997</v>
          </cell>
        </row>
        <row r="23">
          <cell r="A23">
            <v>46053</v>
          </cell>
          <cell r="C23" t="str">
            <v xml:space="preserve">Bela Vista </v>
          </cell>
          <cell r="H23">
            <v>33.159999999999997</v>
          </cell>
        </row>
        <row r="24">
          <cell r="A24">
            <v>46053</v>
          </cell>
          <cell r="C24" t="str">
            <v xml:space="preserve">Bela Vista </v>
          </cell>
          <cell r="H24">
            <v>32.92</v>
          </cell>
        </row>
        <row r="25">
          <cell r="A25">
            <v>46055</v>
          </cell>
          <cell r="C25" t="str">
            <v xml:space="preserve">Bela Vista </v>
          </cell>
          <cell r="H25">
            <v>33.880000000000003</v>
          </cell>
        </row>
        <row r="26">
          <cell r="A26">
            <v>46055</v>
          </cell>
          <cell r="C26" t="str">
            <v xml:space="preserve">Bela Vista </v>
          </cell>
          <cell r="H26">
            <v>34.04</v>
          </cell>
        </row>
        <row r="27">
          <cell r="A27">
            <v>46055</v>
          </cell>
          <cell r="C27" t="str">
            <v xml:space="preserve">Bela Vista </v>
          </cell>
          <cell r="H27">
            <v>34.880000000000003</v>
          </cell>
        </row>
        <row r="28">
          <cell r="A28">
            <v>46055</v>
          </cell>
          <cell r="C28" t="str">
            <v xml:space="preserve">Bela Vista </v>
          </cell>
          <cell r="H28">
            <v>33.68</v>
          </cell>
        </row>
        <row r="29">
          <cell r="A29">
            <v>46055</v>
          </cell>
          <cell r="C29" t="str">
            <v xml:space="preserve">Bela Vista </v>
          </cell>
          <cell r="H29">
            <v>33.44</v>
          </cell>
        </row>
        <row r="30">
          <cell r="A30">
            <v>46055</v>
          </cell>
          <cell r="C30" t="str">
            <v xml:space="preserve">Bela Vista </v>
          </cell>
          <cell r="H30">
            <v>36.380000000000003</v>
          </cell>
        </row>
        <row r="31">
          <cell r="A31">
            <v>46055</v>
          </cell>
          <cell r="C31" t="str">
            <v xml:space="preserve">Bela Vista </v>
          </cell>
          <cell r="H31">
            <v>34.58</v>
          </cell>
        </row>
        <row r="32">
          <cell r="A32">
            <v>46056</v>
          </cell>
          <cell r="C32" t="str">
            <v xml:space="preserve">Bela Vista </v>
          </cell>
          <cell r="H32">
            <v>32.700000000000003</v>
          </cell>
        </row>
        <row r="33">
          <cell r="A33">
            <v>46056</v>
          </cell>
          <cell r="C33" t="str">
            <v xml:space="preserve">Bela Vista </v>
          </cell>
          <cell r="H33">
            <v>32.520000000000003</v>
          </cell>
        </row>
        <row r="34">
          <cell r="A34">
            <v>46056</v>
          </cell>
          <cell r="C34" t="str">
            <v xml:space="preserve">Bela Vista </v>
          </cell>
          <cell r="H34">
            <v>33.06</v>
          </cell>
        </row>
        <row r="35">
          <cell r="A35">
            <v>46056</v>
          </cell>
          <cell r="C35" t="str">
            <v xml:space="preserve">Bela Vista </v>
          </cell>
          <cell r="H35">
            <v>32.479999999999997</v>
          </cell>
        </row>
        <row r="36">
          <cell r="A36">
            <v>46056</v>
          </cell>
          <cell r="C36" t="str">
            <v xml:space="preserve">Bela Vista </v>
          </cell>
          <cell r="H36">
            <v>35.18</v>
          </cell>
        </row>
        <row r="37">
          <cell r="A37">
            <v>46056</v>
          </cell>
          <cell r="C37" t="str">
            <v xml:space="preserve">Bela Vista </v>
          </cell>
          <cell r="H37">
            <v>37.68</v>
          </cell>
        </row>
        <row r="38">
          <cell r="A38">
            <v>46056</v>
          </cell>
          <cell r="C38" t="str">
            <v xml:space="preserve">Bela Vista </v>
          </cell>
          <cell r="H38">
            <v>34.04</v>
          </cell>
        </row>
        <row r="39">
          <cell r="A39">
            <v>46056</v>
          </cell>
          <cell r="C39" t="str">
            <v xml:space="preserve">Bela Vista </v>
          </cell>
          <cell r="H39">
            <v>33.54</v>
          </cell>
        </row>
        <row r="40">
          <cell r="A40">
            <v>46056</v>
          </cell>
          <cell r="C40" t="str">
            <v xml:space="preserve">Bela Vista </v>
          </cell>
          <cell r="H40">
            <v>32.6</v>
          </cell>
        </row>
        <row r="41">
          <cell r="A41">
            <v>46056</v>
          </cell>
          <cell r="C41" t="str">
            <v xml:space="preserve">Bela Vista </v>
          </cell>
          <cell r="H41">
            <v>32.4</v>
          </cell>
        </row>
        <row r="42">
          <cell r="A42">
            <v>46056</v>
          </cell>
          <cell r="C42" t="str">
            <v xml:space="preserve">Bela Vista </v>
          </cell>
          <cell r="H42">
            <v>32.64</v>
          </cell>
        </row>
        <row r="43">
          <cell r="A43">
            <v>46056</v>
          </cell>
          <cell r="C43" t="str">
            <v xml:space="preserve">Bela Vista </v>
          </cell>
          <cell r="H43">
            <v>35.58</v>
          </cell>
        </row>
        <row r="44">
          <cell r="A44">
            <v>46056</v>
          </cell>
          <cell r="C44" t="str">
            <v xml:space="preserve">Bela Vista </v>
          </cell>
          <cell r="H44">
            <v>35.58</v>
          </cell>
        </row>
        <row r="45">
          <cell r="A45">
            <v>46056</v>
          </cell>
          <cell r="C45" t="str">
            <v xml:space="preserve">Bela Vista </v>
          </cell>
          <cell r="H45">
            <v>34.479999999999997</v>
          </cell>
        </row>
        <row r="46">
          <cell r="A46">
            <v>46056</v>
          </cell>
          <cell r="C46" t="str">
            <v xml:space="preserve">Bela Vista </v>
          </cell>
          <cell r="H46">
            <v>33.68</v>
          </cell>
        </row>
        <row r="47">
          <cell r="A47">
            <v>46056</v>
          </cell>
          <cell r="C47" t="str">
            <v xml:space="preserve">Bela Vista </v>
          </cell>
          <cell r="H47">
            <v>33.24</v>
          </cell>
        </row>
        <row r="48">
          <cell r="A48">
            <v>46056</v>
          </cell>
          <cell r="C48" t="str">
            <v xml:space="preserve">Bela Vista </v>
          </cell>
          <cell r="H48">
            <v>33.340000000000003</v>
          </cell>
        </row>
        <row r="49">
          <cell r="A49">
            <v>46056</v>
          </cell>
          <cell r="C49" t="str">
            <v xml:space="preserve">Bela Vista </v>
          </cell>
          <cell r="H49">
            <v>33.04</v>
          </cell>
        </row>
        <row r="50">
          <cell r="A50">
            <v>46057</v>
          </cell>
          <cell r="C50" t="str">
            <v xml:space="preserve">Bela Vista </v>
          </cell>
          <cell r="H50">
            <v>33.14</v>
          </cell>
        </row>
        <row r="51">
          <cell r="A51">
            <v>46057</v>
          </cell>
          <cell r="C51" t="str">
            <v xml:space="preserve">Bela Vista </v>
          </cell>
          <cell r="H51">
            <v>33.22</v>
          </cell>
        </row>
        <row r="52">
          <cell r="A52">
            <v>46057</v>
          </cell>
          <cell r="C52" t="str">
            <v xml:space="preserve">Bela Vista </v>
          </cell>
          <cell r="H52">
            <v>33.24</v>
          </cell>
        </row>
        <row r="53">
          <cell r="A53">
            <v>46057</v>
          </cell>
          <cell r="C53" t="str">
            <v xml:space="preserve">Bela Vista </v>
          </cell>
          <cell r="H53">
            <v>33.380000000000003</v>
          </cell>
        </row>
        <row r="54">
          <cell r="A54">
            <v>46057</v>
          </cell>
          <cell r="C54" t="str">
            <v xml:space="preserve">Bela Vista </v>
          </cell>
          <cell r="H54">
            <v>33.979999999999997</v>
          </cell>
        </row>
        <row r="55">
          <cell r="A55">
            <v>46057</v>
          </cell>
          <cell r="C55" t="str">
            <v xml:space="preserve">Bela Vista </v>
          </cell>
          <cell r="H55">
            <v>32.86</v>
          </cell>
        </row>
        <row r="56">
          <cell r="A56">
            <v>46057</v>
          </cell>
          <cell r="C56" t="str">
            <v xml:space="preserve">Bela Vista </v>
          </cell>
          <cell r="H56">
            <v>35.880000000000003</v>
          </cell>
        </row>
        <row r="57">
          <cell r="A57">
            <v>46057</v>
          </cell>
          <cell r="C57" t="str">
            <v xml:space="preserve">Bela Vista </v>
          </cell>
          <cell r="H57">
            <v>33.04</v>
          </cell>
        </row>
        <row r="58">
          <cell r="A58">
            <v>46057</v>
          </cell>
          <cell r="C58" t="str">
            <v xml:space="preserve">Bela Vista </v>
          </cell>
          <cell r="H58">
            <v>34.06</v>
          </cell>
        </row>
        <row r="59">
          <cell r="A59">
            <v>46057</v>
          </cell>
          <cell r="C59" t="str">
            <v xml:space="preserve">Bela Vista </v>
          </cell>
          <cell r="H59">
            <v>36.22</v>
          </cell>
        </row>
        <row r="60">
          <cell r="A60">
            <v>46057</v>
          </cell>
          <cell r="C60" t="str">
            <v xml:space="preserve">Bela Vista </v>
          </cell>
          <cell r="H60">
            <v>33.28</v>
          </cell>
        </row>
        <row r="61">
          <cell r="A61">
            <v>46057</v>
          </cell>
          <cell r="C61" t="str">
            <v xml:space="preserve">Bela Vista </v>
          </cell>
          <cell r="H61">
            <v>32.119999999999997</v>
          </cell>
        </row>
        <row r="62">
          <cell r="A62">
            <v>46057</v>
          </cell>
          <cell r="C62" t="str">
            <v xml:space="preserve">Bela Vista </v>
          </cell>
          <cell r="H62">
            <v>32.94</v>
          </cell>
        </row>
        <row r="63">
          <cell r="A63">
            <v>46057</v>
          </cell>
          <cell r="C63" t="str">
            <v xml:space="preserve">Bela Vista </v>
          </cell>
          <cell r="H63">
            <v>34.26</v>
          </cell>
        </row>
        <row r="64">
          <cell r="A64">
            <v>46057</v>
          </cell>
          <cell r="C64" t="str">
            <v xml:space="preserve">Bela Vista </v>
          </cell>
          <cell r="H64">
            <v>33.54</v>
          </cell>
        </row>
        <row r="65">
          <cell r="A65">
            <v>46058</v>
          </cell>
          <cell r="C65" t="str">
            <v xml:space="preserve">Bela Vista </v>
          </cell>
          <cell r="H65">
            <v>33.840000000000003</v>
          </cell>
        </row>
        <row r="66">
          <cell r="A66">
            <v>46058</v>
          </cell>
          <cell r="C66" t="str">
            <v xml:space="preserve">Bela Vista </v>
          </cell>
          <cell r="H66">
            <v>33.04</v>
          </cell>
        </row>
        <row r="67">
          <cell r="A67">
            <v>46058</v>
          </cell>
          <cell r="C67" t="str">
            <v xml:space="preserve">Bela Vista </v>
          </cell>
          <cell r="H67">
            <v>32.020000000000003</v>
          </cell>
        </row>
        <row r="68">
          <cell r="A68">
            <v>46058</v>
          </cell>
          <cell r="C68" t="str">
            <v xml:space="preserve">Bela Vista </v>
          </cell>
          <cell r="H68">
            <v>34.619999999999997</v>
          </cell>
        </row>
        <row r="69">
          <cell r="A69">
            <v>46058</v>
          </cell>
          <cell r="C69" t="str">
            <v xml:space="preserve">Bela Vista </v>
          </cell>
          <cell r="H69">
            <v>34.700000000000003</v>
          </cell>
        </row>
        <row r="70">
          <cell r="A70">
            <v>46058</v>
          </cell>
          <cell r="C70" t="str">
            <v xml:space="preserve">Bela Vista </v>
          </cell>
          <cell r="H70">
            <v>34.94</v>
          </cell>
        </row>
        <row r="71">
          <cell r="A71">
            <v>46058</v>
          </cell>
          <cell r="C71" t="str">
            <v xml:space="preserve">Bela Vista </v>
          </cell>
          <cell r="H71">
            <v>34.619999999999997</v>
          </cell>
        </row>
        <row r="72">
          <cell r="A72">
            <v>46058</v>
          </cell>
          <cell r="C72" t="str">
            <v xml:space="preserve">Bela Vista </v>
          </cell>
          <cell r="H72">
            <v>32.78</v>
          </cell>
        </row>
        <row r="73">
          <cell r="A73">
            <v>46058</v>
          </cell>
          <cell r="C73" t="str">
            <v xml:space="preserve">Bela Vista </v>
          </cell>
          <cell r="H73">
            <v>34.5</v>
          </cell>
        </row>
        <row r="74">
          <cell r="A74">
            <v>46058</v>
          </cell>
          <cell r="C74" t="str">
            <v xml:space="preserve">Bela Vista </v>
          </cell>
          <cell r="H74">
            <v>34</v>
          </cell>
        </row>
        <row r="75">
          <cell r="A75">
            <v>46058</v>
          </cell>
          <cell r="C75" t="str">
            <v xml:space="preserve">Bela Vista </v>
          </cell>
          <cell r="H75">
            <v>33.979999999999997</v>
          </cell>
        </row>
        <row r="76">
          <cell r="A76">
            <v>46058</v>
          </cell>
          <cell r="C76" t="str">
            <v xml:space="preserve">Bela Vista </v>
          </cell>
          <cell r="H76">
            <v>33.22</v>
          </cell>
        </row>
        <row r="77">
          <cell r="A77">
            <v>46058</v>
          </cell>
          <cell r="C77" t="str">
            <v xml:space="preserve">Bela Vista </v>
          </cell>
          <cell r="H77">
            <v>33.54</v>
          </cell>
        </row>
        <row r="78">
          <cell r="A78">
            <v>46058</v>
          </cell>
          <cell r="C78" t="str">
            <v xml:space="preserve">Bela Vista </v>
          </cell>
          <cell r="H78">
            <v>33.76</v>
          </cell>
        </row>
        <row r="79">
          <cell r="A79">
            <v>46058</v>
          </cell>
          <cell r="C79" t="str">
            <v xml:space="preserve">Bela Vista </v>
          </cell>
          <cell r="H79">
            <v>33.26</v>
          </cell>
        </row>
        <row r="80">
          <cell r="A80">
            <v>46058</v>
          </cell>
          <cell r="C80" t="str">
            <v xml:space="preserve">Bela Vista </v>
          </cell>
          <cell r="H80">
            <v>33.28</v>
          </cell>
        </row>
        <row r="81">
          <cell r="A81">
            <v>46058</v>
          </cell>
          <cell r="C81" t="str">
            <v xml:space="preserve">Bela Vista </v>
          </cell>
          <cell r="H81">
            <v>33.44</v>
          </cell>
        </row>
        <row r="82">
          <cell r="A82">
            <v>46058</v>
          </cell>
          <cell r="C82" t="str">
            <v xml:space="preserve">Bela Vista </v>
          </cell>
          <cell r="H82">
            <v>33.14</v>
          </cell>
        </row>
        <row r="83">
          <cell r="A83">
            <v>46059</v>
          </cell>
          <cell r="C83" t="str">
            <v xml:space="preserve">Bela Vista </v>
          </cell>
          <cell r="H83">
            <v>33.4</v>
          </cell>
        </row>
        <row r="84">
          <cell r="A84">
            <v>46059</v>
          </cell>
          <cell r="C84" t="str">
            <v xml:space="preserve">Bela Vista </v>
          </cell>
          <cell r="H84">
            <v>34.520000000000003</v>
          </cell>
        </row>
        <row r="85">
          <cell r="A85">
            <v>46059</v>
          </cell>
          <cell r="C85" t="str">
            <v xml:space="preserve">Bela Vista </v>
          </cell>
          <cell r="H85">
            <v>35.119999999999997</v>
          </cell>
        </row>
        <row r="86">
          <cell r="A86">
            <v>46059</v>
          </cell>
          <cell r="C86" t="str">
            <v xml:space="preserve">Bela Vista </v>
          </cell>
          <cell r="H86">
            <v>36.72</v>
          </cell>
        </row>
        <row r="87">
          <cell r="A87">
            <v>46059</v>
          </cell>
          <cell r="C87" t="str">
            <v xml:space="preserve">Bela Vista </v>
          </cell>
          <cell r="H87">
            <v>35.32</v>
          </cell>
        </row>
        <row r="88">
          <cell r="A88">
            <v>46059</v>
          </cell>
          <cell r="C88" t="str">
            <v xml:space="preserve">Bela Vista </v>
          </cell>
          <cell r="H88">
            <v>35.86</v>
          </cell>
        </row>
        <row r="89">
          <cell r="A89">
            <v>46059</v>
          </cell>
          <cell r="C89" t="str">
            <v xml:space="preserve">Bela Vista </v>
          </cell>
          <cell r="H89">
            <v>37.299999999999997</v>
          </cell>
        </row>
        <row r="90">
          <cell r="A90">
            <v>46059</v>
          </cell>
          <cell r="C90" t="str">
            <v xml:space="preserve">Bela Vista </v>
          </cell>
          <cell r="H90">
            <v>40.020000000000003</v>
          </cell>
        </row>
        <row r="91">
          <cell r="A91">
            <v>46059</v>
          </cell>
          <cell r="C91" t="str">
            <v xml:space="preserve">Bela Vista </v>
          </cell>
          <cell r="H91">
            <v>35.840000000000003</v>
          </cell>
        </row>
        <row r="92">
          <cell r="A92">
            <v>46059</v>
          </cell>
          <cell r="C92" t="str">
            <v xml:space="preserve">Bela Vista </v>
          </cell>
          <cell r="H92">
            <v>35.880000000000003</v>
          </cell>
        </row>
        <row r="93">
          <cell r="A93">
            <v>46059</v>
          </cell>
          <cell r="C93" t="str">
            <v xml:space="preserve">Bela Vista </v>
          </cell>
          <cell r="H93">
            <v>35.520000000000003</v>
          </cell>
        </row>
        <row r="94">
          <cell r="A94">
            <v>46059</v>
          </cell>
          <cell r="C94" t="str">
            <v xml:space="preserve">Bela Vista </v>
          </cell>
          <cell r="H94">
            <v>35.56</v>
          </cell>
        </row>
        <row r="95">
          <cell r="A95">
            <v>46059</v>
          </cell>
          <cell r="C95" t="str">
            <v xml:space="preserve">Bela Vista </v>
          </cell>
          <cell r="H95">
            <v>34.08</v>
          </cell>
        </row>
        <row r="96">
          <cell r="A96">
            <v>46059</v>
          </cell>
          <cell r="C96" t="str">
            <v xml:space="preserve">Bela Vista </v>
          </cell>
          <cell r="H96">
            <v>34.06</v>
          </cell>
        </row>
        <row r="97">
          <cell r="A97">
            <v>46059</v>
          </cell>
          <cell r="C97" t="str">
            <v xml:space="preserve">Bela Vista </v>
          </cell>
          <cell r="H97">
            <v>34.380000000000003</v>
          </cell>
        </row>
        <row r="98">
          <cell r="A98">
            <v>46059</v>
          </cell>
          <cell r="C98" t="str">
            <v xml:space="preserve">Bela Vista </v>
          </cell>
          <cell r="H98">
            <v>35.06</v>
          </cell>
        </row>
        <row r="99">
          <cell r="A99">
            <v>46059</v>
          </cell>
          <cell r="C99" t="str">
            <v xml:space="preserve">Bela Vista </v>
          </cell>
          <cell r="H99">
            <v>33.979999999999997</v>
          </cell>
        </row>
        <row r="100">
          <cell r="A100">
            <v>46059</v>
          </cell>
          <cell r="C100" t="str">
            <v xml:space="preserve">Bela Vista </v>
          </cell>
          <cell r="H100">
            <v>37.119999999999997</v>
          </cell>
        </row>
        <row r="101">
          <cell r="A101">
            <v>46059</v>
          </cell>
          <cell r="C101" t="str">
            <v xml:space="preserve">Bela Vista </v>
          </cell>
          <cell r="H101">
            <v>34.659999999999997</v>
          </cell>
        </row>
        <row r="102">
          <cell r="A102">
            <v>46059</v>
          </cell>
          <cell r="C102" t="str">
            <v xml:space="preserve">Bela Vista </v>
          </cell>
          <cell r="H102">
            <v>35.94</v>
          </cell>
        </row>
        <row r="103">
          <cell r="A103">
            <v>46062</v>
          </cell>
          <cell r="C103" t="str">
            <v xml:space="preserve">Bela Vista </v>
          </cell>
          <cell r="H103">
            <v>36.06</v>
          </cell>
        </row>
        <row r="104">
          <cell r="A104">
            <v>46060</v>
          </cell>
          <cell r="C104" t="str">
            <v xml:space="preserve">Bela Vista </v>
          </cell>
          <cell r="H104">
            <v>34.32</v>
          </cell>
        </row>
        <row r="105">
          <cell r="A105">
            <v>46060</v>
          </cell>
          <cell r="C105" t="str">
            <v xml:space="preserve">Bela Vista </v>
          </cell>
          <cell r="H105">
            <v>34.24</v>
          </cell>
        </row>
        <row r="106">
          <cell r="A106">
            <v>46060</v>
          </cell>
          <cell r="C106" t="str">
            <v xml:space="preserve">Bela Vista </v>
          </cell>
          <cell r="H106">
            <v>35.340000000000003</v>
          </cell>
        </row>
        <row r="107">
          <cell r="A107">
            <v>46060</v>
          </cell>
          <cell r="C107" t="str">
            <v xml:space="preserve">Bela Vista </v>
          </cell>
          <cell r="H107">
            <v>36.119999999999997</v>
          </cell>
        </row>
        <row r="108">
          <cell r="A108">
            <v>46060</v>
          </cell>
          <cell r="C108" t="str">
            <v xml:space="preserve">Bela Vista </v>
          </cell>
          <cell r="H108">
            <v>36.68</v>
          </cell>
        </row>
        <row r="109">
          <cell r="A109">
            <v>46060</v>
          </cell>
          <cell r="C109" t="str">
            <v xml:space="preserve">Bela Vista </v>
          </cell>
          <cell r="H109">
            <v>34</v>
          </cell>
        </row>
        <row r="110">
          <cell r="A110">
            <v>46060</v>
          </cell>
          <cell r="C110" t="str">
            <v xml:space="preserve">Bela Vista </v>
          </cell>
          <cell r="H110">
            <v>34.6</v>
          </cell>
        </row>
        <row r="111">
          <cell r="A111">
            <v>46062</v>
          </cell>
          <cell r="C111" t="str">
            <v xml:space="preserve">Bela Vista </v>
          </cell>
          <cell r="H111">
            <v>34.9</v>
          </cell>
        </row>
        <row r="112">
          <cell r="A112">
            <v>46062</v>
          </cell>
          <cell r="C112" t="str">
            <v xml:space="preserve">Bela Vista </v>
          </cell>
          <cell r="H112">
            <v>34.68</v>
          </cell>
        </row>
        <row r="113">
          <cell r="A113">
            <v>46062</v>
          </cell>
          <cell r="C113" t="str">
            <v xml:space="preserve">Bela Vista </v>
          </cell>
          <cell r="H113">
            <v>33.76</v>
          </cell>
        </row>
        <row r="114">
          <cell r="A114">
            <v>46062</v>
          </cell>
          <cell r="C114" t="str">
            <v xml:space="preserve">Bela Vista </v>
          </cell>
          <cell r="H114">
            <v>35.72</v>
          </cell>
        </row>
        <row r="115">
          <cell r="A115">
            <v>46062</v>
          </cell>
          <cell r="C115" t="str">
            <v xml:space="preserve">Bela Vista </v>
          </cell>
          <cell r="H115">
            <v>37.18</v>
          </cell>
        </row>
        <row r="116">
          <cell r="A116">
            <v>46062</v>
          </cell>
          <cell r="C116" t="str">
            <v xml:space="preserve">Bela Vista </v>
          </cell>
          <cell r="H116">
            <v>37.659999999999997</v>
          </cell>
        </row>
        <row r="117">
          <cell r="A117">
            <v>46062</v>
          </cell>
          <cell r="C117" t="str">
            <v xml:space="preserve">Bela Vista </v>
          </cell>
          <cell r="H117">
            <v>37.72</v>
          </cell>
        </row>
        <row r="118">
          <cell r="A118">
            <v>46062</v>
          </cell>
          <cell r="C118" t="str">
            <v xml:space="preserve">Bela Vista </v>
          </cell>
          <cell r="H118">
            <v>37.86</v>
          </cell>
        </row>
        <row r="119">
          <cell r="A119">
            <v>46062</v>
          </cell>
          <cell r="C119" t="str">
            <v xml:space="preserve">Bela Vista </v>
          </cell>
          <cell r="H119">
            <v>37.24</v>
          </cell>
        </row>
        <row r="120">
          <cell r="A120">
            <v>46062</v>
          </cell>
          <cell r="C120" t="str">
            <v xml:space="preserve">Bela Vista </v>
          </cell>
          <cell r="H120">
            <v>37.159999999999997</v>
          </cell>
        </row>
        <row r="121">
          <cell r="A121">
            <v>46062</v>
          </cell>
          <cell r="C121" t="str">
            <v xml:space="preserve">Bela Vista </v>
          </cell>
          <cell r="H121">
            <v>37.36</v>
          </cell>
        </row>
        <row r="122">
          <cell r="A122">
            <v>46062</v>
          </cell>
          <cell r="C122" t="str">
            <v xml:space="preserve">Bela Vista </v>
          </cell>
          <cell r="H122">
            <v>32.54</v>
          </cell>
        </row>
        <row r="123">
          <cell r="A123">
            <v>46062</v>
          </cell>
          <cell r="C123" t="str">
            <v xml:space="preserve">Bela Vista </v>
          </cell>
          <cell r="H123">
            <v>37.200000000000003</v>
          </cell>
        </row>
        <row r="124">
          <cell r="A124">
            <v>46062</v>
          </cell>
          <cell r="C124" t="str">
            <v xml:space="preserve">Bela Vista </v>
          </cell>
          <cell r="H124">
            <v>37.26</v>
          </cell>
        </row>
        <row r="125">
          <cell r="A125">
            <v>46062</v>
          </cell>
          <cell r="C125" t="str">
            <v xml:space="preserve">Bela Vista </v>
          </cell>
          <cell r="H125">
            <v>37.24</v>
          </cell>
        </row>
        <row r="126">
          <cell r="A126">
            <v>46062</v>
          </cell>
          <cell r="C126" t="str">
            <v xml:space="preserve">Bela Vista </v>
          </cell>
          <cell r="H126">
            <v>38.04</v>
          </cell>
        </row>
        <row r="127">
          <cell r="A127">
            <v>46062</v>
          </cell>
          <cell r="C127" t="str">
            <v xml:space="preserve">Bela Vista </v>
          </cell>
          <cell r="H127">
            <v>37.64</v>
          </cell>
        </row>
        <row r="128">
          <cell r="A128">
            <v>46062</v>
          </cell>
          <cell r="C128" t="str">
            <v xml:space="preserve">Bela Vista </v>
          </cell>
          <cell r="H128">
            <v>36.6</v>
          </cell>
        </row>
        <row r="129">
          <cell r="A129">
            <v>46062</v>
          </cell>
          <cell r="C129" t="str">
            <v xml:space="preserve">Bela Vista </v>
          </cell>
          <cell r="H129">
            <v>36.880000000000003</v>
          </cell>
        </row>
        <row r="130">
          <cell r="A130">
            <v>46062</v>
          </cell>
          <cell r="C130" t="str">
            <v xml:space="preserve">Bela Vista </v>
          </cell>
          <cell r="H130">
            <v>37.659999999999997</v>
          </cell>
        </row>
        <row r="131">
          <cell r="A131">
            <v>46062</v>
          </cell>
          <cell r="C131" t="str">
            <v xml:space="preserve">Bela Vista </v>
          </cell>
          <cell r="H131">
            <v>36.58</v>
          </cell>
        </row>
        <row r="132">
          <cell r="A132">
            <v>46062</v>
          </cell>
          <cell r="C132" t="str">
            <v xml:space="preserve">Bela Vista </v>
          </cell>
          <cell r="H132">
            <v>38.28</v>
          </cell>
        </row>
        <row r="133">
          <cell r="A133">
            <v>46062</v>
          </cell>
          <cell r="C133" t="str">
            <v xml:space="preserve">Bela Vista </v>
          </cell>
          <cell r="H133">
            <v>36.72</v>
          </cell>
        </row>
        <row r="134">
          <cell r="A134">
            <v>46062</v>
          </cell>
          <cell r="C134" t="str">
            <v xml:space="preserve">Bela Vista </v>
          </cell>
          <cell r="H134">
            <v>37.06</v>
          </cell>
        </row>
        <row r="135">
          <cell r="A135">
            <v>46063</v>
          </cell>
          <cell r="C135" t="str">
            <v xml:space="preserve">Bela Vista </v>
          </cell>
          <cell r="H135">
            <v>36.76</v>
          </cell>
        </row>
        <row r="136">
          <cell r="A136">
            <v>46063</v>
          </cell>
          <cell r="C136" t="str">
            <v xml:space="preserve">Bela Vista </v>
          </cell>
          <cell r="H136">
            <v>37.659999999999997</v>
          </cell>
        </row>
        <row r="137">
          <cell r="A137">
            <v>46063</v>
          </cell>
          <cell r="C137" t="str">
            <v xml:space="preserve">Bela Vista </v>
          </cell>
          <cell r="H137">
            <v>36.92</v>
          </cell>
        </row>
        <row r="138">
          <cell r="A138">
            <v>46063</v>
          </cell>
          <cell r="C138" t="str">
            <v xml:space="preserve">Bela Vista </v>
          </cell>
          <cell r="H138">
            <v>37.659999999999997</v>
          </cell>
        </row>
        <row r="139">
          <cell r="A139">
            <v>46063</v>
          </cell>
          <cell r="C139" t="str">
            <v xml:space="preserve">Bela Vista </v>
          </cell>
          <cell r="H139">
            <v>37.380000000000003</v>
          </cell>
        </row>
        <row r="140">
          <cell r="A140">
            <v>46063</v>
          </cell>
          <cell r="C140" t="str">
            <v xml:space="preserve">Bela Vista </v>
          </cell>
          <cell r="H140">
            <v>36.32</v>
          </cell>
        </row>
        <row r="141">
          <cell r="A141">
            <v>46063</v>
          </cell>
          <cell r="C141" t="str">
            <v xml:space="preserve">Bela Vista </v>
          </cell>
          <cell r="H141">
            <v>37.92</v>
          </cell>
        </row>
        <row r="142">
          <cell r="A142">
            <v>46063</v>
          </cell>
          <cell r="C142" t="str">
            <v xml:space="preserve">Bela Vista </v>
          </cell>
          <cell r="H142">
            <v>38.44</v>
          </cell>
        </row>
        <row r="143">
          <cell r="A143">
            <v>46063</v>
          </cell>
          <cell r="C143" t="str">
            <v xml:space="preserve">Bela Vista </v>
          </cell>
          <cell r="H143">
            <v>38.200000000000003</v>
          </cell>
        </row>
        <row r="144">
          <cell r="A144">
            <v>46063</v>
          </cell>
          <cell r="C144" t="str">
            <v xml:space="preserve">Bela Vista </v>
          </cell>
          <cell r="H144">
            <v>37.92</v>
          </cell>
        </row>
        <row r="145">
          <cell r="A145">
            <v>46063</v>
          </cell>
          <cell r="C145" t="str">
            <v xml:space="preserve">Bela Vista </v>
          </cell>
          <cell r="H145">
            <v>37.76</v>
          </cell>
        </row>
        <row r="146">
          <cell r="A146">
            <v>46063</v>
          </cell>
          <cell r="C146" t="str">
            <v xml:space="preserve">Bela Vista </v>
          </cell>
          <cell r="H146">
            <v>37.22</v>
          </cell>
        </row>
        <row r="147">
          <cell r="A147">
            <v>46063</v>
          </cell>
          <cell r="C147" t="str">
            <v xml:space="preserve">Bela Vista </v>
          </cell>
          <cell r="H147">
            <v>38.08</v>
          </cell>
        </row>
        <row r="148">
          <cell r="A148">
            <v>46063</v>
          </cell>
          <cell r="C148" t="str">
            <v xml:space="preserve">Bela Vista </v>
          </cell>
          <cell r="H148">
            <v>36.380000000000003</v>
          </cell>
        </row>
        <row r="149">
          <cell r="A149">
            <v>46063</v>
          </cell>
          <cell r="C149" t="str">
            <v xml:space="preserve">Bela Vista </v>
          </cell>
          <cell r="H149">
            <v>37.200000000000003</v>
          </cell>
        </row>
        <row r="150">
          <cell r="A150">
            <v>46063</v>
          </cell>
          <cell r="C150" t="str">
            <v xml:space="preserve">Bela Vista </v>
          </cell>
          <cell r="H150">
            <v>38.380000000000003</v>
          </cell>
        </row>
        <row r="151">
          <cell r="A151">
            <v>46063</v>
          </cell>
          <cell r="C151" t="str">
            <v xml:space="preserve">Bela Vista </v>
          </cell>
          <cell r="H151">
            <v>38.619999999999997</v>
          </cell>
        </row>
        <row r="152">
          <cell r="A152">
            <v>46063</v>
          </cell>
          <cell r="C152" t="str">
            <v xml:space="preserve">Bela Vista </v>
          </cell>
          <cell r="H152">
            <v>37.479999999999997</v>
          </cell>
        </row>
        <row r="153">
          <cell r="A153">
            <v>46063</v>
          </cell>
          <cell r="C153" t="str">
            <v xml:space="preserve">Bela Vista </v>
          </cell>
          <cell r="H153">
            <v>37.659999999999997</v>
          </cell>
        </row>
        <row r="154">
          <cell r="A154">
            <v>46063</v>
          </cell>
          <cell r="C154" t="str">
            <v xml:space="preserve">Bela Vista </v>
          </cell>
          <cell r="H154">
            <v>36.28</v>
          </cell>
        </row>
        <row r="155">
          <cell r="A155">
            <v>46063</v>
          </cell>
          <cell r="C155" t="str">
            <v xml:space="preserve">Bela Vista </v>
          </cell>
          <cell r="H155">
            <v>38.700000000000003</v>
          </cell>
        </row>
        <row r="156">
          <cell r="A156">
            <v>46063</v>
          </cell>
          <cell r="C156" t="str">
            <v xml:space="preserve">Bela Vista </v>
          </cell>
          <cell r="H156">
            <v>38.1</v>
          </cell>
        </row>
        <row r="157">
          <cell r="A157">
            <v>46063</v>
          </cell>
          <cell r="C157" t="str">
            <v xml:space="preserve">Bela Vista </v>
          </cell>
          <cell r="H157">
            <v>39.04</v>
          </cell>
        </row>
        <row r="158">
          <cell r="A158">
            <v>46063</v>
          </cell>
          <cell r="C158" t="str">
            <v xml:space="preserve">Bela Vista </v>
          </cell>
          <cell r="H158">
            <v>39.22</v>
          </cell>
        </row>
        <row r="159">
          <cell r="A159">
            <v>46063</v>
          </cell>
          <cell r="C159" t="str">
            <v xml:space="preserve">Bela Vista </v>
          </cell>
          <cell r="H159">
            <v>37.5</v>
          </cell>
        </row>
        <row r="160">
          <cell r="A160">
            <v>46063</v>
          </cell>
          <cell r="C160" t="str">
            <v xml:space="preserve">Bela Vista </v>
          </cell>
          <cell r="H160">
            <v>34.44</v>
          </cell>
        </row>
        <row r="161">
          <cell r="A161">
            <v>46066</v>
          </cell>
          <cell r="C161" t="str">
            <v xml:space="preserve">Bela Vista </v>
          </cell>
          <cell r="H161">
            <v>36.880000000000003</v>
          </cell>
        </row>
        <row r="162">
          <cell r="A162">
            <v>46066</v>
          </cell>
          <cell r="C162" t="str">
            <v xml:space="preserve">Bela Vista </v>
          </cell>
          <cell r="H162">
            <v>37.44</v>
          </cell>
        </row>
        <row r="163">
          <cell r="A163">
            <v>46066</v>
          </cell>
          <cell r="C163" t="str">
            <v xml:space="preserve">Bela Vista </v>
          </cell>
          <cell r="H163">
            <v>37.26</v>
          </cell>
        </row>
        <row r="164">
          <cell r="A164">
            <v>46066</v>
          </cell>
          <cell r="C164" t="str">
            <v xml:space="preserve">Bela Vista </v>
          </cell>
          <cell r="H164">
            <v>25.14</v>
          </cell>
        </row>
        <row r="165">
          <cell r="A165">
            <v>46066</v>
          </cell>
          <cell r="C165" t="str">
            <v xml:space="preserve">Bela Vista </v>
          </cell>
          <cell r="H165">
            <v>30.16</v>
          </cell>
        </row>
        <row r="166">
          <cell r="A166">
            <v>46066</v>
          </cell>
          <cell r="C166" t="str">
            <v xml:space="preserve">Bela Vista </v>
          </cell>
          <cell r="H166">
            <v>30.7</v>
          </cell>
        </row>
        <row r="167">
          <cell r="A167">
            <v>46066</v>
          </cell>
          <cell r="C167" t="str">
            <v xml:space="preserve">Bela Vista </v>
          </cell>
          <cell r="H167">
            <v>38.36</v>
          </cell>
        </row>
        <row r="168">
          <cell r="A168">
            <v>46066</v>
          </cell>
          <cell r="C168" t="str">
            <v xml:space="preserve">Bela Vista </v>
          </cell>
          <cell r="H168">
            <v>38.18</v>
          </cell>
        </row>
        <row r="169">
          <cell r="A169">
            <v>46066</v>
          </cell>
          <cell r="C169" t="str">
            <v xml:space="preserve">Bela Vista </v>
          </cell>
          <cell r="H169">
            <v>37.68</v>
          </cell>
        </row>
        <row r="170">
          <cell r="A170">
            <v>46066</v>
          </cell>
          <cell r="C170" t="str">
            <v xml:space="preserve">Bela Vista </v>
          </cell>
          <cell r="H170">
            <v>37.86</v>
          </cell>
        </row>
        <row r="171">
          <cell r="A171">
            <v>46066</v>
          </cell>
          <cell r="C171" t="str">
            <v xml:space="preserve">Bela Vista </v>
          </cell>
          <cell r="H171">
            <v>37.700000000000003</v>
          </cell>
        </row>
        <row r="172">
          <cell r="A172">
            <v>46066</v>
          </cell>
          <cell r="C172" t="str">
            <v xml:space="preserve">Bela Vista </v>
          </cell>
          <cell r="H172">
            <v>24.52</v>
          </cell>
        </row>
        <row r="173">
          <cell r="A173">
            <v>46066</v>
          </cell>
          <cell r="C173" t="str">
            <v xml:space="preserve">Bela Vista </v>
          </cell>
          <cell r="H173">
            <v>24.66</v>
          </cell>
        </row>
        <row r="174">
          <cell r="A174">
            <v>46066</v>
          </cell>
          <cell r="C174" t="str">
            <v xml:space="preserve">Bela Vista </v>
          </cell>
          <cell r="H174">
            <v>38.04</v>
          </cell>
        </row>
        <row r="175">
          <cell r="A175">
            <v>46066</v>
          </cell>
          <cell r="C175" t="str">
            <v xml:space="preserve">Bela Vista </v>
          </cell>
          <cell r="H175">
            <v>37.380000000000003</v>
          </cell>
        </row>
        <row r="176">
          <cell r="A176">
            <v>46066</v>
          </cell>
          <cell r="C176" t="str">
            <v xml:space="preserve">Bela Vista </v>
          </cell>
          <cell r="H176">
            <v>37.32</v>
          </cell>
        </row>
        <row r="177">
          <cell r="A177">
            <v>46066</v>
          </cell>
          <cell r="C177" t="str">
            <v xml:space="preserve">Bela Vista </v>
          </cell>
          <cell r="H177">
            <v>38.14</v>
          </cell>
        </row>
        <row r="178">
          <cell r="A178">
            <v>46066</v>
          </cell>
          <cell r="C178" t="str">
            <v xml:space="preserve">Bela Vista </v>
          </cell>
          <cell r="H178">
            <v>37</v>
          </cell>
        </row>
        <row r="179">
          <cell r="A179">
            <v>46066</v>
          </cell>
          <cell r="C179" t="str">
            <v xml:space="preserve">Bela Vista </v>
          </cell>
          <cell r="H179">
            <v>37.56</v>
          </cell>
        </row>
        <row r="180">
          <cell r="A180">
            <v>46066</v>
          </cell>
          <cell r="C180" t="str">
            <v xml:space="preserve">Bela Vista </v>
          </cell>
          <cell r="H180">
            <v>35.46</v>
          </cell>
        </row>
        <row r="181">
          <cell r="A181">
            <v>46066</v>
          </cell>
          <cell r="C181" t="str">
            <v xml:space="preserve">Bela Vista </v>
          </cell>
          <cell r="H181">
            <v>29.14</v>
          </cell>
        </row>
        <row r="182">
          <cell r="A182">
            <v>46066</v>
          </cell>
          <cell r="C182" t="str">
            <v xml:space="preserve">Bela Vista </v>
          </cell>
          <cell r="H182">
            <v>35.200000000000003</v>
          </cell>
        </row>
        <row r="183">
          <cell r="A183">
            <v>46066</v>
          </cell>
          <cell r="C183" t="str">
            <v xml:space="preserve">Bela Vista </v>
          </cell>
          <cell r="H183">
            <v>29.86</v>
          </cell>
        </row>
        <row r="184">
          <cell r="A184">
            <v>46066</v>
          </cell>
          <cell r="C184" t="str">
            <v xml:space="preserve">Bela Vista </v>
          </cell>
          <cell r="H184">
            <v>24.44</v>
          </cell>
        </row>
        <row r="185">
          <cell r="A185">
            <v>46066</v>
          </cell>
          <cell r="C185" t="str">
            <v xml:space="preserve">Bela Vista </v>
          </cell>
          <cell r="H185">
            <v>35.82</v>
          </cell>
        </row>
        <row r="186">
          <cell r="A186">
            <v>46066</v>
          </cell>
          <cell r="C186" t="str">
            <v xml:space="preserve">Bela Vista </v>
          </cell>
          <cell r="H186">
            <v>29.64</v>
          </cell>
        </row>
        <row r="187">
          <cell r="A187">
            <v>46066</v>
          </cell>
          <cell r="C187" t="str">
            <v xml:space="preserve">Bela Vista </v>
          </cell>
          <cell r="H187">
            <v>29.72</v>
          </cell>
        </row>
        <row r="188">
          <cell r="A188">
            <v>46066</v>
          </cell>
          <cell r="C188" t="str">
            <v xml:space="preserve">Bela Vista </v>
          </cell>
          <cell r="H188">
            <v>35.56</v>
          </cell>
        </row>
        <row r="189">
          <cell r="A189">
            <v>46066</v>
          </cell>
          <cell r="C189" t="str">
            <v xml:space="preserve">Bela Vista </v>
          </cell>
          <cell r="H189">
            <v>34.42</v>
          </cell>
        </row>
        <row r="190">
          <cell r="A190">
            <v>46066</v>
          </cell>
          <cell r="C190" t="str">
            <v xml:space="preserve">Bela Vista </v>
          </cell>
          <cell r="H190">
            <v>38.18</v>
          </cell>
        </row>
        <row r="191">
          <cell r="A191">
            <v>46067</v>
          </cell>
          <cell r="C191" t="str">
            <v xml:space="preserve">Bela Vista </v>
          </cell>
          <cell r="H191">
            <v>36.32</v>
          </cell>
        </row>
        <row r="192">
          <cell r="A192">
            <v>46067</v>
          </cell>
          <cell r="C192" t="str">
            <v xml:space="preserve">Bela Vista </v>
          </cell>
          <cell r="H192">
            <v>32.36</v>
          </cell>
        </row>
        <row r="193">
          <cell r="A193">
            <v>46069</v>
          </cell>
          <cell r="C193" t="str">
            <v xml:space="preserve">Bela Vista </v>
          </cell>
          <cell r="H193">
            <v>34</v>
          </cell>
        </row>
        <row r="194">
          <cell r="A194">
            <v>46067</v>
          </cell>
          <cell r="C194" t="str">
            <v xml:space="preserve">Bela Vista </v>
          </cell>
          <cell r="H194">
            <v>35.28</v>
          </cell>
        </row>
        <row r="195">
          <cell r="A195">
            <v>46067</v>
          </cell>
          <cell r="C195" t="str">
            <v xml:space="preserve">Bela Vista </v>
          </cell>
          <cell r="H195">
            <v>24.14</v>
          </cell>
        </row>
        <row r="196">
          <cell r="A196">
            <v>46067</v>
          </cell>
          <cell r="C196" t="str">
            <v xml:space="preserve">Bela Vista </v>
          </cell>
          <cell r="H196">
            <v>25.28</v>
          </cell>
        </row>
        <row r="197">
          <cell r="A197">
            <v>46067</v>
          </cell>
          <cell r="C197" t="str">
            <v xml:space="preserve">Bela Vista </v>
          </cell>
          <cell r="H197">
            <v>29.96</v>
          </cell>
        </row>
        <row r="198">
          <cell r="A198">
            <v>46067</v>
          </cell>
          <cell r="C198" t="str">
            <v xml:space="preserve">Bela Vista </v>
          </cell>
          <cell r="H198">
            <v>30.48</v>
          </cell>
        </row>
        <row r="199">
          <cell r="A199">
            <v>46067</v>
          </cell>
          <cell r="C199" t="str">
            <v xml:space="preserve">Bela Vista </v>
          </cell>
          <cell r="H199">
            <v>27.18</v>
          </cell>
        </row>
        <row r="200">
          <cell r="A200">
            <v>46067</v>
          </cell>
          <cell r="C200" t="str">
            <v xml:space="preserve">Bela Vista </v>
          </cell>
          <cell r="H200">
            <v>27.7</v>
          </cell>
        </row>
        <row r="201">
          <cell r="A201">
            <v>46067</v>
          </cell>
          <cell r="C201" t="str">
            <v xml:space="preserve">Bela Vista </v>
          </cell>
          <cell r="H201">
            <v>30.82</v>
          </cell>
        </row>
        <row r="202">
          <cell r="A202">
            <v>46067</v>
          </cell>
          <cell r="C202" t="str">
            <v xml:space="preserve">Bela Vista </v>
          </cell>
          <cell r="H202">
            <v>26.1</v>
          </cell>
        </row>
        <row r="203">
          <cell r="A203">
            <v>46067</v>
          </cell>
          <cell r="C203" t="str">
            <v xml:space="preserve">Bela Vista </v>
          </cell>
          <cell r="H203">
            <v>27.6</v>
          </cell>
        </row>
        <row r="204">
          <cell r="A204">
            <v>46067</v>
          </cell>
          <cell r="C204" t="str">
            <v xml:space="preserve">Bela Vista </v>
          </cell>
          <cell r="H204">
            <v>27.8</v>
          </cell>
        </row>
        <row r="205">
          <cell r="A205">
            <v>46067</v>
          </cell>
          <cell r="C205" t="str">
            <v xml:space="preserve">Bela Vista </v>
          </cell>
          <cell r="H205">
            <v>27.14</v>
          </cell>
        </row>
        <row r="206">
          <cell r="A206">
            <v>46067</v>
          </cell>
          <cell r="C206" t="str">
            <v xml:space="preserve">Bela Vista </v>
          </cell>
          <cell r="H206">
            <v>27.68</v>
          </cell>
        </row>
        <row r="207">
          <cell r="A207">
            <v>46067</v>
          </cell>
          <cell r="C207" t="str">
            <v xml:space="preserve">Bela Vista </v>
          </cell>
          <cell r="H207">
            <v>31.74</v>
          </cell>
        </row>
        <row r="208">
          <cell r="A208">
            <v>46067</v>
          </cell>
          <cell r="C208" t="str">
            <v xml:space="preserve">Bela Vista </v>
          </cell>
          <cell r="H208">
            <v>30.2</v>
          </cell>
        </row>
        <row r="209">
          <cell r="A209">
            <v>46067</v>
          </cell>
          <cell r="C209" t="str">
            <v xml:space="preserve">Bela Vista </v>
          </cell>
          <cell r="H209">
            <v>27.3</v>
          </cell>
        </row>
        <row r="210">
          <cell r="A210">
            <v>46067</v>
          </cell>
          <cell r="C210" t="str">
            <v xml:space="preserve">Bela Vista </v>
          </cell>
          <cell r="H210">
            <v>27.96</v>
          </cell>
        </row>
        <row r="211">
          <cell r="A211">
            <v>46067</v>
          </cell>
          <cell r="C211" t="str">
            <v xml:space="preserve">Bela Vista </v>
          </cell>
          <cell r="H211">
            <v>26.26</v>
          </cell>
        </row>
        <row r="212">
          <cell r="A212">
            <v>46067</v>
          </cell>
          <cell r="C212" t="str">
            <v xml:space="preserve">Bela Vista </v>
          </cell>
          <cell r="H212">
            <v>26.82</v>
          </cell>
        </row>
        <row r="213">
          <cell r="A213">
            <v>46067</v>
          </cell>
          <cell r="C213" t="str">
            <v xml:space="preserve">Bela Vista </v>
          </cell>
          <cell r="H213">
            <v>27.2</v>
          </cell>
        </row>
        <row r="214">
          <cell r="A214">
            <v>46067</v>
          </cell>
          <cell r="C214" t="str">
            <v xml:space="preserve">Bela Vista </v>
          </cell>
          <cell r="H214">
            <v>26.64</v>
          </cell>
        </row>
        <row r="215">
          <cell r="A215">
            <v>46069</v>
          </cell>
          <cell r="C215" t="str">
            <v xml:space="preserve">Bela Vista </v>
          </cell>
          <cell r="H215">
            <v>31.88</v>
          </cell>
        </row>
        <row r="216">
          <cell r="A216">
            <v>46069</v>
          </cell>
          <cell r="C216" t="str">
            <v xml:space="preserve">Bela Vista </v>
          </cell>
          <cell r="H216">
            <v>27.44</v>
          </cell>
        </row>
        <row r="217">
          <cell r="A217">
            <v>46069</v>
          </cell>
          <cell r="C217" t="str">
            <v xml:space="preserve">Bela Vista </v>
          </cell>
          <cell r="H217">
            <v>28.02</v>
          </cell>
        </row>
        <row r="218">
          <cell r="A218">
            <v>46069</v>
          </cell>
          <cell r="C218" t="str">
            <v xml:space="preserve">Bela Vista </v>
          </cell>
          <cell r="H218">
            <v>27.8</v>
          </cell>
        </row>
        <row r="219">
          <cell r="A219">
            <v>46069</v>
          </cell>
          <cell r="C219" t="str">
            <v xml:space="preserve">Bela Vista </v>
          </cell>
          <cell r="H219">
            <v>30.78</v>
          </cell>
        </row>
        <row r="220">
          <cell r="A220">
            <v>46070</v>
          </cell>
          <cell r="C220" t="str">
            <v xml:space="preserve">Bela Vista </v>
          </cell>
          <cell r="H220">
            <v>27.92</v>
          </cell>
        </row>
        <row r="221">
          <cell r="A221">
            <v>46069</v>
          </cell>
          <cell r="C221" t="str">
            <v xml:space="preserve">Bela Vista </v>
          </cell>
          <cell r="H221">
            <v>37.4</v>
          </cell>
        </row>
        <row r="222">
          <cell r="A222">
            <v>46069</v>
          </cell>
          <cell r="C222" t="str">
            <v xml:space="preserve">Bela Vista </v>
          </cell>
          <cell r="H222">
            <v>25.06</v>
          </cell>
        </row>
        <row r="223">
          <cell r="A223">
            <v>46069</v>
          </cell>
          <cell r="C223" t="str">
            <v xml:space="preserve">Bela Vista </v>
          </cell>
          <cell r="H223">
            <v>25.32</v>
          </cell>
        </row>
        <row r="224">
          <cell r="A224">
            <v>46069</v>
          </cell>
          <cell r="C224" t="str">
            <v xml:space="preserve">Bela Vista </v>
          </cell>
          <cell r="H224">
            <v>37.700000000000003</v>
          </cell>
        </row>
        <row r="225">
          <cell r="A225">
            <v>46069</v>
          </cell>
          <cell r="C225" t="str">
            <v xml:space="preserve">Bela Vista </v>
          </cell>
          <cell r="H225">
            <v>27.24</v>
          </cell>
        </row>
        <row r="226">
          <cell r="A226">
            <v>46069</v>
          </cell>
          <cell r="C226" t="str">
            <v xml:space="preserve">Bela Vista </v>
          </cell>
          <cell r="H226">
            <v>31.48</v>
          </cell>
        </row>
        <row r="227">
          <cell r="A227">
            <v>46069</v>
          </cell>
          <cell r="C227" t="str">
            <v xml:space="preserve">Bela Vista </v>
          </cell>
          <cell r="H227">
            <v>26.2</v>
          </cell>
        </row>
        <row r="228">
          <cell r="A228">
            <v>46069</v>
          </cell>
          <cell r="C228" t="str">
            <v xml:space="preserve">Bela Vista </v>
          </cell>
          <cell r="H228">
            <v>32.64</v>
          </cell>
        </row>
        <row r="229">
          <cell r="A229">
            <v>46069</v>
          </cell>
          <cell r="C229" t="str">
            <v xml:space="preserve">Bela Vista </v>
          </cell>
          <cell r="H229">
            <v>27.16</v>
          </cell>
        </row>
        <row r="230">
          <cell r="A230">
            <v>46069</v>
          </cell>
          <cell r="C230" t="str">
            <v xml:space="preserve">Bela Vista </v>
          </cell>
          <cell r="H230">
            <v>26.4</v>
          </cell>
        </row>
        <row r="231">
          <cell r="A231">
            <v>46069</v>
          </cell>
          <cell r="C231" t="str">
            <v xml:space="preserve">Bela Vista </v>
          </cell>
          <cell r="H231">
            <v>27.18</v>
          </cell>
        </row>
        <row r="232">
          <cell r="A232">
            <v>46069</v>
          </cell>
          <cell r="C232" t="str">
            <v xml:space="preserve">Bela Vista </v>
          </cell>
          <cell r="H232">
            <v>26.78</v>
          </cell>
        </row>
        <row r="233">
          <cell r="A233">
            <v>46069</v>
          </cell>
          <cell r="C233" t="str">
            <v xml:space="preserve">Bela Vista </v>
          </cell>
          <cell r="H233">
            <v>32.74</v>
          </cell>
        </row>
        <row r="234">
          <cell r="A234">
            <v>46069</v>
          </cell>
          <cell r="C234" t="str">
            <v xml:space="preserve">Bela Vista </v>
          </cell>
          <cell r="H234">
            <v>27.4</v>
          </cell>
        </row>
        <row r="235">
          <cell r="A235">
            <v>46069</v>
          </cell>
          <cell r="C235" t="str">
            <v xml:space="preserve">Bela Vista </v>
          </cell>
          <cell r="H235">
            <v>27.1</v>
          </cell>
        </row>
        <row r="236">
          <cell r="A236">
            <v>46069</v>
          </cell>
          <cell r="C236" t="str">
            <v xml:space="preserve">Bela Vista </v>
          </cell>
          <cell r="H236">
            <v>32.92</v>
          </cell>
        </row>
        <row r="237">
          <cell r="A237">
            <v>46069</v>
          </cell>
          <cell r="C237" t="str">
            <v xml:space="preserve">Bela Vista </v>
          </cell>
          <cell r="H237">
            <v>27.2</v>
          </cell>
        </row>
        <row r="238">
          <cell r="A238">
            <v>46070</v>
          </cell>
          <cell r="C238" t="str">
            <v xml:space="preserve">Bela Vista </v>
          </cell>
          <cell r="H238">
            <v>33.159999999999997</v>
          </cell>
        </row>
        <row r="239">
          <cell r="A239">
            <v>46070</v>
          </cell>
          <cell r="C239" t="str">
            <v xml:space="preserve">Bela Vista </v>
          </cell>
          <cell r="H239">
            <v>28.14</v>
          </cell>
        </row>
        <row r="240">
          <cell r="A240">
            <v>46070</v>
          </cell>
          <cell r="C240" t="str">
            <v xml:space="preserve">Bela Vista </v>
          </cell>
          <cell r="H240">
            <v>26.86</v>
          </cell>
        </row>
        <row r="241">
          <cell r="A241">
            <v>46070</v>
          </cell>
          <cell r="C241" t="str">
            <v xml:space="preserve">Bela Vista </v>
          </cell>
          <cell r="H241">
            <v>26.66</v>
          </cell>
        </row>
        <row r="242">
          <cell r="A242">
            <v>46070</v>
          </cell>
          <cell r="C242" t="str">
            <v xml:space="preserve">Bela Vista </v>
          </cell>
          <cell r="H242">
            <v>32.619999999999997</v>
          </cell>
        </row>
        <row r="243">
          <cell r="A243">
            <v>46070</v>
          </cell>
          <cell r="C243" t="str">
            <v xml:space="preserve">Bela Vista </v>
          </cell>
          <cell r="H243">
            <v>27.16</v>
          </cell>
        </row>
        <row r="244">
          <cell r="A244">
            <v>46070</v>
          </cell>
          <cell r="C244" t="str">
            <v xml:space="preserve">Bela Vista </v>
          </cell>
          <cell r="H244">
            <v>24.1</v>
          </cell>
        </row>
        <row r="245">
          <cell r="A245">
            <v>46070</v>
          </cell>
          <cell r="C245" t="str">
            <v xml:space="preserve">Bela Vista </v>
          </cell>
          <cell r="H245">
            <v>24.58</v>
          </cell>
        </row>
        <row r="246">
          <cell r="A246">
            <v>46070</v>
          </cell>
          <cell r="C246" t="str">
            <v xml:space="preserve">Bela Vista </v>
          </cell>
          <cell r="H246">
            <v>24.3</v>
          </cell>
        </row>
        <row r="247">
          <cell r="A247">
            <v>46070</v>
          </cell>
          <cell r="C247" t="str">
            <v xml:space="preserve">Bela Vista </v>
          </cell>
          <cell r="H247">
            <v>26.76</v>
          </cell>
        </row>
        <row r="248">
          <cell r="A248">
            <v>46070</v>
          </cell>
          <cell r="C248" t="str">
            <v xml:space="preserve">Bela Vista </v>
          </cell>
          <cell r="H248">
            <v>25</v>
          </cell>
        </row>
        <row r="249">
          <cell r="A249">
            <v>46070</v>
          </cell>
          <cell r="C249" t="str">
            <v xml:space="preserve">Bela Vista </v>
          </cell>
          <cell r="H249">
            <v>29.8</v>
          </cell>
        </row>
        <row r="250">
          <cell r="A250">
            <v>46070</v>
          </cell>
          <cell r="C250" t="str">
            <v xml:space="preserve">Bela Vista </v>
          </cell>
          <cell r="H250">
            <v>26.92</v>
          </cell>
        </row>
        <row r="251">
          <cell r="A251">
            <v>46070</v>
          </cell>
          <cell r="C251" t="str">
            <v xml:space="preserve">Bela Vista </v>
          </cell>
          <cell r="H251">
            <v>28.12</v>
          </cell>
        </row>
        <row r="252">
          <cell r="A252">
            <v>46070</v>
          </cell>
          <cell r="C252" t="str">
            <v xml:space="preserve">Bela Vista </v>
          </cell>
          <cell r="H252">
            <v>27.36</v>
          </cell>
        </row>
        <row r="253">
          <cell r="A253">
            <v>46070</v>
          </cell>
          <cell r="C253" t="str">
            <v xml:space="preserve">Bela Vista </v>
          </cell>
          <cell r="H253">
            <v>27.5</v>
          </cell>
        </row>
        <row r="254">
          <cell r="A254">
            <v>46070</v>
          </cell>
          <cell r="C254" t="str">
            <v xml:space="preserve">Bela Vista </v>
          </cell>
          <cell r="H254">
            <v>27.24</v>
          </cell>
        </row>
        <row r="255">
          <cell r="A255">
            <v>46071</v>
          </cell>
          <cell r="C255" t="str">
            <v xml:space="preserve">Bela Vista </v>
          </cell>
          <cell r="H255">
            <v>26.98</v>
          </cell>
        </row>
        <row r="256">
          <cell r="A256">
            <v>46071</v>
          </cell>
          <cell r="C256" t="str">
            <v xml:space="preserve">Bela Vista </v>
          </cell>
          <cell r="H256">
            <v>26.92</v>
          </cell>
        </row>
        <row r="257">
          <cell r="A257">
            <v>46071</v>
          </cell>
          <cell r="C257" t="str">
            <v xml:space="preserve">Bela Vista </v>
          </cell>
          <cell r="H257">
            <v>31.76</v>
          </cell>
        </row>
        <row r="258">
          <cell r="A258">
            <v>46071</v>
          </cell>
          <cell r="C258" t="str">
            <v xml:space="preserve">Bela Vista </v>
          </cell>
          <cell r="H258">
            <v>26.36</v>
          </cell>
        </row>
        <row r="259">
          <cell r="A259">
            <v>46071</v>
          </cell>
          <cell r="C259" t="str">
            <v xml:space="preserve">Bela Vista </v>
          </cell>
          <cell r="H259">
            <v>30.4</v>
          </cell>
        </row>
        <row r="260">
          <cell r="A260">
            <v>46071</v>
          </cell>
          <cell r="C260" t="str">
            <v xml:space="preserve">Bela Vista </v>
          </cell>
          <cell r="H260">
            <v>28.14</v>
          </cell>
        </row>
        <row r="261">
          <cell r="A261">
            <v>46071</v>
          </cell>
          <cell r="C261" t="str">
            <v xml:space="preserve">Bela Vista </v>
          </cell>
          <cell r="H261">
            <v>26.1</v>
          </cell>
        </row>
        <row r="262">
          <cell r="A262">
            <v>46071</v>
          </cell>
          <cell r="C262" t="str">
            <v xml:space="preserve">Bela Vista </v>
          </cell>
          <cell r="H262">
            <v>26.58</v>
          </cell>
        </row>
        <row r="263">
          <cell r="A263">
            <v>46071</v>
          </cell>
          <cell r="C263" t="str">
            <v xml:space="preserve">Bela Vista </v>
          </cell>
          <cell r="H263">
            <v>26.46</v>
          </cell>
        </row>
        <row r="264">
          <cell r="A264">
            <v>46071</v>
          </cell>
          <cell r="C264" t="str">
            <v xml:space="preserve">Bela Vista </v>
          </cell>
          <cell r="H264">
            <v>26.64</v>
          </cell>
        </row>
        <row r="265">
          <cell r="A265">
            <v>46071</v>
          </cell>
          <cell r="C265" t="str">
            <v xml:space="preserve">Bela Vista </v>
          </cell>
          <cell r="H265">
            <v>26.26</v>
          </cell>
        </row>
        <row r="266">
          <cell r="A266">
            <v>46071</v>
          </cell>
          <cell r="C266" t="str">
            <v xml:space="preserve">Bela Vista </v>
          </cell>
          <cell r="H266">
            <v>26.5</v>
          </cell>
        </row>
        <row r="267">
          <cell r="A267">
            <v>46071</v>
          </cell>
          <cell r="C267" t="str">
            <v xml:space="preserve">Bela Vista </v>
          </cell>
          <cell r="H267">
            <v>31.76</v>
          </cell>
        </row>
        <row r="268">
          <cell r="A268">
            <v>46071</v>
          </cell>
          <cell r="C268" t="str">
            <v xml:space="preserve">Bela Vista </v>
          </cell>
          <cell r="H268">
            <v>31.96</v>
          </cell>
        </row>
        <row r="269">
          <cell r="A269">
            <v>46071</v>
          </cell>
          <cell r="C269" t="str">
            <v xml:space="preserve">Bela Vista </v>
          </cell>
          <cell r="H269">
            <v>26.16</v>
          </cell>
        </row>
        <row r="270">
          <cell r="A270">
            <v>46071</v>
          </cell>
          <cell r="C270" t="str">
            <v xml:space="preserve">Bela Vista </v>
          </cell>
          <cell r="H270">
            <v>25.62</v>
          </cell>
        </row>
        <row r="271">
          <cell r="A271">
            <v>46071</v>
          </cell>
          <cell r="C271" t="str">
            <v xml:space="preserve">Bela Vista </v>
          </cell>
          <cell r="H271">
            <v>25.78</v>
          </cell>
        </row>
        <row r="272">
          <cell r="A272">
            <v>46071</v>
          </cell>
          <cell r="C272" t="str">
            <v xml:space="preserve">Bela Vista </v>
          </cell>
          <cell r="H272">
            <v>26.62</v>
          </cell>
        </row>
        <row r="273">
          <cell r="A273">
            <v>46071</v>
          </cell>
          <cell r="C273" t="str">
            <v xml:space="preserve">Bela Vista </v>
          </cell>
          <cell r="H273">
            <v>25.98</v>
          </cell>
        </row>
        <row r="274">
          <cell r="A274">
            <v>46071</v>
          </cell>
          <cell r="C274" t="str">
            <v xml:space="preserve">Bela Vista </v>
          </cell>
          <cell r="H274">
            <v>25.9</v>
          </cell>
        </row>
        <row r="275">
          <cell r="A275">
            <v>46071</v>
          </cell>
          <cell r="C275" t="str">
            <v xml:space="preserve">Bela Vista </v>
          </cell>
          <cell r="H275">
            <v>26.62</v>
          </cell>
        </row>
        <row r="276">
          <cell r="A276">
            <v>46071</v>
          </cell>
          <cell r="C276" t="str">
            <v xml:space="preserve">Bela Vista </v>
          </cell>
          <cell r="H276">
            <v>26.82</v>
          </cell>
        </row>
        <row r="277">
          <cell r="A277">
            <v>46071</v>
          </cell>
          <cell r="C277" t="str">
            <v xml:space="preserve">Bela Vista </v>
          </cell>
          <cell r="H277">
            <v>31.26</v>
          </cell>
        </row>
        <row r="278">
          <cell r="A278">
            <v>46071</v>
          </cell>
          <cell r="C278" t="str">
            <v xml:space="preserve">Bela Vista </v>
          </cell>
          <cell r="H278">
            <v>30.06</v>
          </cell>
        </row>
        <row r="279">
          <cell r="A279">
            <v>46071</v>
          </cell>
          <cell r="C279" t="str">
            <v xml:space="preserve">Bela Vista </v>
          </cell>
          <cell r="H279">
            <v>30.42</v>
          </cell>
        </row>
        <row r="280">
          <cell r="A280">
            <v>46071</v>
          </cell>
          <cell r="C280" t="str">
            <v xml:space="preserve">Bela Vista </v>
          </cell>
          <cell r="H280">
            <v>30.58</v>
          </cell>
        </row>
        <row r="281">
          <cell r="A281">
            <v>46072</v>
          </cell>
          <cell r="C281" t="str">
            <v xml:space="preserve">Bela Vista </v>
          </cell>
          <cell r="H281">
            <v>27.12</v>
          </cell>
        </row>
        <row r="282">
          <cell r="A282">
            <v>46072</v>
          </cell>
          <cell r="C282" t="str">
            <v xml:space="preserve">Bela Vista </v>
          </cell>
          <cell r="H282">
            <v>27.54</v>
          </cell>
        </row>
        <row r="283">
          <cell r="A283">
            <v>46072</v>
          </cell>
          <cell r="C283" t="str">
            <v xml:space="preserve">Bela Vista </v>
          </cell>
          <cell r="H283">
            <v>27.5</v>
          </cell>
        </row>
        <row r="284">
          <cell r="A284">
            <v>46072</v>
          </cell>
          <cell r="C284" t="str">
            <v xml:space="preserve">Bela Vista </v>
          </cell>
          <cell r="H284">
            <v>29.44</v>
          </cell>
        </row>
        <row r="285">
          <cell r="A285">
            <v>46072</v>
          </cell>
          <cell r="C285" t="str">
            <v xml:space="preserve">Bela Vista </v>
          </cell>
          <cell r="H285">
            <v>31.9</v>
          </cell>
        </row>
        <row r="286">
          <cell r="A286">
            <v>46072</v>
          </cell>
          <cell r="C286" t="str">
            <v xml:space="preserve">Bela Vista </v>
          </cell>
          <cell r="H286">
            <v>30.56</v>
          </cell>
        </row>
        <row r="287">
          <cell r="A287">
            <v>46072</v>
          </cell>
          <cell r="C287" t="str">
            <v xml:space="preserve">Bela Vista </v>
          </cell>
          <cell r="H287">
            <v>35.659999999999997</v>
          </cell>
        </row>
        <row r="288">
          <cell r="A288">
            <v>46072</v>
          </cell>
          <cell r="C288" t="str">
            <v xml:space="preserve">Bela Vista </v>
          </cell>
          <cell r="H288">
            <v>33.659999999999997</v>
          </cell>
        </row>
        <row r="289">
          <cell r="A289">
            <v>46072</v>
          </cell>
          <cell r="C289" t="str">
            <v xml:space="preserve">Bela Vista </v>
          </cell>
          <cell r="H289">
            <v>36.56</v>
          </cell>
        </row>
        <row r="290">
          <cell r="A290">
            <v>46072</v>
          </cell>
          <cell r="C290" t="str">
            <v xml:space="preserve">Bela Vista </v>
          </cell>
          <cell r="H290">
            <v>37.28</v>
          </cell>
        </row>
        <row r="291">
          <cell r="A291">
            <v>46072</v>
          </cell>
          <cell r="C291" t="str">
            <v xml:space="preserve">Bela Vista </v>
          </cell>
          <cell r="H291">
            <v>30.82</v>
          </cell>
        </row>
        <row r="292">
          <cell r="A292">
            <v>46072</v>
          </cell>
          <cell r="C292" t="str">
            <v xml:space="preserve">Bela Vista </v>
          </cell>
          <cell r="H292">
            <v>30.46</v>
          </cell>
        </row>
        <row r="293">
          <cell r="A293">
            <v>46072</v>
          </cell>
          <cell r="C293" t="str">
            <v xml:space="preserve">Bela Vista </v>
          </cell>
          <cell r="H293">
            <v>29.54</v>
          </cell>
        </row>
        <row r="294">
          <cell r="A294">
            <v>46072</v>
          </cell>
          <cell r="C294" t="str">
            <v xml:space="preserve">Bela Vista </v>
          </cell>
          <cell r="H294">
            <v>31.48</v>
          </cell>
        </row>
        <row r="295">
          <cell r="A295">
            <v>46072</v>
          </cell>
          <cell r="C295" t="str">
            <v xml:space="preserve">Bela Vista </v>
          </cell>
          <cell r="H295">
            <v>31.7</v>
          </cell>
        </row>
        <row r="296">
          <cell r="A296">
            <v>46072</v>
          </cell>
          <cell r="C296" t="str">
            <v xml:space="preserve">Bela Vista </v>
          </cell>
          <cell r="H296">
            <v>31.14</v>
          </cell>
        </row>
        <row r="297">
          <cell r="A297">
            <v>46072</v>
          </cell>
          <cell r="C297" t="str">
            <v xml:space="preserve">Bela Vista </v>
          </cell>
          <cell r="H297">
            <v>34.76</v>
          </cell>
        </row>
        <row r="298">
          <cell r="A298">
            <v>46072</v>
          </cell>
          <cell r="C298" t="str">
            <v xml:space="preserve">Bela Vista </v>
          </cell>
          <cell r="H298">
            <v>32.04</v>
          </cell>
        </row>
        <row r="299">
          <cell r="A299">
            <v>46072</v>
          </cell>
          <cell r="C299" t="str">
            <v xml:space="preserve">Bela Vista </v>
          </cell>
          <cell r="H299">
            <v>31.28</v>
          </cell>
        </row>
        <row r="300">
          <cell r="A300">
            <v>46072</v>
          </cell>
          <cell r="C300" t="str">
            <v xml:space="preserve">Bela Vista </v>
          </cell>
          <cell r="H300">
            <v>60.62</v>
          </cell>
        </row>
        <row r="301">
          <cell r="A301">
            <v>46072</v>
          </cell>
          <cell r="C301" t="str">
            <v xml:space="preserve">Bela Vista </v>
          </cell>
          <cell r="H301">
            <v>30.28</v>
          </cell>
        </row>
        <row r="302">
          <cell r="A302">
            <v>46072</v>
          </cell>
          <cell r="C302" t="str">
            <v xml:space="preserve">Bela Vista </v>
          </cell>
          <cell r="H302">
            <v>30.64</v>
          </cell>
        </row>
        <row r="303">
          <cell r="A303">
            <v>46072</v>
          </cell>
          <cell r="C303" t="str">
            <v xml:space="preserve">Bela Vista </v>
          </cell>
          <cell r="H303">
            <v>31.48</v>
          </cell>
        </row>
        <row r="304">
          <cell r="A304">
            <v>46073</v>
          </cell>
          <cell r="C304" t="str">
            <v xml:space="preserve">Bela Vista </v>
          </cell>
          <cell r="H304">
            <v>51.5</v>
          </cell>
        </row>
        <row r="305">
          <cell r="A305">
            <v>46073</v>
          </cell>
          <cell r="C305" t="str">
            <v xml:space="preserve">Bela Vista </v>
          </cell>
          <cell r="H305">
            <v>35.9</v>
          </cell>
        </row>
        <row r="306">
          <cell r="A306">
            <v>46073</v>
          </cell>
          <cell r="C306" t="str">
            <v xml:space="preserve">Bela Vista </v>
          </cell>
          <cell r="H306">
            <v>31.74</v>
          </cell>
        </row>
        <row r="307">
          <cell r="A307">
            <v>46073</v>
          </cell>
          <cell r="C307" t="str">
            <v xml:space="preserve">Bela Vista </v>
          </cell>
          <cell r="H307">
            <v>31.32</v>
          </cell>
        </row>
        <row r="308">
          <cell r="A308">
            <v>46073</v>
          </cell>
          <cell r="C308" t="str">
            <v xml:space="preserve">Bela Vista </v>
          </cell>
          <cell r="H308">
            <v>55.2</v>
          </cell>
        </row>
        <row r="309">
          <cell r="A309">
            <v>46073</v>
          </cell>
          <cell r="C309" t="str">
            <v xml:space="preserve">Bela Vista </v>
          </cell>
          <cell r="H309">
            <v>55.78</v>
          </cell>
        </row>
        <row r="310">
          <cell r="A310">
            <v>46073</v>
          </cell>
          <cell r="C310" t="str">
            <v xml:space="preserve">Bela Vista </v>
          </cell>
          <cell r="H310">
            <v>50.52</v>
          </cell>
        </row>
        <row r="311">
          <cell r="A311">
            <v>46073</v>
          </cell>
          <cell r="C311" t="str">
            <v xml:space="preserve">Bela Vista </v>
          </cell>
          <cell r="H311">
            <v>55.88</v>
          </cell>
        </row>
        <row r="312">
          <cell r="A312">
            <v>46073</v>
          </cell>
          <cell r="C312" t="str">
            <v xml:space="preserve">Bela Vista </v>
          </cell>
          <cell r="H312">
            <v>38.58</v>
          </cell>
        </row>
        <row r="313">
          <cell r="A313">
            <v>46073</v>
          </cell>
          <cell r="C313" t="str">
            <v xml:space="preserve">Bela Vista </v>
          </cell>
          <cell r="H313">
            <v>36.86</v>
          </cell>
        </row>
        <row r="314">
          <cell r="A314">
            <v>46073</v>
          </cell>
          <cell r="C314" t="str">
            <v xml:space="preserve">Bela Vista </v>
          </cell>
          <cell r="H314">
            <v>32.119999999999997</v>
          </cell>
        </row>
        <row r="315">
          <cell r="A315">
            <v>46073</v>
          </cell>
          <cell r="C315" t="str">
            <v xml:space="preserve">Bela Vista </v>
          </cell>
          <cell r="H315">
            <v>36.64</v>
          </cell>
        </row>
        <row r="316">
          <cell r="A316">
            <v>46073</v>
          </cell>
          <cell r="C316" t="str">
            <v xml:space="preserve">Bela Vista </v>
          </cell>
          <cell r="H316">
            <v>54.86</v>
          </cell>
        </row>
        <row r="317">
          <cell r="A317">
            <v>46073</v>
          </cell>
          <cell r="C317" t="str">
            <v xml:space="preserve">Bela Vista </v>
          </cell>
          <cell r="H317">
            <v>36.28</v>
          </cell>
        </row>
        <row r="318">
          <cell r="A318">
            <v>46073</v>
          </cell>
          <cell r="C318" t="str">
            <v xml:space="preserve">Bela Vista </v>
          </cell>
          <cell r="H318">
            <v>55.2</v>
          </cell>
        </row>
        <row r="319">
          <cell r="A319">
            <v>46074</v>
          </cell>
          <cell r="C319" t="str">
            <v xml:space="preserve">Bela Vista </v>
          </cell>
          <cell r="H319">
            <v>31.66</v>
          </cell>
        </row>
        <row r="320">
          <cell r="A320">
            <v>46074</v>
          </cell>
          <cell r="C320" t="str">
            <v xml:space="preserve">Bela Vista </v>
          </cell>
          <cell r="H320">
            <v>55.06</v>
          </cell>
        </row>
        <row r="321">
          <cell r="A321">
            <v>46074</v>
          </cell>
          <cell r="C321" t="str">
            <v xml:space="preserve">Bela Vista </v>
          </cell>
          <cell r="H321">
            <v>55.96</v>
          </cell>
        </row>
        <row r="322">
          <cell r="A322">
            <v>46074</v>
          </cell>
          <cell r="C322" t="str">
            <v xml:space="preserve">Bela Vista </v>
          </cell>
          <cell r="H322">
            <v>36.74</v>
          </cell>
        </row>
        <row r="323">
          <cell r="A323">
            <v>46074</v>
          </cell>
          <cell r="C323" t="str">
            <v xml:space="preserve">Bela Vista </v>
          </cell>
          <cell r="H323">
            <v>54.98</v>
          </cell>
        </row>
        <row r="324">
          <cell r="A324">
            <v>46074</v>
          </cell>
          <cell r="C324" t="str">
            <v xml:space="preserve">Bela Vista </v>
          </cell>
          <cell r="H324">
            <v>36.58</v>
          </cell>
        </row>
        <row r="325">
          <cell r="A325">
            <v>46074</v>
          </cell>
          <cell r="C325" t="str">
            <v xml:space="preserve">Bela Vista </v>
          </cell>
          <cell r="H325">
            <v>52.56</v>
          </cell>
        </row>
        <row r="326">
          <cell r="A326">
            <v>46077</v>
          </cell>
          <cell r="C326" t="str">
            <v xml:space="preserve">Bela Vista </v>
          </cell>
          <cell r="H326">
            <v>54.32</v>
          </cell>
        </row>
        <row r="327">
          <cell r="A327">
            <v>46074</v>
          </cell>
          <cell r="C327" t="str">
            <v xml:space="preserve">Bela Vista </v>
          </cell>
          <cell r="H327">
            <v>51.32</v>
          </cell>
        </row>
        <row r="328">
          <cell r="A328">
            <v>46074</v>
          </cell>
          <cell r="C328" t="str">
            <v xml:space="preserve">Bela Vista </v>
          </cell>
          <cell r="H328">
            <v>48.56</v>
          </cell>
        </row>
        <row r="329">
          <cell r="A329">
            <v>46074</v>
          </cell>
          <cell r="C329" t="str">
            <v xml:space="preserve">Bela Vista </v>
          </cell>
          <cell r="H329">
            <v>50.12</v>
          </cell>
        </row>
        <row r="330">
          <cell r="A330">
            <v>46074</v>
          </cell>
          <cell r="C330" t="str">
            <v xml:space="preserve">Bela Vista </v>
          </cell>
          <cell r="H330">
            <v>32.299999999999997</v>
          </cell>
        </row>
        <row r="331">
          <cell r="A331">
            <v>46074</v>
          </cell>
          <cell r="C331" t="str">
            <v xml:space="preserve">Bela Vista </v>
          </cell>
          <cell r="H331">
            <v>30.94</v>
          </cell>
        </row>
        <row r="332">
          <cell r="A332">
            <v>46074</v>
          </cell>
          <cell r="C332" t="str">
            <v xml:space="preserve">Bela Vista </v>
          </cell>
          <cell r="H332">
            <v>31.9</v>
          </cell>
        </row>
        <row r="333">
          <cell r="A333">
            <v>46074</v>
          </cell>
          <cell r="C333" t="str">
            <v xml:space="preserve">Bela Vista </v>
          </cell>
          <cell r="H333">
            <v>32.659999999999997</v>
          </cell>
        </row>
        <row r="334">
          <cell r="A334">
            <v>46077</v>
          </cell>
          <cell r="C334" t="str">
            <v xml:space="preserve">Bela Vista </v>
          </cell>
          <cell r="H334">
            <v>54.08</v>
          </cell>
        </row>
        <row r="335">
          <cell r="A335">
            <v>46077</v>
          </cell>
          <cell r="C335" t="str">
            <v xml:space="preserve">Bela Vista </v>
          </cell>
          <cell r="H335">
            <v>51.28</v>
          </cell>
        </row>
        <row r="336">
          <cell r="A336">
            <v>46077</v>
          </cell>
          <cell r="C336" t="str">
            <v xml:space="preserve">Bela Vista </v>
          </cell>
          <cell r="H336">
            <v>33.799999999999997</v>
          </cell>
        </row>
        <row r="337">
          <cell r="A337">
            <v>46077</v>
          </cell>
          <cell r="C337" t="str">
            <v xml:space="preserve">Bela Vista </v>
          </cell>
          <cell r="H337">
            <v>51.64</v>
          </cell>
        </row>
        <row r="338">
          <cell r="A338">
            <v>46077</v>
          </cell>
          <cell r="C338" t="str">
            <v xml:space="preserve">Bela Vista </v>
          </cell>
          <cell r="H338">
            <v>52.5</v>
          </cell>
        </row>
        <row r="339">
          <cell r="A339">
            <v>46078</v>
          </cell>
          <cell r="C339" t="str">
            <v xml:space="preserve">Bela Vista </v>
          </cell>
          <cell r="H339">
            <v>33.58</v>
          </cell>
        </row>
        <row r="340">
          <cell r="A340">
            <v>46078</v>
          </cell>
          <cell r="C340" t="str">
            <v xml:space="preserve">Bela Vista </v>
          </cell>
          <cell r="H340">
            <v>33.56</v>
          </cell>
        </row>
        <row r="341">
          <cell r="A341">
            <v>46078</v>
          </cell>
          <cell r="C341" t="str">
            <v xml:space="preserve">Bela Vista </v>
          </cell>
          <cell r="H341">
            <v>29.72</v>
          </cell>
        </row>
        <row r="342">
          <cell r="A342">
            <v>46078</v>
          </cell>
          <cell r="C342" t="str">
            <v xml:space="preserve">Bela Vista </v>
          </cell>
          <cell r="H342">
            <v>29.98</v>
          </cell>
        </row>
        <row r="343">
          <cell r="A343">
            <v>46078</v>
          </cell>
          <cell r="C343" t="str">
            <v xml:space="preserve">Bela Vista </v>
          </cell>
          <cell r="H343">
            <v>52.06</v>
          </cell>
        </row>
        <row r="344">
          <cell r="A344">
            <v>46078</v>
          </cell>
          <cell r="C344" t="str">
            <v xml:space="preserve">Bela Vista </v>
          </cell>
          <cell r="H344">
            <v>30.36</v>
          </cell>
        </row>
        <row r="345">
          <cell r="A345">
            <v>46078</v>
          </cell>
          <cell r="C345" t="str">
            <v xml:space="preserve">Bela Vista </v>
          </cell>
          <cell r="H345">
            <v>34</v>
          </cell>
        </row>
        <row r="346">
          <cell r="A346">
            <v>46078</v>
          </cell>
          <cell r="C346" t="str">
            <v xml:space="preserve">Bela Vista </v>
          </cell>
          <cell r="H346">
            <v>33.840000000000003</v>
          </cell>
        </row>
        <row r="347">
          <cell r="A347">
            <v>46078</v>
          </cell>
          <cell r="C347" t="str">
            <v xml:space="preserve">Bela Vista </v>
          </cell>
          <cell r="H347">
            <v>34.04</v>
          </cell>
        </row>
        <row r="348">
          <cell r="A348">
            <v>46078</v>
          </cell>
          <cell r="C348" t="str">
            <v xml:space="preserve">Bela Vista </v>
          </cell>
          <cell r="H348">
            <v>33.299999999999997</v>
          </cell>
        </row>
        <row r="349">
          <cell r="A349">
            <v>46078</v>
          </cell>
          <cell r="C349" t="str">
            <v xml:space="preserve">Bela Vista </v>
          </cell>
          <cell r="H349">
            <v>30.68</v>
          </cell>
        </row>
        <row r="350">
          <cell r="A350">
            <v>46078</v>
          </cell>
          <cell r="C350" t="str">
            <v xml:space="preserve">Bela Vista </v>
          </cell>
          <cell r="H350">
            <v>30.1</v>
          </cell>
        </row>
        <row r="351">
          <cell r="A351">
            <v>46079</v>
          </cell>
          <cell r="C351" t="str">
            <v xml:space="preserve">Bela Vista </v>
          </cell>
          <cell r="H351">
            <v>33.479999999999997</v>
          </cell>
        </row>
        <row r="352">
          <cell r="A352">
            <v>46079</v>
          </cell>
          <cell r="C352" t="str">
            <v xml:space="preserve">Bela Vista </v>
          </cell>
          <cell r="H352">
            <v>33.94</v>
          </cell>
        </row>
        <row r="353">
          <cell r="A353">
            <v>46079</v>
          </cell>
          <cell r="C353" t="str">
            <v xml:space="preserve">Bela Vista </v>
          </cell>
          <cell r="H353">
            <v>33.659999999999997</v>
          </cell>
        </row>
        <row r="354">
          <cell r="A354">
            <v>46079</v>
          </cell>
          <cell r="C354" t="str">
            <v xml:space="preserve">Bela Vista </v>
          </cell>
          <cell r="H354">
            <v>34.14</v>
          </cell>
        </row>
        <row r="355">
          <cell r="A355">
            <v>46079</v>
          </cell>
          <cell r="C355" t="str">
            <v xml:space="preserve">Bela Vista </v>
          </cell>
          <cell r="H355">
            <v>34.1</v>
          </cell>
        </row>
        <row r="356">
          <cell r="A356">
            <v>46079</v>
          </cell>
          <cell r="C356" t="str">
            <v xml:space="preserve">Bela Vista </v>
          </cell>
          <cell r="H356">
            <v>33.76</v>
          </cell>
        </row>
        <row r="357">
          <cell r="A357">
            <v>46080</v>
          </cell>
          <cell r="C357" t="str">
            <v xml:space="preserve">Bela Vista </v>
          </cell>
          <cell r="H357">
            <v>30.82</v>
          </cell>
        </row>
        <row r="358">
          <cell r="A358">
            <v>46080</v>
          </cell>
          <cell r="C358" t="str">
            <v xml:space="preserve">Bela Vista </v>
          </cell>
          <cell r="H358">
            <v>30.3</v>
          </cell>
        </row>
        <row r="359">
          <cell r="A359">
            <v>46080</v>
          </cell>
          <cell r="C359" t="str">
            <v xml:space="preserve">Bela Vista </v>
          </cell>
          <cell r="H359">
            <v>33.4</v>
          </cell>
        </row>
        <row r="360">
          <cell r="A360">
            <v>46080</v>
          </cell>
          <cell r="C360" t="str">
            <v xml:space="preserve">Bela Vista </v>
          </cell>
          <cell r="H360">
            <v>33.86</v>
          </cell>
        </row>
        <row r="361">
          <cell r="A361">
            <v>46080</v>
          </cell>
          <cell r="C361" t="str">
            <v xml:space="preserve">Bela Vista </v>
          </cell>
          <cell r="H361">
            <v>31.22</v>
          </cell>
        </row>
        <row r="362">
          <cell r="A362">
            <v>46080</v>
          </cell>
          <cell r="C362" t="str">
            <v xml:space="preserve">Bela Vista </v>
          </cell>
          <cell r="H362">
            <v>31.64</v>
          </cell>
        </row>
        <row r="363">
          <cell r="A363">
            <v>46080</v>
          </cell>
          <cell r="C363" t="str">
            <v xml:space="preserve">Bela Vista </v>
          </cell>
          <cell r="H363">
            <v>36.26</v>
          </cell>
        </row>
        <row r="364">
          <cell r="A364">
            <v>46080</v>
          </cell>
          <cell r="C364" t="str">
            <v xml:space="preserve">Bela Vista </v>
          </cell>
          <cell r="H364">
            <v>31.1</v>
          </cell>
        </row>
        <row r="365">
          <cell r="A365">
            <v>46080</v>
          </cell>
          <cell r="C365" t="str">
            <v xml:space="preserve">Bela Vista </v>
          </cell>
          <cell r="H365">
            <v>34.479999999999997</v>
          </cell>
        </row>
        <row r="366">
          <cell r="A366">
            <v>46080</v>
          </cell>
          <cell r="C366" t="str">
            <v xml:space="preserve">Bela Vista </v>
          </cell>
          <cell r="H366">
            <v>30.66</v>
          </cell>
        </row>
        <row r="367">
          <cell r="A367">
            <v>46080</v>
          </cell>
          <cell r="C367" t="str">
            <v xml:space="preserve">Bela Vista </v>
          </cell>
          <cell r="H367">
            <v>31.08</v>
          </cell>
        </row>
        <row r="368">
          <cell r="A368">
            <v>46080</v>
          </cell>
          <cell r="C368" t="str">
            <v xml:space="preserve">Bela Vista </v>
          </cell>
          <cell r="H368">
            <v>37</v>
          </cell>
        </row>
        <row r="369">
          <cell r="A369">
            <v>46080</v>
          </cell>
          <cell r="C369" t="str">
            <v xml:space="preserve">Bela Vista </v>
          </cell>
          <cell r="H369">
            <v>29.88</v>
          </cell>
        </row>
        <row r="370">
          <cell r="A370">
            <v>46080</v>
          </cell>
          <cell r="C370" t="str">
            <v xml:space="preserve">Bela Vista </v>
          </cell>
          <cell r="H370">
            <v>31.26</v>
          </cell>
        </row>
        <row r="371">
          <cell r="A371">
            <v>46080</v>
          </cell>
          <cell r="C371" t="str">
            <v xml:space="preserve">Bela Vista </v>
          </cell>
          <cell r="H371">
            <v>36.479999999999997</v>
          </cell>
        </row>
        <row r="372">
          <cell r="A372">
            <v>46080</v>
          </cell>
          <cell r="C372" t="str">
            <v xml:space="preserve">Bela Vista </v>
          </cell>
          <cell r="H372">
            <v>30.82</v>
          </cell>
        </row>
        <row r="373">
          <cell r="A373">
            <v>46080</v>
          </cell>
          <cell r="C373" t="str">
            <v xml:space="preserve">Bela Vista </v>
          </cell>
          <cell r="H373">
            <v>35.159999999999997</v>
          </cell>
        </row>
        <row r="374">
          <cell r="A374">
            <v>46080</v>
          </cell>
          <cell r="C374" t="str">
            <v xml:space="preserve">Bela Vista </v>
          </cell>
          <cell r="H374">
            <v>30.88</v>
          </cell>
        </row>
        <row r="375">
          <cell r="A375">
            <v>46080</v>
          </cell>
          <cell r="C375" t="str">
            <v xml:space="preserve">Bela Vista </v>
          </cell>
          <cell r="H375">
            <v>30.62</v>
          </cell>
        </row>
        <row r="376">
          <cell r="A376">
            <v>46080</v>
          </cell>
          <cell r="C376" t="str">
            <v xml:space="preserve">Bela Vista </v>
          </cell>
          <cell r="H376">
            <v>34.22</v>
          </cell>
        </row>
        <row r="377">
          <cell r="A377">
            <v>46083</v>
          </cell>
          <cell r="C377" t="str">
            <v xml:space="preserve">Bela Vista </v>
          </cell>
          <cell r="H377">
            <v>29.38</v>
          </cell>
        </row>
        <row r="378">
          <cell r="A378">
            <v>46083</v>
          </cell>
          <cell r="C378" t="str">
            <v xml:space="preserve">Bela Vista </v>
          </cell>
          <cell r="H378">
            <v>30.64</v>
          </cell>
        </row>
        <row r="379">
          <cell r="A379">
            <v>46083</v>
          </cell>
          <cell r="C379" t="str">
            <v xml:space="preserve">Bela Vista </v>
          </cell>
          <cell r="H379">
            <v>31</v>
          </cell>
        </row>
        <row r="380">
          <cell r="A380">
            <v>46083</v>
          </cell>
          <cell r="C380" t="str">
            <v xml:space="preserve">Bela Vista </v>
          </cell>
          <cell r="H380">
            <v>30.5</v>
          </cell>
        </row>
        <row r="381">
          <cell r="A381">
            <v>46083</v>
          </cell>
          <cell r="C381" t="str">
            <v xml:space="preserve">Bela Vista </v>
          </cell>
          <cell r="H381">
            <v>35.08</v>
          </cell>
        </row>
        <row r="382">
          <cell r="A382">
            <v>46083</v>
          </cell>
          <cell r="C382" t="str">
            <v xml:space="preserve">Bela Vista </v>
          </cell>
          <cell r="H382">
            <v>31.12</v>
          </cell>
        </row>
        <row r="383">
          <cell r="A383">
            <v>46083</v>
          </cell>
          <cell r="C383" t="str">
            <v xml:space="preserve">Bela Vista </v>
          </cell>
          <cell r="H383">
            <v>31.56</v>
          </cell>
        </row>
        <row r="384">
          <cell r="A384">
            <v>46083</v>
          </cell>
          <cell r="C384" t="str">
            <v xml:space="preserve">Bela Vista </v>
          </cell>
          <cell r="H384">
            <v>30.5</v>
          </cell>
        </row>
        <row r="385">
          <cell r="A385">
            <v>46083</v>
          </cell>
          <cell r="C385" t="str">
            <v xml:space="preserve">Bela Vista </v>
          </cell>
          <cell r="H385">
            <v>31.26</v>
          </cell>
        </row>
        <row r="386">
          <cell r="A386">
            <v>46083</v>
          </cell>
          <cell r="C386" t="str">
            <v xml:space="preserve">Bela Vista </v>
          </cell>
          <cell r="H386">
            <v>30.2</v>
          </cell>
        </row>
        <row r="387">
          <cell r="A387">
            <v>46083</v>
          </cell>
          <cell r="C387" t="str">
            <v xml:space="preserve">Bela Vista </v>
          </cell>
          <cell r="H387">
            <v>36.159999999999997</v>
          </cell>
        </row>
        <row r="388">
          <cell r="A388">
            <v>46083</v>
          </cell>
          <cell r="C388" t="str">
            <v xml:space="preserve">Bela Vista </v>
          </cell>
          <cell r="H388">
            <v>30.32</v>
          </cell>
        </row>
        <row r="389">
          <cell r="A389">
            <v>46083</v>
          </cell>
          <cell r="C389" t="str">
            <v xml:space="preserve">Bela Vista </v>
          </cell>
          <cell r="H389">
            <v>35.340000000000003</v>
          </cell>
        </row>
        <row r="390">
          <cell r="A390">
            <v>46083</v>
          </cell>
          <cell r="C390" t="str">
            <v xml:space="preserve">Bela Vista </v>
          </cell>
          <cell r="H390">
            <v>31.48</v>
          </cell>
        </row>
        <row r="391">
          <cell r="A391">
            <v>46083</v>
          </cell>
          <cell r="C391" t="str">
            <v xml:space="preserve">Bela Vista </v>
          </cell>
          <cell r="H391">
            <v>30.78</v>
          </cell>
        </row>
        <row r="392">
          <cell r="A392">
            <v>46083</v>
          </cell>
          <cell r="C392" t="str">
            <v xml:space="preserve">Bela Vista </v>
          </cell>
          <cell r="H392">
            <v>29.18</v>
          </cell>
        </row>
        <row r="393">
          <cell r="A393">
            <v>46083</v>
          </cell>
          <cell r="C393" t="str">
            <v xml:space="preserve">Bela Vista </v>
          </cell>
          <cell r="H393">
            <v>36.020000000000003</v>
          </cell>
        </row>
        <row r="394">
          <cell r="A394">
            <v>46083</v>
          </cell>
          <cell r="C394" t="str">
            <v xml:space="preserve">Bela Vista </v>
          </cell>
          <cell r="H394">
            <v>29.58</v>
          </cell>
        </row>
        <row r="395">
          <cell r="A395">
            <v>46083</v>
          </cell>
          <cell r="C395" t="str">
            <v xml:space="preserve">Bela Vista </v>
          </cell>
          <cell r="H395">
            <v>29.84</v>
          </cell>
        </row>
        <row r="396">
          <cell r="A396">
            <v>46083</v>
          </cell>
          <cell r="C396" t="str">
            <v xml:space="preserve">Bela Vista </v>
          </cell>
          <cell r="H396">
            <v>29.54</v>
          </cell>
        </row>
        <row r="397">
          <cell r="A397">
            <v>46083</v>
          </cell>
          <cell r="C397" t="str">
            <v xml:space="preserve">Bela Vista </v>
          </cell>
          <cell r="H397">
            <v>29</v>
          </cell>
        </row>
        <row r="398">
          <cell r="A398">
            <v>46083</v>
          </cell>
          <cell r="C398" t="str">
            <v xml:space="preserve">Bela Vista </v>
          </cell>
          <cell r="H398">
            <v>29.52</v>
          </cell>
        </row>
        <row r="399">
          <cell r="A399">
            <v>46083</v>
          </cell>
          <cell r="C399" t="str">
            <v xml:space="preserve">Bela Vista </v>
          </cell>
          <cell r="H399">
            <v>29.22</v>
          </cell>
        </row>
        <row r="400">
          <cell r="A400">
            <v>46084</v>
          </cell>
          <cell r="C400" t="str">
            <v xml:space="preserve">Bela Vista </v>
          </cell>
          <cell r="H400">
            <v>50.68</v>
          </cell>
        </row>
        <row r="401">
          <cell r="A401">
            <v>46084</v>
          </cell>
          <cell r="C401" t="str">
            <v xml:space="preserve">Bela Vista </v>
          </cell>
          <cell r="H401">
            <v>50.66</v>
          </cell>
        </row>
        <row r="402">
          <cell r="A402">
            <v>46084</v>
          </cell>
          <cell r="C402" t="str">
            <v xml:space="preserve">Bela Vista </v>
          </cell>
          <cell r="H402">
            <v>56.16</v>
          </cell>
        </row>
        <row r="403">
          <cell r="A403">
            <v>46084</v>
          </cell>
          <cell r="C403" t="str">
            <v xml:space="preserve">Bela Vista </v>
          </cell>
          <cell r="H403">
            <v>35.76</v>
          </cell>
        </row>
        <row r="404">
          <cell r="A404">
            <v>46084</v>
          </cell>
          <cell r="C404" t="str">
            <v xml:space="preserve">Bela Vista </v>
          </cell>
          <cell r="H404">
            <v>36.1</v>
          </cell>
        </row>
        <row r="405">
          <cell r="A405">
            <v>46084</v>
          </cell>
          <cell r="C405" t="str">
            <v xml:space="preserve">Bela Vista </v>
          </cell>
          <cell r="H405">
            <v>52.02</v>
          </cell>
        </row>
        <row r="406">
          <cell r="A406">
            <v>46084</v>
          </cell>
          <cell r="C406" t="str">
            <v xml:space="preserve">Bela Vista </v>
          </cell>
          <cell r="H406">
            <v>51.92</v>
          </cell>
        </row>
        <row r="407">
          <cell r="A407">
            <v>46084</v>
          </cell>
          <cell r="C407" t="str">
            <v xml:space="preserve">Bela Vista </v>
          </cell>
          <cell r="H407">
            <v>51.26</v>
          </cell>
        </row>
        <row r="408">
          <cell r="A408">
            <v>46084</v>
          </cell>
          <cell r="C408" t="str">
            <v xml:space="preserve">Bela Vista </v>
          </cell>
          <cell r="H408">
            <v>35.64</v>
          </cell>
        </row>
        <row r="409">
          <cell r="A409">
            <v>46084</v>
          </cell>
          <cell r="C409" t="str">
            <v xml:space="preserve">Bela Vista </v>
          </cell>
          <cell r="H409">
            <v>35.18</v>
          </cell>
        </row>
        <row r="410">
          <cell r="A410">
            <v>46085</v>
          </cell>
          <cell r="C410" t="str">
            <v xml:space="preserve">Bela Vista </v>
          </cell>
          <cell r="H410">
            <v>35.28</v>
          </cell>
        </row>
        <row r="411">
          <cell r="A411">
            <v>46085</v>
          </cell>
          <cell r="C411" t="str">
            <v xml:space="preserve">Bela Vista </v>
          </cell>
          <cell r="H411">
            <v>35.94</v>
          </cell>
        </row>
        <row r="412">
          <cell r="A412">
            <v>46085</v>
          </cell>
          <cell r="C412" t="str">
            <v xml:space="preserve">Bela Vista </v>
          </cell>
          <cell r="H412">
            <v>35.380000000000003</v>
          </cell>
        </row>
        <row r="413">
          <cell r="A413">
            <v>46085</v>
          </cell>
          <cell r="C413" t="str">
            <v xml:space="preserve">Bela Vista </v>
          </cell>
          <cell r="H413">
            <v>35.82</v>
          </cell>
        </row>
        <row r="414">
          <cell r="A414">
            <v>46086</v>
          </cell>
          <cell r="C414" t="str">
            <v xml:space="preserve">Bela Vista </v>
          </cell>
          <cell r="H414">
            <v>37.64</v>
          </cell>
        </row>
        <row r="415">
          <cell r="A415">
            <v>46086</v>
          </cell>
          <cell r="C415" t="str">
            <v xml:space="preserve">Bela Vista </v>
          </cell>
          <cell r="H415">
            <v>35.659999999999997</v>
          </cell>
        </row>
        <row r="416">
          <cell r="A416">
            <v>46086</v>
          </cell>
          <cell r="C416" t="str">
            <v xml:space="preserve">Bela Vista </v>
          </cell>
          <cell r="H416">
            <v>35.46</v>
          </cell>
        </row>
        <row r="417">
          <cell r="A417">
            <v>46086</v>
          </cell>
          <cell r="C417" t="str">
            <v xml:space="preserve">Bela Vista </v>
          </cell>
          <cell r="H417">
            <v>35.32</v>
          </cell>
        </row>
        <row r="418">
          <cell r="A418">
            <v>46086</v>
          </cell>
          <cell r="C418" t="str">
            <v xml:space="preserve">Bela Vista </v>
          </cell>
          <cell r="H418">
            <v>32.96</v>
          </cell>
        </row>
        <row r="419">
          <cell r="A419">
            <v>46086</v>
          </cell>
          <cell r="C419" t="str">
            <v xml:space="preserve">Bela Vista </v>
          </cell>
          <cell r="H419">
            <v>35.44</v>
          </cell>
        </row>
        <row r="420">
          <cell r="A420">
            <v>46087</v>
          </cell>
          <cell r="C420" t="str">
            <v xml:space="preserve">Bela Vista </v>
          </cell>
          <cell r="H420">
            <v>37.9</v>
          </cell>
        </row>
        <row r="421">
          <cell r="A421">
            <v>46087</v>
          </cell>
          <cell r="C421" t="str">
            <v xml:space="preserve">Bela Vista </v>
          </cell>
          <cell r="H421">
            <v>35.14</v>
          </cell>
        </row>
        <row r="422">
          <cell r="A422">
            <v>46087</v>
          </cell>
          <cell r="C422" t="str">
            <v xml:space="preserve">Bela Vista </v>
          </cell>
          <cell r="H422">
            <v>55.56</v>
          </cell>
        </row>
        <row r="423">
          <cell r="A423">
            <v>46087</v>
          </cell>
          <cell r="C423" t="str">
            <v xml:space="preserve">Bela Vista </v>
          </cell>
          <cell r="H423">
            <v>55.92</v>
          </cell>
        </row>
        <row r="424">
          <cell r="A424">
            <v>46087</v>
          </cell>
          <cell r="C424" t="str">
            <v xml:space="preserve">Bela Vista </v>
          </cell>
          <cell r="H424">
            <v>52.56</v>
          </cell>
        </row>
        <row r="425">
          <cell r="A425">
            <v>46087</v>
          </cell>
          <cell r="C425" t="str">
            <v xml:space="preserve">Bela Vista </v>
          </cell>
          <cell r="H425">
            <v>35.76</v>
          </cell>
        </row>
        <row r="426">
          <cell r="A426">
            <v>46087</v>
          </cell>
          <cell r="C426" t="str">
            <v xml:space="preserve">Bela Vista </v>
          </cell>
          <cell r="H426">
            <v>35.340000000000003</v>
          </cell>
        </row>
        <row r="427">
          <cell r="A427">
            <v>46087</v>
          </cell>
          <cell r="C427" t="str">
            <v xml:space="preserve">Bela Vista </v>
          </cell>
          <cell r="H427">
            <v>55.86</v>
          </cell>
        </row>
        <row r="428">
          <cell r="A428">
            <v>46087</v>
          </cell>
          <cell r="C428" t="str">
            <v xml:space="preserve">Bela Vista </v>
          </cell>
          <cell r="H428">
            <v>52.06</v>
          </cell>
        </row>
        <row r="429">
          <cell r="A429">
            <v>46087</v>
          </cell>
          <cell r="C429" t="str">
            <v xml:space="preserve">Bela Vista </v>
          </cell>
          <cell r="H429">
            <v>51.64</v>
          </cell>
        </row>
        <row r="430">
          <cell r="A430">
            <v>46087</v>
          </cell>
          <cell r="C430" t="str">
            <v xml:space="preserve">Bela Vista </v>
          </cell>
          <cell r="H430">
            <v>55.5</v>
          </cell>
        </row>
        <row r="431">
          <cell r="A431">
            <v>46087</v>
          </cell>
          <cell r="C431" t="str">
            <v xml:space="preserve">Bela Vista </v>
          </cell>
          <cell r="H431">
            <v>33.659999999999997</v>
          </cell>
        </row>
        <row r="432">
          <cell r="A432">
            <v>46087</v>
          </cell>
          <cell r="C432" t="str">
            <v xml:space="preserve">Bela Vista </v>
          </cell>
          <cell r="H432">
            <v>35.22</v>
          </cell>
        </row>
        <row r="433">
          <cell r="A433">
            <v>46087</v>
          </cell>
          <cell r="C433" t="str">
            <v xml:space="preserve">Bela Vista </v>
          </cell>
          <cell r="H433">
            <v>50.22</v>
          </cell>
        </row>
        <row r="434">
          <cell r="A434">
            <v>46088</v>
          </cell>
          <cell r="C434" t="str">
            <v xml:space="preserve">Bela Vista </v>
          </cell>
          <cell r="H434">
            <v>52.76</v>
          </cell>
        </row>
        <row r="435">
          <cell r="A435">
            <v>46088</v>
          </cell>
          <cell r="C435" t="str">
            <v xml:space="preserve">Bela Vista </v>
          </cell>
          <cell r="H435">
            <v>51.86</v>
          </cell>
        </row>
        <row r="436">
          <cell r="A436">
            <v>46088</v>
          </cell>
          <cell r="C436" t="str">
            <v xml:space="preserve">Bela Vista </v>
          </cell>
          <cell r="H436">
            <v>52.42</v>
          </cell>
        </row>
        <row r="437">
          <cell r="A437">
            <v>46088</v>
          </cell>
          <cell r="C437" t="str">
            <v xml:space="preserve">Bela Vista </v>
          </cell>
          <cell r="H437">
            <v>35.24</v>
          </cell>
        </row>
        <row r="438">
          <cell r="A438">
            <v>46088</v>
          </cell>
          <cell r="C438" t="str">
            <v xml:space="preserve">Bela Vista </v>
          </cell>
          <cell r="H438">
            <v>36.619999999999997</v>
          </cell>
        </row>
        <row r="439">
          <cell r="A439">
            <v>46088</v>
          </cell>
          <cell r="C439" t="str">
            <v xml:space="preserve">Bela Vista </v>
          </cell>
          <cell r="H439">
            <v>52.86</v>
          </cell>
        </row>
        <row r="440">
          <cell r="A440">
            <v>46088</v>
          </cell>
          <cell r="C440" t="str">
            <v xml:space="preserve">Bela Vista </v>
          </cell>
          <cell r="H440">
            <v>52.96</v>
          </cell>
        </row>
        <row r="441">
          <cell r="A441">
            <v>46088</v>
          </cell>
          <cell r="C441" t="str">
            <v xml:space="preserve">Bela Vista </v>
          </cell>
          <cell r="H441">
            <v>52.88</v>
          </cell>
        </row>
        <row r="442">
          <cell r="A442">
            <v>46088</v>
          </cell>
          <cell r="C442" t="str">
            <v xml:space="preserve">Bela Vista </v>
          </cell>
          <cell r="H442">
            <v>35.659999999999997</v>
          </cell>
        </row>
        <row r="443">
          <cell r="A443">
            <v>46088</v>
          </cell>
          <cell r="C443" t="str">
            <v xml:space="preserve">Bela Vista </v>
          </cell>
          <cell r="H443">
            <v>35.520000000000003</v>
          </cell>
        </row>
        <row r="444">
          <cell r="A444">
            <v>46088</v>
          </cell>
          <cell r="C444" t="str">
            <v xml:space="preserve">Bela Vista </v>
          </cell>
          <cell r="H444">
            <v>56.9</v>
          </cell>
        </row>
        <row r="445">
          <cell r="A445">
            <v>46088</v>
          </cell>
          <cell r="C445" t="str">
            <v xml:space="preserve">Bela Vista </v>
          </cell>
          <cell r="H445">
            <v>35.76</v>
          </cell>
        </row>
        <row r="446">
          <cell r="A446">
            <v>46090</v>
          </cell>
          <cell r="C446" t="str">
            <v xml:space="preserve">Bela Vista </v>
          </cell>
          <cell r="H446">
            <v>56.42</v>
          </cell>
        </row>
        <row r="447">
          <cell r="A447">
            <v>46090</v>
          </cell>
          <cell r="C447" t="str">
            <v xml:space="preserve">Bela Vista </v>
          </cell>
          <cell r="H447">
            <v>58.26</v>
          </cell>
        </row>
        <row r="448">
          <cell r="A448">
            <v>46091</v>
          </cell>
          <cell r="C448" t="str">
            <v xml:space="preserve">Bela Vista </v>
          </cell>
          <cell r="H448">
            <v>52.62</v>
          </cell>
        </row>
        <row r="449">
          <cell r="A449">
            <v>46091</v>
          </cell>
          <cell r="C449" t="str">
            <v xml:space="preserve">Bela Vista </v>
          </cell>
          <cell r="H449">
            <v>55.64</v>
          </cell>
        </row>
        <row r="450">
          <cell r="A450">
            <v>46091</v>
          </cell>
          <cell r="C450" t="str">
            <v xml:space="preserve">Bela Vista </v>
          </cell>
          <cell r="H450">
            <v>37.24</v>
          </cell>
        </row>
        <row r="451">
          <cell r="A451">
            <v>46091</v>
          </cell>
          <cell r="C451" t="str">
            <v xml:space="preserve">Bela Vista </v>
          </cell>
          <cell r="H451">
            <v>48.4</v>
          </cell>
        </row>
        <row r="452">
          <cell r="A452">
            <v>46091</v>
          </cell>
          <cell r="C452" t="str">
            <v xml:space="preserve">Bela Vista </v>
          </cell>
          <cell r="H452">
            <v>51.1</v>
          </cell>
        </row>
        <row r="453">
          <cell r="A453">
            <v>46091</v>
          </cell>
          <cell r="C453" t="str">
            <v xml:space="preserve">Bela Vista </v>
          </cell>
          <cell r="H453">
            <v>50.82</v>
          </cell>
        </row>
        <row r="454">
          <cell r="A454">
            <v>46091</v>
          </cell>
          <cell r="C454" t="str">
            <v xml:space="preserve">Bela Vista </v>
          </cell>
          <cell r="H454">
            <v>34.340000000000003</v>
          </cell>
        </row>
        <row r="455">
          <cell r="A455">
            <v>46091</v>
          </cell>
          <cell r="C455" t="str">
            <v xml:space="preserve">Bela Vista </v>
          </cell>
          <cell r="H455">
            <v>51.48</v>
          </cell>
        </row>
        <row r="456">
          <cell r="A456">
            <v>46092</v>
          </cell>
          <cell r="C456" t="str">
            <v xml:space="preserve">Bela Vista </v>
          </cell>
          <cell r="H456">
            <v>51.56</v>
          </cell>
        </row>
        <row r="457">
          <cell r="A457">
            <v>46092</v>
          </cell>
          <cell r="C457" t="str">
            <v xml:space="preserve">Bela Vista </v>
          </cell>
          <cell r="H457">
            <v>37.06</v>
          </cell>
        </row>
        <row r="458">
          <cell r="A458">
            <v>46092</v>
          </cell>
          <cell r="C458" t="str">
            <v xml:space="preserve">Bela Vista </v>
          </cell>
          <cell r="H458">
            <v>37.78</v>
          </cell>
        </row>
        <row r="459">
          <cell r="A459">
            <v>46092</v>
          </cell>
          <cell r="C459" t="str">
            <v xml:space="preserve">Bela Vista </v>
          </cell>
          <cell r="H459">
            <v>52.36</v>
          </cell>
        </row>
        <row r="460">
          <cell r="A460">
            <v>46092</v>
          </cell>
          <cell r="C460" t="str">
            <v xml:space="preserve">Bela Vista </v>
          </cell>
          <cell r="H460">
            <v>53.52</v>
          </cell>
        </row>
        <row r="461">
          <cell r="A461">
            <v>46092</v>
          </cell>
          <cell r="C461" t="str">
            <v xml:space="preserve">Bela Vista </v>
          </cell>
          <cell r="H461">
            <v>53.94</v>
          </cell>
        </row>
        <row r="462">
          <cell r="A462">
            <v>46092</v>
          </cell>
          <cell r="C462" t="str">
            <v xml:space="preserve">Bela Vista </v>
          </cell>
          <cell r="H462">
            <v>53.26</v>
          </cell>
        </row>
        <row r="463">
          <cell r="A463">
            <v>46092</v>
          </cell>
          <cell r="C463" t="str">
            <v xml:space="preserve">Bela Vista </v>
          </cell>
          <cell r="H463">
            <v>53.44</v>
          </cell>
        </row>
        <row r="464">
          <cell r="A464">
            <v>46092</v>
          </cell>
          <cell r="C464" t="str">
            <v xml:space="preserve">Bela Vista </v>
          </cell>
          <cell r="H464">
            <v>31.22</v>
          </cell>
        </row>
        <row r="465">
          <cell r="A465">
            <v>46092</v>
          </cell>
          <cell r="C465" t="str">
            <v xml:space="preserve">Bela Vista </v>
          </cell>
          <cell r="H465">
            <v>37.159999999999997</v>
          </cell>
        </row>
        <row r="466">
          <cell r="A466">
            <v>46092</v>
          </cell>
          <cell r="C466" t="str">
            <v xml:space="preserve">Bela Vista </v>
          </cell>
          <cell r="H466">
            <v>37.28</v>
          </cell>
        </row>
        <row r="467">
          <cell r="A467">
            <v>46092</v>
          </cell>
          <cell r="C467" t="str">
            <v xml:space="preserve">Bela Vista </v>
          </cell>
          <cell r="H467">
            <v>53.52</v>
          </cell>
        </row>
        <row r="468">
          <cell r="A468">
            <v>46092</v>
          </cell>
          <cell r="C468" t="str">
            <v xml:space="preserve">Bela Vista </v>
          </cell>
          <cell r="H468">
            <v>57.16</v>
          </cell>
        </row>
        <row r="469">
          <cell r="A469">
            <v>46092</v>
          </cell>
          <cell r="C469" t="str">
            <v xml:space="preserve">Bela Vista </v>
          </cell>
          <cell r="H469">
            <v>57.74</v>
          </cell>
        </row>
        <row r="470">
          <cell r="A470">
            <v>46092</v>
          </cell>
          <cell r="C470" t="str">
            <v xml:space="preserve">Bela Vista </v>
          </cell>
          <cell r="H470">
            <v>58.32</v>
          </cell>
        </row>
        <row r="471">
          <cell r="A471">
            <v>46092</v>
          </cell>
          <cell r="C471" t="str">
            <v xml:space="preserve">Bela Vista </v>
          </cell>
          <cell r="H471">
            <v>58.56</v>
          </cell>
        </row>
        <row r="472">
          <cell r="A472">
            <v>46092</v>
          </cell>
          <cell r="C472" t="str">
            <v xml:space="preserve">Bela Vista </v>
          </cell>
          <cell r="H472">
            <v>37.46</v>
          </cell>
        </row>
        <row r="473">
          <cell r="A473">
            <v>46092</v>
          </cell>
          <cell r="C473" t="str">
            <v xml:space="preserve">Bela Vista </v>
          </cell>
          <cell r="H473">
            <v>37.36</v>
          </cell>
        </row>
        <row r="474">
          <cell r="A474">
            <v>46093</v>
          </cell>
          <cell r="C474" t="str">
            <v xml:space="preserve">Bela Vista </v>
          </cell>
          <cell r="H474">
            <v>52.76</v>
          </cell>
        </row>
        <row r="475">
          <cell r="A475">
            <v>46093</v>
          </cell>
          <cell r="C475" t="str">
            <v xml:space="preserve">Bela Vista </v>
          </cell>
          <cell r="H475">
            <v>37.340000000000003</v>
          </cell>
        </row>
        <row r="476">
          <cell r="A476">
            <v>46093</v>
          </cell>
          <cell r="C476" t="str">
            <v xml:space="preserve">Bela Vista </v>
          </cell>
          <cell r="H476">
            <v>37.82</v>
          </cell>
        </row>
        <row r="477">
          <cell r="A477">
            <v>46093</v>
          </cell>
          <cell r="C477" t="str">
            <v xml:space="preserve">Bela Vista </v>
          </cell>
          <cell r="H477">
            <v>36.200000000000003</v>
          </cell>
        </row>
        <row r="478">
          <cell r="A478">
            <v>46093</v>
          </cell>
          <cell r="C478" t="str">
            <v xml:space="preserve">Bela Vista </v>
          </cell>
          <cell r="H478">
            <v>36.58</v>
          </cell>
        </row>
        <row r="479">
          <cell r="A479">
            <v>46094</v>
          </cell>
          <cell r="C479" t="str">
            <v xml:space="preserve">Bela Vista </v>
          </cell>
          <cell r="H479">
            <v>35.14</v>
          </cell>
        </row>
        <row r="480">
          <cell r="A480">
            <v>46095</v>
          </cell>
          <cell r="C480" t="str">
            <v xml:space="preserve">Itapaci </v>
          </cell>
          <cell r="H480">
            <v>62.46</v>
          </cell>
        </row>
        <row r="481">
          <cell r="A481">
            <v>46095</v>
          </cell>
          <cell r="C481" t="str">
            <v xml:space="preserve">Itapaci </v>
          </cell>
          <cell r="H481">
            <v>62.44</v>
          </cell>
        </row>
        <row r="482">
          <cell r="A482">
            <v>46095</v>
          </cell>
          <cell r="C482" t="str">
            <v xml:space="preserve">Itapaci </v>
          </cell>
          <cell r="H482">
            <v>35.479999999999997</v>
          </cell>
        </row>
        <row r="483">
          <cell r="A483">
            <v>46095</v>
          </cell>
          <cell r="C483" t="str">
            <v xml:space="preserve">Itapaci </v>
          </cell>
          <cell r="H483">
            <v>35.22</v>
          </cell>
        </row>
        <row r="484">
          <cell r="A484">
            <v>46095</v>
          </cell>
          <cell r="C484" t="str">
            <v xml:space="preserve">Itapaci </v>
          </cell>
          <cell r="H484">
            <v>35.1</v>
          </cell>
        </row>
        <row r="485">
          <cell r="A485">
            <v>46095</v>
          </cell>
          <cell r="C485" t="str">
            <v xml:space="preserve">Itapaci </v>
          </cell>
          <cell r="H485">
            <v>36.28</v>
          </cell>
        </row>
        <row r="486">
          <cell r="A486">
            <v>46095</v>
          </cell>
          <cell r="C486" t="str">
            <v xml:space="preserve">Itapaci </v>
          </cell>
          <cell r="H486">
            <v>37.94</v>
          </cell>
        </row>
        <row r="487">
          <cell r="A487">
            <v>46095</v>
          </cell>
          <cell r="C487" t="str">
            <v xml:space="preserve">Itapaci </v>
          </cell>
          <cell r="H487">
            <v>35.04</v>
          </cell>
        </row>
        <row r="488">
          <cell r="A488">
            <v>46095</v>
          </cell>
          <cell r="C488" t="str">
            <v xml:space="preserve">Itapaci </v>
          </cell>
          <cell r="H488">
            <v>33.14</v>
          </cell>
        </row>
        <row r="489">
          <cell r="A489">
            <v>46095</v>
          </cell>
          <cell r="C489" t="str">
            <v xml:space="preserve">Itapaci </v>
          </cell>
          <cell r="H489">
            <v>35.42</v>
          </cell>
        </row>
        <row r="490">
          <cell r="A490">
            <v>46095</v>
          </cell>
          <cell r="C490" t="str">
            <v xml:space="preserve">Itapaci </v>
          </cell>
          <cell r="H490">
            <v>69.72</v>
          </cell>
        </row>
        <row r="491">
          <cell r="A491">
            <v>46095</v>
          </cell>
          <cell r="C491" t="str">
            <v xml:space="preserve">Itapaci </v>
          </cell>
          <cell r="H491">
            <v>65.2</v>
          </cell>
        </row>
        <row r="492">
          <cell r="A492">
            <v>46097</v>
          </cell>
          <cell r="C492" t="str">
            <v xml:space="preserve">Bela Vista </v>
          </cell>
          <cell r="H492">
            <v>35.4</v>
          </cell>
        </row>
        <row r="493">
          <cell r="A493">
            <v>46097</v>
          </cell>
          <cell r="C493" t="str">
            <v xml:space="preserve">Itapaci </v>
          </cell>
          <cell r="H493">
            <v>37.28</v>
          </cell>
        </row>
        <row r="494">
          <cell r="A494">
            <v>46097</v>
          </cell>
          <cell r="C494" t="str">
            <v xml:space="preserve">Itapaci </v>
          </cell>
          <cell r="H494">
            <v>68.099999999999994</v>
          </cell>
        </row>
        <row r="495">
          <cell r="A495">
            <v>46097</v>
          </cell>
          <cell r="C495" t="str">
            <v xml:space="preserve">Itapaci </v>
          </cell>
          <cell r="H495">
            <v>69.44</v>
          </cell>
        </row>
        <row r="496">
          <cell r="A496">
            <v>46097</v>
          </cell>
          <cell r="C496" t="str">
            <v xml:space="preserve">Itapaci </v>
          </cell>
          <cell r="H496">
            <v>70.900000000000006</v>
          </cell>
        </row>
        <row r="497">
          <cell r="A497">
            <v>46097</v>
          </cell>
          <cell r="C497" t="str">
            <v xml:space="preserve">Itapaci </v>
          </cell>
          <cell r="H497">
            <v>35.82</v>
          </cell>
        </row>
        <row r="498">
          <cell r="A498">
            <v>46097</v>
          </cell>
          <cell r="C498" t="str">
            <v xml:space="preserve">Itapaci </v>
          </cell>
          <cell r="H498">
            <v>35.36</v>
          </cell>
        </row>
        <row r="499">
          <cell r="A499">
            <v>46097</v>
          </cell>
          <cell r="C499" t="str">
            <v xml:space="preserve">Itapaci </v>
          </cell>
          <cell r="H499">
            <v>34.58</v>
          </cell>
        </row>
        <row r="500">
          <cell r="A500">
            <v>46097</v>
          </cell>
          <cell r="C500" t="str">
            <v xml:space="preserve">Itapaci </v>
          </cell>
          <cell r="H500">
            <v>34.42</v>
          </cell>
        </row>
        <row r="501">
          <cell r="A501">
            <v>46097</v>
          </cell>
          <cell r="C501" t="str">
            <v xml:space="preserve">Itapaci </v>
          </cell>
          <cell r="H501">
            <v>37.64</v>
          </cell>
        </row>
        <row r="502">
          <cell r="A502">
            <v>46097</v>
          </cell>
          <cell r="C502" t="str">
            <v xml:space="preserve">Itapaci </v>
          </cell>
          <cell r="H502">
            <v>39.700000000000003</v>
          </cell>
        </row>
        <row r="503">
          <cell r="A503">
            <v>46097</v>
          </cell>
          <cell r="C503" t="str">
            <v xml:space="preserve">Itapaci </v>
          </cell>
          <cell r="H503">
            <v>39.28</v>
          </cell>
        </row>
        <row r="504">
          <cell r="A504">
            <v>46097</v>
          </cell>
          <cell r="C504" t="str">
            <v xml:space="preserve">Itapaci </v>
          </cell>
          <cell r="H504">
            <v>35.82</v>
          </cell>
        </row>
        <row r="505">
          <cell r="A505">
            <v>46097</v>
          </cell>
          <cell r="C505" t="str">
            <v xml:space="preserve">Itapaci </v>
          </cell>
          <cell r="H505">
            <v>39.340000000000003</v>
          </cell>
        </row>
        <row r="506">
          <cell r="A506">
            <v>46097</v>
          </cell>
          <cell r="C506" t="str">
            <v xml:space="preserve">Itapaci </v>
          </cell>
          <cell r="H506">
            <v>36.68</v>
          </cell>
        </row>
        <row r="507">
          <cell r="A507">
            <v>46097</v>
          </cell>
          <cell r="C507" t="str">
            <v xml:space="preserve">Itapaci </v>
          </cell>
          <cell r="H507">
            <v>40.82</v>
          </cell>
        </row>
        <row r="508">
          <cell r="A508">
            <v>46097</v>
          </cell>
          <cell r="C508" t="str">
            <v xml:space="preserve">Itapaci </v>
          </cell>
          <cell r="H508">
            <v>73.260000000000005</v>
          </cell>
        </row>
        <row r="509">
          <cell r="A509">
            <v>46097</v>
          </cell>
          <cell r="C509" t="str">
            <v xml:space="preserve">Itapaci </v>
          </cell>
          <cell r="H509">
            <v>37.72</v>
          </cell>
        </row>
        <row r="510">
          <cell r="A510">
            <v>46097</v>
          </cell>
          <cell r="C510" t="str">
            <v xml:space="preserve">Itapaci </v>
          </cell>
          <cell r="H510">
            <v>71.16</v>
          </cell>
        </row>
        <row r="511">
          <cell r="A511">
            <v>46097</v>
          </cell>
          <cell r="C511" t="str">
            <v xml:space="preserve">Itapaci </v>
          </cell>
          <cell r="H511">
            <v>39.200000000000003</v>
          </cell>
        </row>
        <row r="512">
          <cell r="A512">
            <v>46097</v>
          </cell>
          <cell r="C512" t="str">
            <v xml:space="preserve">Itapaci </v>
          </cell>
          <cell r="H512">
            <v>37.82</v>
          </cell>
        </row>
        <row r="513">
          <cell r="A513">
            <v>46097</v>
          </cell>
          <cell r="C513" t="str">
            <v xml:space="preserve">Itapaci </v>
          </cell>
          <cell r="H513">
            <v>71.400000000000006</v>
          </cell>
        </row>
        <row r="514">
          <cell r="A514">
            <v>46097</v>
          </cell>
          <cell r="C514" t="str">
            <v xml:space="preserve">Itapaci </v>
          </cell>
          <cell r="H514">
            <v>37.340000000000003</v>
          </cell>
        </row>
        <row r="515">
          <cell r="A515">
            <v>46097</v>
          </cell>
          <cell r="C515" t="str">
            <v xml:space="preserve">Itapaci </v>
          </cell>
          <cell r="H515">
            <v>37.659999999999997</v>
          </cell>
        </row>
        <row r="516">
          <cell r="A516">
            <v>46098</v>
          </cell>
          <cell r="C516" t="str">
            <v xml:space="preserve">Itapaci </v>
          </cell>
          <cell r="H516">
            <v>42</v>
          </cell>
        </row>
        <row r="517">
          <cell r="A517">
            <v>46098</v>
          </cell>
          <cell r="C517" t="str">
            <v xml:space="preserve">Itapaci </v>
          </cell>
          <cell r="H517">
            <v>70.66</v>
          </cell>
        </row>
        <row r="518">
          <cell r="A518">
            <v>46098</v>
          </cell>
          <cell r="C518" t="str">
            <v xml:space="preserve">Itapaci </v>
          </cell>
          <cell r="H518">
            <v>71.540000000000006</v>
          </cell>
        </row>
        <row r="519">
          <cell r="A519">
            <v>46098</v>
          </cell>
          <cell r="C519" t="str">
            <v xml:space="preserve">Itapaci </v>
          </cell>
          <cell r="H519">
            <v>38.42</v>
          </cell>
        </row>
        <row r="520">
          <cell r="A520">
            <v>46098</v>
          </cell>
          <cell r="C520" t="str">
            <v xml:space="preserve">Itapaci </v>
          </cell>
          <cell r="H520">
            <v>44.08</v>
          </cell>
        </row>
        <row r="521">
          <cell r="A521">
            <v>46098</v>
          </cell>
          <cell r="C521" t="str">
            <v xml:space="preserve">Itapaci </v>
          </cell>
          <cell r="H521">
            <v>35.58</v>
          </cell>
        </row>
        <row r="522">
          <cell r="A522">
            <v>46098</v>
          </cell>
          <cell r="C522" t="str">
            <v xml:space="preserve">Itapaci </v>
          </cell>
          <cell r="H522">
            <v>35.72</v>
          </cell>
        </row>
        <row r="523">
          <cell r="A523">
            <v>46098</v>
          </cell>
          <cell r="C523" t="str">
            <v xml:space="preserve">Itapaci </v>
          </cell>
          <cell r="H523">
            <v>71.7</v>
          </cell>
        </row>
        <row r="524">
          <cell r="A524">
            <v>46098</v>
          </cell>
          <cell r="C524" t="str">
            <v xml:space="preserve">Itapaci </v>
          </cell>
          <cell r="H524">
            <v>36.880000000000003</v>
          </cell>
        </row>
        <row r="525">
          <cell r="A525">
            <v>46098</v>
          </cell>
          <cell r="C525" t="str">
            <v xml:space="preserve">Itapaci </v>
          </cell>
          <cell r="H525">
            <v>39.340000000000003</v>
          </cell>
        </row>
        <row r="526">
          <cell r="A526">
            <v>46098</v>
          </cell>
          <cell r="C526" t="str">
            <v xml:space="preserve">Itapaci </v>
          </cell>
          <cell r="H526">
            <v>36.96</v>
          </cell>
        </row>
        <row r="527">
          <cell r="A527">
            <v>46098</v>
          </cell>
          <cell r="C527" t="str">
            <v xml:space="preserve">Itapaci </v>
          </cell>
          <cell r="H527">
            <v>68.92</v>
          </cell>
        </row>
        <row r="528">
          <cell r="A528">
            <v>46099</v>
          </cell>
          <cell r="C528" t="str">
            <v xml:space="preserve">Itapaci </v>
          </cell>
          <cell r="H528">
            <v>39.82</v>
          </cell>
        </row>
        <row r="529">
          <cell r="A529">
            <v>46099</v>
          </cell>
          <cell r="C529" t="str">
            <v xml:space="preserve">Itapaci </v>
          </cell>
          <cell r="H529">
            <v>34.159999999999997</v>
          </cell>
        </row>
        <row r="530">
          <cell r="A530">
            <v>46099</v>
          </cell>
          <cell r="C530" t="str">
            <v xml:space="preserve">Itapaci </v>
          </cell>
          <cell r="H530">
            <v>35.880000000000003</v>
          </cell>
        </row>
        <row r="531">
          <cell r="A531">
            <v>46099</v>
          </cell>
          <cell r="C531" t="str">
            <v xml:space="preserve">Itapaci </v>
          </cell>
          <cell r="H531">
            <v>40.08</v>
          </cell>
        </row>
        <row r="532">
          <cell r="A532">
            <v>46099</v>
          </cell>
          <cell r="C532" t="str">
            <v xml:space="preserve">Itapaci </v>
          </cell>
          <cell r="H532">
            <v>70.64</v>
          </cell>
        </row>
        <row r="533">
          <cell r="A533">
            <v>46099</v>
          </cell>
          <cell r="C533" t="str">
            <v xml:space="preserve">Itapaci </v>
          </cell>
          <cell r="H533">
            <v>36.299999999999997</v>
          </cell>
        </row>
        <row r="534">
          <cell r="A534">
            <v>46099</v>
          </cell>
          <cell r="C534" t="str">
            <v xml:space="preserve">Itapaci </v>
          </cell>
          <cell r="H534">
            <v>78.42</v>
          </cell>
        </row>
        <row r="535">
          <cell r="A535">
            <v>46099</v>
          </cell>
          <cell r="C535" t="str">
            <v xml:space="preserve">Itapaci </v>
          </cell>
          <cell r="H535">
            <v>42.04</v>
          </cell>
        </row>
        <row r="536">
          <cell r="A536">
            <v>46099</v>
          </cell>
          <cell r="C536" t="str">
            <v xml:space="preserve">Itapaci </v>
          </cell>
          <cell r="H536">
            <v>66.02</v>
          </cell>
        </row>
        <row r="537">
          <cell r="A537">
            <v>46099</v>
          </cell>
          <cell r="C537" t="str">
            <v xml:space="preserve">Itapaci </v>
          </cell>
          <cell r="H537">
            <v>73.34</v>
          </cell>
        </row>
        <row r="538">
          <cell r="A538">
            <v>46099</v>
          </cell>
          <cell r="C538" t="str">
            <v xml:space="preserve">Itapaci </v>
          </cell>
          <cell r="H538">
            <v>67.44</v>
          </cell>
        </row>
        <row r="539">
          <cell r="A539">
            <v>46099</v>
          </cell>
          <cell r="C539" t="str">
            <v xml:space="preserve">Itapaci </v>
          </cell>
          <cell r="H539">
            <v>34.340000000000003</v>
          </cell>
        </row>
        <row r="540">
          <cell r="A540">
            <v>46099</v>
          </cell>
          <cell r="C540" t="str">
            <v xml:space="preserve">Itapaci </v>
          </cell>
          <cell r="H540">
            <v>30.6</v>
          </cell>
        </row>
        <row r="541">
          <cell r="A541">
            <v>46099</v>
          </cell>
          <cell r="C541" t="str">
            <v xml:space="preserve">Itapaci </v>
          </cell>
          <cell r="H541">
            <v>38.64</v>
          </cell>
        </row>
        <row r="542">
          <cell r="A542">
            <v>46099</v>
          </cell>
          <cell r="C542" t="str">
            <v xml:space="preserve">Itapaci </v>
          </cell>
          <cell r="H542">
            <v>35.42</v>
          </cell>
        </row>
        <row r="543">
          <cell r="A543">
            <v>46099</v>
          </cell>
          <cell r="C543" t="str">
            <v xml:space="preserve">Itapaci </v>
          </cell>
          <cell r="H543">
            <v>34.24</v>
          </cell>
        </row>
        <row r="544">
          <cell r="A544">
            <v>46099</v>
          </cell>
          <cell r="C544" t="str">
            <v xml:space="preserve">Itapaci </v>
          </cell>
          <cell r="H544">
            <v>35.520000000000003</v>
          </cell>
        </row>
        <row r="545">
          <cell r="A545">
            <v>46099</v>
          </cell>
          <cell r="C545" t="str">
            <v xml:space="preserve">Itapaci </v>
          </cell>
          <cell r="H545">
            <v>34.72</v>
          </cell>
        </row>
        <row r="546">
          <cell r="A546">
            <v>46099</v>
          </cell>
          <cell r="C546" t="str">
            <v xml:space="preserve">Itapaci </v>
          </cell>
          <cell r="H546">
            <v>42.88</v>
          </cell>
        </row>
        <row r="547">
          <cell r="A547">
            <v>46099</v>
          </cell>
          <cell r="C547" t="str">
            <v xml:space="preserve">Itapaci </v>
          </cell>
          <cell r="H547">
            <v>35.28</v>
          </cell>
        </row>
        <row r="548">
          <cell r="A548">
            <v>46099</v>
          </cell>
          <cell r="C548" t="str">
            <v xml:space="preserve">Itapaci </v>
          </cell>
          <cell r="H548">
            <v>36.200000000000003</v>
          </cell>
        </row>
        <row r="549">
          <cell r="A549">
            <v>46099</v>
          </cell>
          <cell r="C549" t="str">
            <v xml:space="preserve">Itapaci </v>
          </cell>
          <cell r="H549">
            <v>35.479999999999997</v>
          </cell>
        </row>
        <row r="550">
          <cell r="A550">
            <v>46099</v>
          </cell>
          <cell r="C550" t="str">
            <v xml:space="preserve">Itapaci </v>
          </cell>
          <cell r="H550">
            <v>39.520000000000003</v>
          </cell>
        </row>
        <row r="551">
          <cell r="A551">
            <v>46099</v>
          </cell>
          <cell r="C551" t="str">
            <v xml:space="preserve">Itapaci </v>
          </cell>
          <cell r="H551">
            <v>35.96</v>
          </cell>
        </row>
        <row r="552">
          <cell r="A552">
            <v>46100</v>
          </cell>
          <cell r="C552" t="str">
            <v xml:space="preserve">Itapaci </v>
          </cell>
          <cell r="H552">
            <v>39.020000000000003</v>
          </cell>
        </row>
        <row r="553">
          <cell r="A553">
            <v>46100</v>
          </cell>
          <cell r="C553" t="str">
            <v xml:space="preserve">Itapaci </v>
          </cell>
          <cell r="H553">
            <v>37</v>
          </cell>
        </row>
        <row r="554">
          <cell r="A554">
            <v>46100</v>
          </cell>
          <cell r="C554" t="str">
            <v xml:space="preserve">Itapaci </v>
          </cell>
          <cell r="H554">
            <v>39.08</v>
          </cell>
        </row>
        <row r="555">
          <cell r="A555">
            <v>46100</v>
          </cell>
          <cell r="C555" t="str">
            <v xml:space="preserve">Itapaci </v>
          </cell>
          <cell r="H555">
            <v>34.520000000000003</v>
          </cell>
        </row>
        <row r="556">
          <cell r="A556">
            <v>46100</v>
          </cell>
          <cell r="C556" t="str">
            <v xml:space="preserve">Itapaci </v>
          </cell>
          <cell r="H556">
            <v>35.32</v>
          </cell>
        </row>
        <row r="557">
          <cell r="A557">
            <v>46100</v>
          </cell>
          <cell r="C557" t="str">
            <v xml:space="preserve">Itapaci </v>
          </cell>
          <cell r="H557">
            <v>60.72</v>
          </cell>
        </row>
        <row r="558">
          <cell r="A558">
            <v>46100</v>
          </cell>
          <cell r="C558" t="str">
            <v xml:space="preserve">Itapaci </v>
          </cell>
          <cell r="H558">
            <v>59.22</v>
          </cell>
        </row>
        <row r="559">
          <cell r="A559">
            <v>46100</v>
          </cell>
          <cell r="C559" t="str">
            <v xml:space="preserve">Itapaci </v>
          </cell>
          <cell r="H559">
            <v>35.44</v>
          </cell>
        </row>
        <row r="560">
          <cell r="A560">
            <v>46100</v>
          </cell>
          <cell r="C560" t="str">
            <v xml:space="preserve">Itapaci </v>
          </cell>
          <cell r="H560">
            <v>34.74</v>
          </cell>
        </row>
        <row r="561">
          <cell r="A561">
            <v>46100</v>
          </cell>
          <cell r="C561" t="str">
            <v xml:space="preserve">Itapaci </v>
          </cell>
          <cell r="H561">
            <v>43.72</v>
          </cell>
        </row>
        <row r="562">
          <cell r="A562">
            <v>46100</v>
          </cell>
          <cell r="C562" t="str">
            <v xml:space="preserve">Itapaci </v>
          </cell>
          <cell r="H562">
            <v>71.22</v>
          </cell>
        </row>
        <row r="563">
          <cell r="A563">
            <v>46100</v>
          </cell>
          <cell r="C563" t="str">
            <v xml:space="preserve">Itapaci </v>
          </cell>
          <cell r="H563">
            <v>37.700000000000003</v>
          </cell>
        </row>
        <row r="564">
          <cell r="A564">
            <v>46100</v>
          </cell>
          <cell r="C564" t="str">
            <v xml:space="preserve">Itapaci </v>
          </cell>
          <cell r="H564">
            <v>38.700000000000003</v>
          </cell>
        </row>
        <row r="565">
          <cell r="A565">
            <v>46100</v>
          </cell>
          <cell r="C565" t="str">
            <v xml:space="preserve">Itapaci </v>
          </cell>
          <cell r="H565">
            <v>71.599999999999994</v>
          </cell>
        </row>
        <row r="566">
          <cell r="A566">
            <v>46100</v>
          </cell>
          <cell r="C566" t="str">
            <v xml:space="preserve">Itapaci </v>
          </cell>
          <cell r="H566">
            <v>33.32</v>
          </cell>
        </row>
        <row r="567">
          <cell r="A567">
            <v>46100</v>
          </cell>
          <cell r="C567" t="str">
            <v xml:space="preserve">Itapaci </v>
          </cell>
          <cell r="H567">
            <v>36.72</v>
          </cell>
        </row>
        <row r="568">
          <cell r="A568">
            <v>46100</v>
          </cell>
          <cell r="C568" t="str">
            <v xml:space="preserve">Itapaci </v>
          </cell>
          <cell r="H568">
            <v>37.14</v>
          </cell>
        </row>
        <row r="569">
          <cell r="A569">
            <v>46100</v>
          </cell>
          <cell r="C569" t="str">
            <v xml:space="preserve">Itapaci </v>
          </cell>
          <cell r="H569">
            <v>34.520000000000003</v>
          </cell>
        </row>
        <row r="570">
          <cell r="A570">
            <v>46100</v>
          </cell>
          <cell r="C570" t="str">
            <v xml:space="preserve">Itapaci </v>
          </cell>
          <cell r="H570">
            <v>37.42</v>
          </cell>
        </row>
        <row r="571">
          <cell r="A571">
            <v>46100</v>
          </cell>
          <cell r="C571" t="str">
            <v xml:space="preserve">Itapaci </v>
          </cell>
          <cell r="H571">
            <v>37.4</v>
          </cell>
        </row>
        <row r="572">
          <cell r="A572">
            <v>46100</v>
          </cell>
          <cell r="C572" t="str">
            <v xml:space="preserve">Itapaci </v>
          </cell>
          <cell r="H572">
            <v>36.94</v>
          </cell>
        </row>
        <row r="573">
          <cell r="A573">
            <v>46100</v>
          </cell>
          <cell r="C573" t="str">
            <v xml:space="preserve">Itapaci </v>
          </cell>
          <cell r="H573">
            <v>39.26</v>
          </cell>
        </row>
        <row r="574">
          <cell r="A574">
            <v>46100</v>
          </cell>
          <cell r="C574" t="str">
            <v xml:space="preserve">Itapaci </v>
          </cell>
          <cell r="H574">
            <v>39.6</v>
          </cell>
        </row>
        <row r="575">
          <cell r="A575">
            <v>46100</v>
          </cell>
          <cell r="C575" t="str">
            <v xml:space="preserve">Itapaci </v>
          </cell>
          <cell r="H575">
            <v>39.96</v>
          </cell>
        </row>
        <row r="576">
          <cell r="A576">
            <v>46100</v>
          </cell>
          <cell r="C576" t="str">
            <v xml:space="preserve">Itapaci </v>
          </cell>
          <cell r="H576">
            <v>38.340000000000003</v>
          </cell>
        </row>
        <row r="577">
          <cell r="A577">
            <v>46100</v>
          </cell>
          <cell r="C577" t="str">
            <v xml:space="preserve">Itapaci </v>
          </cell>
          <cell r="H577">
            <v>42.06</v>
          </cell>
        </row>
        <row r="578">
          <cell r="A578">
            <v>46100</v>
          </cell>
          <cell r="C578" t="str">
            <v xml:space="preserve">Itapaci </v>
          </cell>
          <cell r="H578">
            <v>35.619999999999997</v>
          </cell>
        </row>
        <row r="579">
          <cell r="A579">
            <v>46100</v>
          </cell>
          <cell r="C579" t="str">
            <v xml:space="preserve">Itapaci </v>
          </cell>
          <cell r="H579">
            <v>37.619999999999997</v>
          </cell>
        </row>
        <row r="580">
          <cell r="A580">
            <v>46100</v>
          </cell>
          <cell r="C580" t="str">
            <v xml:space="preserve">Itapaci </v>
          </cell>
          <cell r="H580">
            <v>62.12</v>
          </cell>
        </row>
        <row r="581">
          <cell r="A581">
            <v>46100</v>
          </cell>
          <cell r="C581" t="str">
            <v xml:space="preserve">Itapaci </v>
          </cell>
          <cell r="H581">
            <v>38.159999999999997</v>
          </cell>
        </row>
        <row r="582">
          <cell r="A582">
            <v>46100</v>
          </cell>
          <cell r="C582" t="str">
            <v xml:space="preserve">Itapaci </v>
          </cell>
          <cell r="H582">
            <v>69.06</v>
          </cell>
        </row>
        <row r="583">
          <cell r="A583">
            <v>46100</v>
          </cell>
          <cell r="C583" t="str">
            <v xml:space="preserve">Itapaci </v>
          </cell>
          <cell r="H583">
            <v>70.08</v>
          </cell>
        </row>
        <row r="584">
          <cell r="A584">
            <v>46101</v>
          </cell>
          <cell r="C584" t="str">
            <v xml:space="preserve">Itapaci </v>
          </cell>
          <cell r="H584">
            <v>41.92</v>
          </cell>
        </row>
        <row r="585">
          <cell r="A585">
            <v>46101</v>
          </cell>
          <cell r="C585" t="str">
            <v xml:space="preserve">Itapaci </v>
          </cell>
          <cell r="H585">
            <v>36.659999999999997</v>
          </cell>
        </row>
        <row r="586">
          <cell r="A586">
            <v>46101</v>
          </cell>
          <cell r="C586" t="str">
            <v xml:space="preserve">Itapaci </v>
          </cell>
          <cell r="H586">
            <v>33.72</v>
          </cell>
        </row>
        <row r="587">
          <cell r="A587">
            <v>46101</v>
          </cell>
          <cell r="C587" t="str">
            <v xml:space="preserve">Itapaci </v>
          </cell>
          <cell r="H587">
            <v>39.380000000000003</v>
          </cell>
        </row>
        <row r="588">
          <cell r="A588">
            <v>46101</v>
          </cell>
          <cell r="C588" t="str">
            <v xml:space="preserve">Itapaci </v>
          </cell>
          <cell r="H588">
            <v>39.46</v>
          </cell>
        </row>
        <row r="589">
          <cell r="A589">
            <v>46101</v>
          </cell>
          <cell r="C589" t="str">
            <v xml:space="preserve">Itapaci </v>
          </cell>
          <cell r="H589">
            <v>37.22</v>
          </cell>
        </row>
        <row r="590">
          <cell r="A590">
            <v>46101</v>
          </cell>
          <cell r="C590" t="str">
            <v xml:space="preserve">Itapaci </v>
          </cell>
          <cell r="H590">
            <v>35.96</v>
          </cell>
        </row>
        <row r="591">
          <cell r="A591">
            <v>46101</v>
          </cell>
          <cell r="C591" t="str">
            <v xml:space="preserve">Itapaci </v>
          </cell>
          <cell r="H591">
            <v>36.42</v>
          </cell>
        </row>
        <row r="592">
          <cell r="A592">
            <v>46101</v>
          </cell>
          <cell r="C592" t="str">
            <v xml:space="preserve">Itapaci </v>
          </cell>
          <cell r="H592">
            <v>38.26</v>
          </cell>
        </row>
        <row r="593">
          <cell r="A593">
            <v>46101</v>
          </cell>
          <cell r="C593" t="str">
            <v xml:space="preserve">Itapaci </v>
          </cell>
          <cell r="H593">
            <v>64.22</v>
          </cell>
        </row>
        <row r="594">
          <cell r="A594">
            <v>46101</v>
          </cell>
          <cell r="C594" t="str">
            <v xml:space="preserve">Itapaci </v>
          </cell>
          <cell r="H594">
            <v>43.58</v>
          </cell>
        </row>
        <row r="595">
          <cell r="A595">
            <v>46101</v>
          </cell>
          <cell r="C595" t="str">
            <v xml:space="preserve">Itapaci </v>
          </cell>
          <cell r="H595">
            <v>38.6</v>
          </cell>
        </row>
        <row r="596">
          <cell r="A596">
            <v>46101</v>
          </cell>
          <cell r="C596" t="str">
            <v xml:space="preserve">Itapaci </v>
          </cell>
          <cell r="H596">
            <v>35.44</v>
          </cell>
        </row>
        <row r="597">
          <cell r="A597">
            <v>46101</v>
          </cell>
          <cell r="C597" t="str">
            <v xml:space="preserve">Itapaci </v>
          </cell>
          <cell r="H597">
            <v>39.36</v>
          </cell>
        </row>
        <row r="598">
          <cell r="A598">
            <v>46101</v>
          </cell>
          <cell r="C598" t="str">
            <v xml:space="preserve">Itapaci </v>
          </cell>
          <cell r="H598">
            <v>70.94</v>
          </cell>
        </row>
        <row r="599">
          <cell r="A599">
            <v>46101</v>
          </cell>
          <cell r="C599" t="str">
            <v xml:space="preserve">Itapaci </v>
          </cell>
          <cell r="H599">
            <v>71.959999999999994</v>
          </cell>
        </row>
        <row r="600">
          <cell r="A600">
            <v>46101</v>
          </cell>
          <cell r="C600" t="str">
            <v xml:space="preserve">Itapaci </v>
          </cell>
          <cell r="H600">
            <v>71.08</v>
          </cell>
        </row>
        <row r="601">
          <cell r="A601">
            <v>46101</v>
          </cell>
          <cell r="C601" t="str">
            <v xml:space="preserve">Itapaci </v>
          </cell>
          <cell r="H601">
            <v>62.42</v>
          </cell>
        </row>
        <row r="602">
          <cell r="A602">
            <v>46101</v>
          </cell>
          <cell r="C602" t="str">
            <v xml:space="preserve">Itapaci </v>
          </cell>
          <cell r="H602">
            <v>35.700000000000003</v>
          </cell>
        </row>
        <row r="603">
          <cell r="A603">
            <v>46101</v>
          </cell>
          <cell r="C603" t="str">
            <v xml:space="preserve">Itapaci </v>
          </cell>
          <cell r="H603">
            <v>41.94</v>
          </cell>
        </row>
        <row r="604">
          <cell r="A604">
            <v>46101</v>
          </cell>
          <cell r="C604" t="str">
            <v xml:space="preserve">Itapaci </v>
          </cell>
          <cell r="H604">
            <v>33.44</v>
          </cell>
        </row>
        <row r="605">
          <cell r="A605">
            <v>46101</v>
          </cell>
          <cell r="C605" t="str">
            <v xml:space="preserve">Itapaci </v>
          </cell>
          <cell r="H605">
            <v>38.799999999999997</v>
          </cell>
        </row>
        <row r="606">
          <cell r="A606">
            <v>46101</v>
          </cell>
          <cell r="C606" t="str">
            <v xml:space="preserve">Itapaci </v>
          </cell>
          <cell r="H606">
            <v>37.159999999999997</v>
          </cell>
        </row>
        <row r="607">
          <cell r="A607">
            <v>46101</v>
          </cell>
          <cell r="C607" t="str">
            <v xml:space="preserve">Itapaci </v>
          </cell>
          <cell r="H607">
            <v>36.08</v>
          </cell>
        </row>
        <row r="608">
          <cell r="A608">
            <v>46101</v>
          </cell>
          <cell r="C608" t="str">
            <v xml:space="preserve">Itapaci </v>
          </cell>
          <cell r="H608">
            <v>34.32</v>
          </cell>
        </row>
        <row r="609">
          <cell r="A609">
            <v>46101</v>
          </cell>
          <cell r="C609" t="str">
            <v xml:space="preserve">Itapaci </v>
          </cell>
          <cell r="H609">
            <v>39.9</v>
          </cell>
        </row>
        <row r="610">
          <cell r="A610">
            <v>46101</v>
          </cell>
          <cell r="C610" t="str">
            <v xml:space="preserve">Itapaci </v>
          </cell>
          <cell r="H610">
            <v>41.26</v>
          </cell>
        </row>
        <row r="611">
          <cell r="A611">
            <v>46101</v>
          </cell>
          <cell r="C611" t="str">
            <v xml:space="preserve">Itapaci </v>
          </cell>
          <cell r="H611">
            <v>70.760000000000005</v>
          </cell>
        </row>
        <row r="612">
          <cell r="A612">
            <v>46101</v>
          </cell>
          <cell r="C612" t="str">
            <v xml:space="preserve">Itapaci </v>
          </cell>
          <cell r="H612">
            <v>43.46</v>
          </cell>
        </row>
        <row r="613">
          <cell r="A613">
            <v>46101</v>
          </cell>
          <cell r="C613" t="str">
            <v xml:space="preserve">Itapaci </v>
          </cell>
          <cell r="H613">
            <v>71.08</v>
          </cell>
        </row>
        <row r="614">
          <cell r="A614">
            <v>46101</v>
          </cell>
          <cell r="C614" t="str">
            <v xml:space="preserve">Itapaci </v>
          </cell>
          <cell r="H614">
            <v>36.72</v>
          </cell>
        </row>
        <row r="615">
          <cell r="A615">
            <v>46101</v>
          </cell>
          <cell r="C615" t="str">
            <v xml:space="preserve">Itapaci </v>
          </cell>
          <cell r="H615">
            <v>36.880000000000003</v>
          </cell>
        </row>
        <row r="616">
          <cell r="A616">
            <v>46101</v>
          </cell>
          <cell r="C616" t="str">
            <v xml:space="preserve">Itapaci </v>
          </cell>
          <cell r="H616">
            <v>71.92</v>
          </cell>
        </row>
        <row r="617">
          <cell r="A617">
            <v>46101</v>
          </cell>
          <cell r="C617" t="str">
            <v xml:space="preserve">Itapaci </v>
          </cell>
          <cell r="H617">
            <v>37.86</v>
          </cell>
        </row>
        <row r="618">
          <cell r="A618">
            <v>46101</v>
          </cell>
          <cell r="C618" t="str">
            <v xml:space="preserve">Itapaci </v>
          </cell>
          <cell r="H618">
            <v>36.42</v>
          </cell>
        </row>
        <row r="619">
          <cell r="A619">
            <v>46102</v>
          </cell>
          <cell r="C619" t="str">
            <v xml:space="preserve">Itapaci </v>
          </cell>
          <cell r="H619">
            <v>61.78</v>
          </cell>
        </row>
        <row r="620">
          <cell r="A620">
            <v>46102</v>
          </cell>
          <cell r="C620" t="str">
            <v xml:space="preserve">Itapaci </v>
          </cell>
          <cell r="H620">
            <v>34.58</v>
          </cell>
        </row>
        <row r="621">
          <cell r="A621">
            <v>46102</v>
          </cell>
          <cell r="C621" t="str">
            <v xml:space="preserve">Itapaci </v>
          </cell>
          <cell r="H621">
            <v>39.6</v>
          </cell>
        </row>
        <row r="622">
          <cell r="A622">
            <v>46102</v>
          </cell>
          <cell r="C622" t="str">
            <v xml:space="preserve">Itapaci </v>
          </cell>
          <cell r="H622">
            <v>57.94</v>
          </cell>
        </row>
        <row r="623">
          <cell r="A623">
            <v>46102</v>
          </cell>
          <cell r="C623" t="str">
            <v xml:space="preserve">Itapaci </v>
          </cell>
          <cell r="H623">
            <v>35.56</v>
          </cell>
        </row>
        <row r="624">
          <cell r="A624">
            <v>46102</v>
          </cell>
          <cell r="C624" t="str">
            <v xml:space="preserve">Itapaci </v>
          </cell>
          <cell r="H624">
            <v>36.42</v>
          </cell>
        </row>
        <row r="625">
          <cell r="A625">
            <v>46102</v>
          </cell>
          <cell r="C625" t="str">
            <v xml:space="preserve">Itapaci </v>
          </cell>
          <cell r="H625">
            <v>35.24</v>
          </cell>
        </row>
        <row r="626">
          <cell r="A626">
            <v>46102</v>
          </cell>
          <cell r="C626" t="str">
            <v xml:space="preserve">Itapaci </v>
          </cell>
          <cell r="H626">
            <v>31.6</v>
          </cell>
        </row>
        <row r="627">
          <cell r="A627">
            <v>46102</v>
          </cell>
          <cell r="C627" t="str">
            <v xml:space="preserve">Itapaci </v>
          </cell>
          <cell r="H627">
            <v>39.5</v>
          </cell>
        </row>
        <row r="628">
          <cell r="A628">
            <v>46102</v>
          </cell>
          <cell r="C628" t="str">
            <v xml:space="preserve">Itapaci </v>
          </cell>
          <cell r="H628">
            <v>42.64</v>
          </cell>
        </row>
        <row r="629">
          <cell r="A629">
            <v>46102</v>
          </cell>
          <cell r="C629" t="str">
            <v xml:space="preserve">Itapaci </v>
          </cell>
          <cell r="H629">
            <v>45.88</v>
          </cell>
        </row>
        <row r="630">
          <cell r="A630">
            <v>46102</v>
          </cell>
          <cell r="C630" t="str">
            <v xml:space="preserve">Itapaci </v>
          </cell>
          <cell r="H630">
            <v>71.319999999999993</v>
          </cell>
        </row>
        <row r="631">
          <cell r="A631">
            <v>46102</v>
          </cell>
          <cell r="C631" t="str">
            <v xml:space="preserve">Itapaci </v>
          </cell>
          <cell r="H631">
            <v>35.72</v>
          </cell>
        </row>
        <row r="632">
          <cell r="A632">
            <v>46102</v>
          </cell>
          <cell r="C632" t="str">
            <v xml:space="preserve">Itapaci </v>
          </cell>
          <cell r="H632">
            <v>36.4</v>
          </cell>
        </row>
        <row r="633">
          <cell r="A633">
            <v>46102</v>
          </cell>
          <cell r="C633" t="str">
            <v xml:space="preserve">Itapaci </v>
          </cell>
          <cell r="H633">
            <v>72.099999999999994</v>
          </cell>
        </row>
        <row r="634">
          <cell r="A634">
            <v>46102</v>
          </cell>
          <cell r="C634" t="str">
            <v xml:space="preserve">Itapaci </v>
          </cell>
          <cell r="H634">
            <v>37.299999999999997</v>
          </cell>
        </row>
        <row r="635">
          <cell r="A635">
            <v>46102</v>
          </cell>
          <cell r="C635" t="str">
            <v xml:space="preserve">Itapaci </v>
          </cell>
          <cell r="H635">
            <v>42.94</v>
          </cell>
        </row>
        <row r="636">
          <cell r="A636">
            <v>46102</v>
          </cell>
          <cell r="C636" t="str">
            <v xml:space="preserve">Itapaci </v>
          </cell>
          <cell r="H636">
            <v>36.159999999999997</v>
          </cell>
        </row>
        <row r="637">
          <cell r="A637">
            <v>46102</v>
          </cell>
          <cell r="C637" t="str">
            <v xml:space="preserve">Itapaci </v>
          </cell>
          <cell r="H637">
            <v>36.92</v>
          </cell>
        </row>
        <row r="638">
          <cell r="A638">
            <v>46102</v>
          </cell>
          <cell r="C638" t="str">
            <v xml:space="preserve">Itapaci </v>
          </cell>
          <cell r="H638">
            <v>37.6</v>
          </cell>
        </row>
        <row r="639">
          <cell r="A639">
            <v>46102</v>
          </cell>
          <cell r="C639" t="str">
            <v xml:space="preserve">Itapaci </v>
          </cell>
          <cell r="H639">
            <v>35.82</v>
          </cell>
        </row>
        <row r="640">
          <cell r="A640">
            <v>46102</v>
          </cell>
          <cell r="C640" t="str">
            <v xml:space="preserve">Itapaci </v>
          </cell>
          <cell r="H640">
            <v>64.040000000000006</v>
          </cell>
        </row>
        <row r="641">
          <cell r="A641">
            <v>46102</v>
          </cell>
          <cell r="C641" t="str">
            <v xml:space="preserve">Itapaci </v>
          </cell>
          <cell r="H641">
            <v>62.3</v>
          </cell>
        </row>
        <row r="642">
          <cell r="A642">
            <v>46102</v>
          </cell>
          <cell r="C642" t="str">
            <v xml:space="preserve">Itapaci </v>
          </cell>
          <cell r="H642">
            <v>47.14</v>
          </cell>
        </row>
        <row r="643">
          <cell r="A643">
            <v>46104</v>
          </cell>
          <cell r="C643" t="str">
            <v xml:space="preserve">Itapaci </v>
          </cell>
          <cell r="H643">
            <v>40.58</v>
          </cell>
        </row>
        <row r="644">
          <cell r="A644">
            <v>46102</v>
          </cell>
          <cell r="C644" t="str">
            <v xml:space="preserve">Itapaci </v>
          </cell>
          <cell r="H644">
            <v>41.26</v>
          </cell>
        </row>
        <row r="645">
          <cell r="A645">
            <v>46102</v>
          </cell>
          <cell r="C645" t="str">
            <v xml:space="preserve">Itapaci </v>
          </cell>
          <cell r="H645">
            <v>38.04</v>
          </cell>
        </row>
        <row r="646">
          <cell r="A646">
            <v>46102</v>
          </cell>
          <cell r="C646" t="str">
            <v xml:space="preserve">Itapaci </v>
          </cell>
          <cell r="H646">
            <v>43.98</v>
          </cell>
        </row>
        <row r="647">
          <cell r="A647">
            <v>46104</v>
          </cell>
          <cell r="C647" t="str">
            <v xml:space="preserve">Itapaci </v>
          </cell>
          <cell r="H647">
            <v>69.459999999999994</v>
          </cell>
        </row>
        <row r="648">
          <cell r="A648">
            <v>46104</v>
          </cell>
          <cell r="C648" t="str">
            <v xml:space="preserve">Itapaci </v>
          </cell>
          <cell r="H648">
            <v>46</v>
          </cell>
        </row>
        <row r="649">
          <cell r="A649">
            <v>46104</v>
          </cell>
          <cell r="C649" t="str">
            <v xml:space="preserve">Itapaci </v>
          </cell>
          <cell r="H649">
            <v>45.78</v>
          </cell>
        </row>
        <row r="650">
          <cell r="A650">
            <v>46104</v>
          </cell>
          <cell r="C650" t="str">
            <v xml:space="preserve">Itapaci </v>
          </cell>
          <cell r="H650">
            <v>35.700000000000003</v>
          </cell>
        </row>
        <row r="651">
          <cell r="A651">
            <v>46104</v>
          </cell>
          <cell r="C651" t="str">
            <v xml:space="preserve">Itapaci </v>
          </cell>
          <cell r="H651">
            <v>38.659999999999997</v>
          </cell>
        </row>
        <row r="652">
          <cell r="A652">
            <v>46104</v>
          </cell>
          <cell r="C652" t="str">
            <v xml:space="preserve">Itapaci </v>
          </cell>
          <cell r="H652">
            <v>37.08</v>
          </cell>
        </row>
        <row r="653">
          <cell r="A653">
            <v>46104</v>
          </cell>
          <cell r="C653" t="str">
            <v xml:space="preserve">Itapaci </v>
          </cell>
          <cell r="H653">
            <v>35.74</v>
          </cell>
        </row>
        <row r="654">
          <cell r="A654">
            <v>46104</v>
          </cell>
          <cell r="C654" t="str">
            <v xml:space="preserve">Itapaci </v>
          </cell>
          <cell r="H654">
            <v>35.979999999999997</v>
          </cell>
        </row>
        <row r="655">
          <cell r="A655">
            <v>46104</v>
          </cell>
          <cell r="C655" t="str">
            <v xml:space="preserve">Itapaci </v>
          </cell>
          <cell r="H655">
            <v>38.4</v>
          </cell>
        </row>
        <row r="656">
          <cell r="A656">
            <v>46104</v>
          </cell>
          <cell r="C656" t="str">
            <v xml:space="preserve">Itapaci </v>
          </cell>
          <cell r="H656">
            <v>70.08</v>
          </cell>
        </row>
        <row r="657">
          <cell r="A657">
            <v>46104</v>
          </cell>
          <cell r="C657" t="str">
            <v xml:space="preserve">Itapaci </v>
          </cell>
          <cell r="H657">
            <v>42.2</v>
          </cell>
        </row>
        <row r="658">
          <cell r="A658">
            <v>46104</v>
          </cell>
          <cell r="C658" t="str">
            <v xml:space="preserve">Itapaci </v>
          </cell>
          <cell r="H658">
            <v>72.260000000000005</v>
          </cell>
        </row>
        <row r="659">
          <cell r="A659">
            <v>46104</v>
          </cell>
          <cell r="C659" t="str">
            <v xml:space="preserve">Itapaci </v>
          </cell>
          <cell r="H659">
            <v>40.44</v>
          </cell>
        </row>
        <row r="660">
          <cell r="A660">
            <v>46104</v>
          </cell>
          <cell r="C660" t="str">
            <v xml:space="preserve">Itapaci </v>
          </cell>
          <cell r="H660">
            <v>46.66</v>
          </cell>
        </row>
        <row r="661">
          <cell r="A661">
            <v>46104</v>
          </cell>
          <cell r="C661" t="str">
            <v xml:space="preserve">Itapaci </v>
          </cell>
          <cell r="H661">
            <v>61.74</v>
          </cell>
        </row>
        <row r="662">
          <cell r="A662">
            <v>46104</v>
          </cell>
          <cell r="C662" t="str">
            <v xml:space="preserve">Itapaci </v>
          </cell>
          <cell r="H662">
            <v>48.88</v>
          </cell>
        </row>
        <row r="663">
          <cell r="A663">
            <v>46104</v>
          </cell>
          <cell r="C663" t="str">
            <v xml:space="preserve">Itapaci </v>
          </cell>
          <cell r="H663">
            <v>46.76</v>
          </cell>
        </row>
        <row r="664">
          <cell r="A664">
            <v>46104</v>
          </cell>
          <cell r="C664" t="str">
            <v xml:space="preserve">Itapaci </v>
          </cell>
          <cell r="H664">
            <v>37.28</v>
          </cell>
        </row>
        <row r="665">
          <cell r="A665">
            <v>46104</v>
          </cell>
          <cell r="C665" t="str">
            <v xml:space="preserve">Itapaci </v>
          </cell>
          <cell r="H665">
            <v>34.86</v>
          </cell>
        </row>
        <row r="666">
          <cell r="A666">
            <v>46104</v>
          </cell>
          <cell r="C666" t="str">
            <v xml:space="preserve">Itapaci </v>
          </cell>
          <cell r="H666">
            <v>35.5</v>
          </cell>
        </row>
        <row r="667">
          <cell r="A667">
            <v>46104</v>
          </cell>
          <cell r="C667" t="str">
            <v xml:space="preserve">Itapaci </v>
          </cell>
          <cell r="H667">
            <v>36.619999999999997</v>
          </cell>
        </row>
        <row r="668">
          <cell r="A668">
            <v>46104</v>
          </cell>
          <cell r="C668" t="str">
            <v xml:space="preserve">Itapaci </v>
          </cell>
          <cell r="H668">
            <v>36.619999999999997</v>
          </cell>
        </row>
        <row r="669">
          <cell r="A669">
            <v>46104</v>
          </cell>
          <cell r="C669" t="str">
            <v xml:space="preserve">Itapaci </v>
          </cell>
          <cell r="H669">
            <v>38.86</v>
          </cell>
        </row>
        <row r="670">
          <cell r="A670">
            <v>46104</v>
          </cell>
          <cell r="C670" t="str">
            <v xml:space="preserve">Itapaci </v>
          </cell>
          <cell r="H670">
            <v>41.36</v>
          </cell>
        </row>
        <row r="671">
          <cell r="A671">
            <v>46104</v>
          </cell>
          <cell r="C671" t="str">
            <v xml:space="preserve">Itapaci </v>
          </cell>
          <cell r="H671">
            <v>71.400000000000006</v>
          </cell>
        </row>
        <row r="672">
          <cell r="A672">
            <v>46104</v>
          </cell>
          <cell r="C672" t="str">
            <v xml:space="preserve">Itapaci </v>
          </cell>
          <cell r="H672">
            <v>46.04</v>
          </cell>
        </row>
        <row r="673">
          <cell r="A673">
            <v>46104</v>
          </cell>
          <cell r="C673" t="str">
            <v xml:space="preserve">Itapaci </v>
          </cell>
          <cell r="H673">
            <v>35.78</v>
          </cell>
        </row>
        <row r="674">
          <cell r="A674">
            <v>46105</v>
          </cell>
          <cell r="C674" t="str">
            <v xml:space="preserve">Itapaci </v>
          </cell>
          <cell r="H674">
            <v>37.979999999999997</v>
          </cell>
        </row>
        <row r="675">
          <cell r="A675">
            <v>46105</v>
          </cell>
          <cell r="C675" t="str">
            <v xml:space="preserve">Itapaci </v>
          </cell>
          <cell r="H675">
            <v>72.599999999999994</v>
          </cell>
        </row>
        <row r="676">
          <cell r="A676">
            <v>46105</v>
          </cell>
          <cell r="C676" t="str">
            <v xml:space="preserve">Itapaci </v>
          </cell>
          <cell r="H676">
            <v>45.14</v>
          </cell>
        </row>
        <row r="677">
          <cell r="A677">
            <v>46105</v>
          </cell>
          <cell r="C677" t="str">
            <v xml:space="preserve">Itapaci </v>
          </cell>
          <cell r="H677">
            <v>46.36</v>
          </cell>
        </row>
        <row r="678">
          <cell r="A678">
            <v>46105</v>
          </cell>
          <cell r="C678" t="str">
            <v xml:space="preserve">Itapaci </v>
          </cell>
          <cell r="H678">
            <v>61.52</v>
          </cell>
        </row>
        <row r="679">
          <cell r="A679">
            <v>46105</v>
          </cell>
          <cell r="C679" t="str">
            <v xml:space="preserve">Itapaci </v>
          </cell>
          <cell r="H679">
            <v>35.159999999999997</v>
          </cell>
        </row>
        <row r="680">
          <cell r="A680">
            <v>46105</v>
          </cell>
          <cell r="C680" t="str">
            <v xml:space="preserve">Itapaci </v>
          </cell>
          <cell r="H680">
            <v>36.78</v>
          </cell>
        </row>
        <row r="681">
          <cell r="A681">
            <v>46105</v>
          </cell>
          <cell r="C681" t="str">
            <v xml:space="preserve">Itapaci </v>
          </cell>
          <cell r="H681">
            <v>36.299999999999997</v>
          </cell>
        </row>
        <row r="682">
          <cell r="A682">
            <v>46105</v>
          </cell>
          <cell r="C682" t="str">
            <v xml:space="preserve">Itapaci </v>
          </cell>
          <cell r="H682">
            <v>42.56</v>
          </cell>
        </row>
        <row r="683">
          <cell r="A683">
            <v>46105</v>
          </cell>
          <cell r="C683" t="str">
            <v xml:space="preserve">Itapaci </v>
          </cell>
          <cell r="H683">
            <v>70.34</v>
          </cell>
        </row>
        <row r="684">
          <cell r="A684">
            <v>46105</v>
          </cell>
          <cell r="C684" t="str">
            <v xml:space="preserve">Itapaci </v>
          </cell>
          <cell r="H684">
            <v>46.42</v>
          </cell>
        </row>
        <row r="685">
          <cell r="A685">
            <v>46105</v>
          </cell>
          <cell r="C685" t="str">
            <v xml:space="preserve">Itapaci </v>
          </cell>
          <cell r="H685">
            <v>41.5</v>
          </cell>
        </row>
        <row r="686">
          <cell r="A686">
            <v>46105</v>
          </cell>
          <cell r="C686" t="str">
            <v xml:space="preserve">Itapaci </v>
          </cell>
          <cell r="H686">
            <v>72.42</v>
          </cell>
        </row>
        <row r="687">
          <cell r="A687">
            <v>46105</v>
          </cell>
          <cell r="C687" t="str">
            <v xml:space="preserve">Itapaci </v>
          </cell>
          <cell r="H687">
            <v>48.26</v>
          </cell>
        </row>
        <row r="688">
          <cell r="A688">
            <v>46105</v>
          </cell>
          <cell r="C688" t="str">
            <v xml:space="preserve">Itapaci </v>
          </cell>
          <cell r="H688">
            <v>37.06</v>
          </cell>
        </row>
        <row r="689">
          <cell r="A689">
            <v>46105</v>
          </cell>
          <cell r="C689" t="str">
            <v xml:space="preserve">Itapaci </v>
          </cell>
          <cell r="H689">
            <v>38.58</v>
          </cell>
        </row>
        <row r="690">
          <cell r="A690">
            <v>46105</v>
          </cell>
          <cell r="C690" t="str">
            <v xml:space="preserve">Itapaci </v>
          </cell>
          <cell r="H690">
            <v>36.299999999999997</v>
          </cell>
        </row>
        <row r="691">
          <cell r="A691">
            <v>46105</v>
          </cell>
          <cell r="C691" t="str">
            <v xml:space="preserve">Itapaci </v>
          </cell>
          <cell r="H691">
            <v>35.92</v>
          </cell>
        </row>
        <row r="692">
          <cell r="A692">
            <v>46105</v>
          </cell>
          <cell r="C692" t="str">
            <v xml:space="preserve">Itapaci </v>
          </cell>
          <cell r="H692">
            <v>35.659999999999997</v>
          </cell>
        </row>
        <row r="693">
          <cell r="A693">
            <v>46105</v>
          </cell>
          <cell r="C693" t="str">
            <v xml:space="preserve">Itapaci </v>
          </cell>
          <cell r="H693">
            <v>34.28</v>
          </cell>
        </row>
        <row r="694">
          <cell r="A694">
            <v>46105</v>
          </cell>
          <cell r="C694" t="str">
            <v xml:space="preserve">Itapaci </v>
          </cell>
          <cell r="H694">
            <v>35.82</v>
          </cell>
        </row>
        <row r="695">
          <cell r="A695">
            <v>46105</v>
          </cell>
          <cell r="C695" t="str">
            <v xml:space="preserve">Itapaci </v>
          </cell>
          <cell r="H695">
            <v>36.1</v>
          </cell>
        </row>
        <row r="696">
          <cell r="A696">
            <v>46105</v>
          </cell>
          <cell r="C696" t="str">
            <v xml:space="preserve">Itapaci </v>
          </cell>
          <cell r="H696">
            <v>35.840000000000003</v>
          </cell>
        </row>
        <row r="697">
          <cell r="A697">
            <v>46105</v>
          </cell>
          <cell r="C697" t="str">
            <v xml:space="preserve">Itapaci </v>
          </cell>
          <cell r="H697">
            <v>35.700000000000003</v>
          </cell>
        </row>
        <row r="698">
          <cell r="A698">
            <v>46105</v>
          </cell>
          <cell r="C698" t="str">
            <v xml:space="preserve">Itapaci </v>
          </cell>
          <cell r="H698">
            <v>72.06</v>
          </cell>
        </row>
        <row r="699">
          <cell r="A699">
            <v>46105</v>
          </cell>
          <cell r="C699" t="str">
            <v xml:space="preserve">Itapaci </v>
          </cell>
          <cell r="H699">
            <v>62.1</v>
          </cell>
        </row>
        <row r="700">
          <cell r="A700">
            <v>46105</v>
          </cell>
          <cell r="C700" t="str">
            <v xml:space="preserve">Itapaci </v>
          </cell>
          <cell r="H700">
            <v>36.18</v>
          </cell>
        </row>
        <row r="701">
          <cell r="A701">
            <v>46105</v>
          </cell>
          <cell r="C701" t="str">
            <v xml:space="preserve">Itapaci </v>
          </cell>
          <cell r="H701">
            <v>35.86</v>
          </cell>
        </row>
        <row r="702">
          <cell r="A702">
            <v>46105</v>
          </cell>
          <cell r="C702" t="str">
            <v xml:space="preserve">Itapaci </v>
          </cell>
          <cell r="H702">
            <v>44.76</v>
          </cell>
        </row>
        <row r="703">
          <cell r="A703">
            <v>46106</v>
          </cell>
          <cell r="C703" t="str">
            <v xml:space="preserve">Itapaci </v>
          </cell>
          <cell r="H703">
            <v>45.74</v>
          </cell>
        </row>
        <row r="704">
          <cell r="A704">
            <v>46106</v>
          </cell>
          <cell r="C704" t="str">
            <v xml:space="preserve">Itapaci </v>
          </cell>
          <cell r="H704">
            <v>37.08</v>
          </cell>
        </row>
        <row r="705">
          <cell r="A705">
            <v>46106</v>
          </cell>
          <cell r="C705" t="str">
            <v xml:space="preserve">Itapaci </v>
          </cell>
          <cell r="H705">
            <v>46.58</v>
          </cell>
        </row>
        <row r="706">
          <cell r="A706">
            <v>46106</v>
          </cell>
          <cell r="C706" t="str">
            <v xml:space="preserve">Itapaci </v>
          </cell>
          <cell r="H706">
            <v>41.2</v>
          </cell>
        </row>
        <row r="707">
          <cell r="A707">
            <v>46106</v>
          </cell>
          <cell r="C707" t="str">
            <v xml:space="preserve">Itapaci </v>
          </cell>
          <cell r="H707">
            <v>50.64</v>
          </cell>
        </row>
        <row r="708">
          <cell r="A708">
            <v>46106</v>
          </cell>
          <cell r="C708" t="str">
            <v xml:space="preserve">Itapaci </v>
          </cell>
          <cell r="H708">
            <v>36.42</v>
          </cell>
        </row>
        <row r="709">
          <cell r="A709">
            <v>46106</v>
          </cell>
          <cell r="C709" t="str">
            <v xml:space="preserve">Itapaci </v>
          </cell>
          <cell r="H709">
            <v>69.28</v>
          </cell>
        </row>
        <row r="710">
          <cell r="A710">
            <v>46106</v>
          </cell>
          <cell r="C710" t="str">
            <v xml:space="preserve">Itapaci </v>
          </cell>
          <cell r="H710">
            <v>44.1</v>
          </cell>
        </row>
        <row r="711">
          <cell r="A711">
            <v>46106</v>
          </cell>
          <cell r="C711" t="str">
            <v xml:space="preserve">Itapaci </v>
          </cell>
          <cell r="H711">
            <v>71.599999999999994</v>
          </cell>
        </row>
        <row r="712">
          <cell r="A712">
            <v>46106</v>
          </cell>
          <cell r="C712" t="str">
            <v xml:space="preserve">Itapaci </v>
          </cell>
          <cell r="H712">
            <v>71.2</v>
          </cell>
        </row>
        <row r="713">
          <cell r="A713">
            <v>46106</v>
          </cell>
          <cell r="C713" t="str">
            <v xml:space="preserve">Itapaci </v>
          </cell>
          <cell r="H713">
            <v>36.799999999999997</v>
          </cell>
        </row>
        <row r="714">
          <cell r="A714">
            <v>46106</v>
          </cell>
          <cell r="C714" t="str">
            <v xml:space="preserve">Itapaci </v>
          </cell>
          <cell r="H714">
            <v>35.32</v>
          </cell>
        </row>
        <row r="715">
          <cell r="A715">
            <v>46106</v>
          </cell>
          <cell r="C715" t="str">
            <v xml:space="preserve">Itapaci </v>
          </cell>
          <cell r="H715">
            <v>35.44</v>
          </cell>
        </row>
        <row r="716">
          <cell r="A716">
            <v>46106</v>
          </cell>
          <cell r="C716" t="str">
            <v xml:space="preserve">Itapaci </v>
          </cell>
          <cell r="H716">
            <v>39.74</v>
          </cell>
        </row>
        <row r="717">
          <cell r="A717">
            <v>46107</v>
          </cell>
          <cell r="C717" t="str">
            <v xml:space="preserve">Itapaci </v>
          </cell>
          <cell r="H717">
            <v>39.200000000000003</v>
          </cell>
        </row>
        <row r="718">
          <cell r="A718">
            <v>46106</v>
          </cell>
          <cell r="C718" t="str">
            <v xml:space="preserve">Itapaci </v>
          </cell>
          <cell r="H718">
            <v>39.4</v>
          </cell>
        </row>
        <row r="719">
          <cell r="A719">
            <v>46106</v>
          </cell>
          <cell r="C719" t="str">
            <v xml:space="preserve">Itapaci </v>
          </cell>
          <cell r="H719">
            <v>59.4</v>
          </cell>
        </row>
        <row r="720">
          <cell r="A720">
            <v>46106</v>
          </cell>
          <cell r="C720" t="str">
            <v xml:space="preserve">Itapaci </v>
          </cell>
          <cell r="H720">
            <v>37.299999999999997</v>
          </cell>
        </row>
        <row r="721">
          <cell r="A721">
            <v>46106</v>
          </cell>
          <cell r="C721" t="str">
            <v xml:space="preserve">Itapaci </v>
          </cell>
          <cell r="H721">
            <v>36.020000000000003</v>
          </cell>
        </row>
        <row r="722">
          <cell r="A722">
            <v>46106</v>
          </cell>
          <cell r="C722" t="str">
            <v xml:space="preserve">Itapaci </v>
          </cell>
          <cell r="H722">
            <v>35.78</v>
          </cell>
        </row>
        <row r="723">
          <cell r="A723">
            <v>46106</v>
          </cell>
          <cell r="C723" t="str">
            <v xml:space="preserve">Itapaci </v>
          </cell>
          <cell r="H723">
            <v>36.42</v>
          </cell>
        </row>
        <row r="724">
          <cell r="A724">
            <v>46106</v>
          </cell>
          <cell r="C724" t="str">
            <v xml:space="preserve">Itapaci </v>
          </cell>
          <cell r="H724">
            <v>46.84</v>
          </cell>
        </row>
        <row r="725">
          <cell r="A725">
            <v>46106</v>
          </cell>
          <cell r="C725" t="str">
            <v xml:space="preserve">Itapaci </v>
          </cell>
          <cell r="H725">
            <v>39.24</v>
          </cell>
        </row>
        <row r="726">
          <cell r="A726">
            <v>46106</v>
          </cell>
          <cell r="C726" t="str">
            <v xml:space="preserve">Itapaci </v>
          </cell>
          <cell r="H726">
            <v>40.659999999999997</v>
          </cell>
        </row>
        <row r="727">
          <cell r="A727">
            <v>46106</v>
          </cell>
          <cell r="C727" t="str">
            <v xml:space="preserve">Itapaci </v>
          </cell>
          <cell r="H727">
            <v>44.8</v>
          </cell>
        </row>
        <row r="728">
          <cell r="A728">
            <v>46107</v>
          </cell>
          <cell r="C728" t="str">
            <v xml:space="preserve">Itapaci </v>
          </cell>
          <cell r="H728">
            <v>34.78</v>
          </cell>
        </row>
        <row r="729">
          <cell r="A729">
            <v>46107</v>
          </cell>
          <cell r="C729" t="str">
            <v xml:space="preserve">Itapaci </v>
          </cell>
          <cell r="H729">
            <v>35.26</v>
          </cell>
        </row>
        <row r="730">
          <cell r="A730">
            <v>46107</v>
          </cell>
          <cell r="C730" t="str">
            <v xml:space="preserve">Itapaci </v>
          </cell>
          <cell r="H730">
            <v>46.9</v>
          </cell>
        </row>
        <row r="731">
          <cell r="A731">
            <v>46107</v>
          </cell>
          <cell r="C731" t="str">
            <v xml:space="preserve">Itapaci </v>
          </cell>
          <cell r="H731">
            <v>35.78</v>
          </cell>
        </row>
        <row r="732">
          <cell r="A732">
            <v>46107</v>
          </cell>
          <cell r="C732" t="str">
            <v xml:space="preserve">Itapaci </v>
          </cell>
          <cell r="H732">
            <v>62.18</v>
          </cell>
        </row>
        <row r="733">
          <cell r="A733">
            <v>46107</v>
          </cell>
          <cell r="C733" t="str">
            <v xml:space="preserve">Itapaci </v>
          </cell>
          <cell r="H733">
            <v>69.58</v>
          </cell>
        </row>
        <row r="734">
          <cell r="A734">
            <v>46107</v>
          </cell>
          <cell r="C734" t="str">
            <v xml:space="preserve">Itapaci </v>
          </cell>
          <cell r="H734">
            <v>35.619999999999997</v>
          </cell>
        </row>
        <row r="735">
          <cell r="A735">
            <v>46107</v>
          </cell>
          <cell r="C735" t="str">
            <v xml:space="preserve">Itapaci </v>
          </cell>
          <cell r="H735">
            <v>36.86</v>
          </cell>
        </row>
        <row r="736">
          <cell r="A736">
            <v>46107</v>
          </cell>
          <cell r="C736" t="str">
            <v xml:space="preserve">Itapaci </v>
          </cell>
          <cell r="H736">
            <v>46.44</v>
          </cell>
        </row>
        <row r="737">
          <cell r="A737">
            <v>46107</v>
          </cell>
          <cell r="C737" t="str">
            <v xml:space="preserve">Itapaci </v>
          </cell>
          <cell r="H737">
            <v>41.04</v>
          </cell>
        </row>
        <row r="738">
          <cell r="A738">
            <v>46107</v>
          </cell>
          <cell r="C738" t="str">
            <v xml:space="preserve">Itapaci </v>
          </cell>
          <cell r="H738">
            <v>71.599999999999994</v>
          </cell>
        </row>
        <row r="739">
          <cell r="A739">
            <v>46107</v>
          </cell>
          <cell r="C739" t="str">
            <v xml:space="preserve">Itapaci </v>
          </cell>
          <cell r="H739">
            <v>43.16</v>
          </cell>
        </row>
        <row r="740">
          <cell r="A740">
            <v>46107</v>
          </cell>
          <cell r="C740" t="str">
            <v xml:space="preserve">Itapaci </v>
          </cell>
          <cell r="H740">
            <v>47.14</v>
          </cell>
        </row>
        <row r="741">
          <cell r="A741">
            <v>46107</v>
          </cell>
          <cell r="C741" t="str">
            <v xml:space="preserve">Itapaci </v>
          </cell>
          <cell r="H741">
            <v>44.08</v>
          </cell>
        </row>
        <row r="742">
          <cell r="A742">
            <v>46107</v>
          </cell>
          <cell r="C742" t="str">
            <v xml:space="preserve">Itapaci </v>
          </cell>
          <cell r="H742">
            <v>60.88</v>
          </cell>
        </row>
        <row r="743">
          <cell r="A743">
            <v>46107</v>
          </cell>
          <cell r="C743" t="str">
            <v xml:space="preserve">Itapaci </v>
          </cell>
          <cell r="H743">
            <v>35.86</v>
          </cell>
        </row>
        <row r="744">
          <cell r="A744">
            <v>46107</v>
          </cell>
          <cell r="C744" t="str">
            <v xml:space="preserve">Itapaci </v>
          </cell>
          <cell r="H744">
            <v>36.26</v>
          </cell>
        </row>
        <row r="745">
          <cell r="A745">
            <v>46107</v>
          </cell>
          <cell r="C745" t="str">
            <v xml:space="preserve">Itapaci </v>
          </cell>
          <cell r="H745">
            <v>36.1</v>
          </cell>
        </row>
        <row r="746">
          <cell r="A746">
            <v>46107</v>
          </cell>
          <cell r="C746" t="str">
            <v xml:space="preserve">Itapaci </v>
          </cell>
          <cell r="H746">
            <v>35.78</v>
          </cell>
        </row>
        <row r="747">
          <cell r="A747">
            <v>46107</v>
          </cell>
          <cell r="C747" t="str">
            <v xml:space="preserve">Itapaci </v>
          </cell>
          <cell r="H747">
            <v>36.08</v>
          </cell>
        </row>
        <row r="748">
          <cell r="A748">
            <v>46107</v>
          </cell>
          <cell r="C748" t="str">
            <v xml:space="preserve">Itapaci </v>
          </cell>
          <cell r="H748">
            <v>58.8</v>
          </cell>
        </row>
        <row r="749">
          <cell r="A749">
            <v>46107</v>
          </cell>
          <cell r="C749" t="str">
            <v xml:space="preserve">Itapaci </v>
          </cell>
          <cell r="H749">
            <v>36.119999999999997</v>
          </cell>
        </row>
        <row r="750">
          <cell r="A750">
            <v>46108</v>
          </cell>
          <cell r="C750" t="str">
            <v xml:space="preserve">Itapaci </v>
          </cell>
          <cell r="H750">
            <v>49.98</v>
          </cell>
        </row>
        <row r="751">
          <cell r="A751">
            <v>46107</v>
          </cell>
          <cell r="C751" t="str">
            <v xml:space="preserve">Itapaci </v>
          </cell>
          <cell r="H751">
            <v>45.1</v>
          </cell>
        </row>
        <row r="752">
          <cell r="A752">
            <v>46107</v>
          </cell>
          <cell r="C752" t="str">
            <v xml:space="preserve">Itapaci </v>
          </cell>
          <cell r="H752">
            <v>39.68</v>
          </cell>
        </row>
        <row r="753">
          <cell r="A753">
            <v>46108</v>
          </cell>
          <cell r="C753" t="str">
            <v xml:space="preserve">Itapaci </v>
          </cell>
          <cell r="H753">
            <v>35.9</v>
          </cell>
        </row>
        <row r="754">
          <cell r="A754">
            <v>46108</v>
          </cell>
          <cell r="C754" t="str">
            <v xml:space="preserve">Itapaci </v>
          </cell>
          <cell r="H754">
            <v>36.04</v>
          </cell>
        </row>
        <row r="755">
          <cell r="A755">
            <v>46108</v>
          </cell>
          <cell r="C755" t="str">
            <v xml:space="preserve">Itapaci </v>
          </cell>
          <cell r="H755">
            <v>34.86</v>
          </cell>
        </row>
        <row r="756">
          <cell r="A756">
            <v>46108</v>
          </cell>
          <cell r="C756" t="str">
            <v xml:space="preserve">Itapaci </v>
          </cell>
          <cell r="H756">
            <v>46.86</v>
          </cell>
        </row>
        <row r="757">
          <cell r="A757">
            <v>46108</v>
          </cell>
          <cell r="C757" t="str">
            <v xml:space="preserve">Itapaci </v>
          </cell>
          <cell r="H757">
            <v>39.4</v>
          </cell>
        </row>
        <row r="758">
          <cell r="A758">
            <v>46108</v>
          </cell>
          <cell r="C758" t="str">
            <v xml:space="preserve">Itapaci </v>
          </cell>
          <cell r="H758">
            <v>44.28</v>
          </cell>
        </row>
        <row r="759">
          <cell r="A759">
            <v>46108</v>
          </cell>
          <cell r="C759" t="str">
            <v xml:space="preserve">Itapaci </v>
          </cell>
          <cell r="H759">
            <v>45.54</v>
          </cell>
        </row>
        <row r="760">
          <cell r="A760">
            <v>46108</v>
          </cell>
          <cell r="C760" t="str">
            <v xml:space="preserve">Itapaci </v>
          </cell>
          <cell r="H760">
            <v>36.96</v>
          </cell>
        </row>
        <row r="761">
          <cell r="A761">
            <v>46108</v>
          </cell>
          <cell r="C761" t="str">
            <v xml:space="preserve">Itapaci </v>
          </cell>
          <cell r="H761">
            <v>36.72</v>
          </cell>
        </row>
        <row r="762">
          <cell r="A762">
            <v>46108</v>
          </cell>
          <cell r="C762" t="str">
            <v xml:space="preserve">Itapaci </v>
          </cell>
          <cell r="H762">
            <v>60.28</v>
          </cell>
        </row>
        <row r="763">
          <cell r="A763">
            <v>46108</v>
          </cell>
          <cell r="C763" t="str">
            <v xml:space="preserve">Itapaci </v>
          </cell>
          <cell r="H763">
            <v>70.98</v>
          </cell>
        </row>
        <row r="764">
          <cell r="A764">
            <v>46108</v>
          </cell>
          <cell r="C764" t="str">
            <v xml:space="preserve">Itapaci </v>
          </cell>
          <cell r="H764">
            <v>36.74</v>
          </cell>
        </row>
        <row r="765">
          <cell r="A765">
            <v>46108</v>
          </cell>
          <cell r="C765" t="str">
            <v xml:space="preserve">Itapaci </v>
          </cell>
          <cell r="H765">
            <v>71.28</v>
          </cell>
        </row>
        <row r="766">
          <cell r="A766">
            <v>46108</v>
          </cell>
          <cell r="C766" t="str">
            <v xml:space="preserve">Itapaci </v>
          </cell>
          <cell r="H766">
            <v>42.18</v>
          </cell>
        </row>
        <row r="767">
          <cell r="A767">
            <v>46108</v>
          </cell>
          <cell r="C767" t="str">
            <v xml:space="preserve">Itapaci </v>
          </cell>
          <cell r="H767">
            <v>46.34</v>
          </cell>
        </row>
        <row r="768">
          <cell r="A768">
            <v>46108</v>
          </cell>
          <cell r="C768" t="str">
            <v xml:space="preserve">Itapaci </v>
          </cell>
          <cell r="H768">
            <v>42.38</v>
          </cell>
        </row>
        <row r="769">
          <cell r="A769">
            <v>46108</v>
          </cell>
          <cell r="C769" t="str">
            <v xml:space="preserve">Itapaci </v>
          </cell>
          <cell r="H769">
            <v>64.84</v>
          </cell>
        </row>
        <row r="770">
          <cell r="A770">
            <v>46108</v>
          </cell>
          <cell r="C770" t="str">
            <v xml:space="preserve">Itapaci </v>
          </cell>
          <cell r="H770">
            <v>51.5</v>
          </cell>
        </row>
        <row r="771">
          <cell r="A771">
            <v>46108</v>
          </cell>
          <cell r="C771" t="str">
            <v xml:space="preserve">Itapaci </v>
          </cell>
          <cell r="H771">
            <v>54.78</v>
          </cell>
        </row>
        <row r="772">
          <cell r="A772">
            <v>46108</v>
          </cell>
          <cell r="C772" t="str">
            <v xml:space="preserve">Itapaci </v>
          </cell>
          <cell r="H772">
            <v>37.22</v>
          </cell>
        </row>
        <row r="773">
          <cell r="A773">
            <v>46108</v>
          </cell>
          <cell r="C773" t="str">
            <v xml:space="preserve">Itapaci </v>
          </cell>
          <cell r="H773">
            <v>46.98</v>
          </cell>
        </row>
        <row r="774">
          <cell r="A774">
            <v>46108</v>
          </cell>
          <cell r="C774" t="str">
            <v xml:space="preserve">Itapaci </v>
          </cell>
          <cell r="H774">
            <v>59.76</v>
          </cell>
        </row>
        <row r="775">
          <cell r="A775">
            <v>46108</v>
          </cell>
          <cell r="C775" t="str">
            <v xml:space="preserve">Itapaci </v>
          </cell>
          <cell r="H775">
            <v>70.819999999999993</v>
          </cell>
        </row>
        <row r="776">
          <cell r="A776">
            <v>46109</v>
          </cell>
          <cell r="C776" t="str">
            <v xml:space="preserve">Itapaci </v>
          </cell>
          <cell r="H776">
            <v>40.06</v>
          </cell>
        </row>
        <row r="777">
          <cell r="A777">
            <v>46108</v>
          </cell>
          <cell r="C777" t="str">
            <v xml:space="preserve">Itapaci </v>
          </cell>
          <cell r="H777">
            <v>32.58</v>
          </cell>
        </row>
        <row r="778">
          <cell r="A778">
            <v>46109</v>
          </cell>
          <cell r="C778" t="str">
            <v xml:space="preserve">Itapaci </v>
          </cell>
          <cell r="H778">
            <v>35.44</v>
          </cell>
        </row>
        <row r="779">
          <cell r="A779">
            <v>46109</v>
          </cell>
          <cell r="C779" t="str">
            <v xml:space="preserve">Itapaci </v>
          </cell>
          <cell r="H779">
            <v>67.7</v>
          </cell>
        </row>
        <row r="780">
          <cell r="A780">
            <v>46108</v>
          </cell>
          <cell r="C780" t="str">
            <v xml:space="preserve">Itapaci </v>
          </cell>
          <cell r="H780">
            <v>41.12</v>
          </cell>
        </row>
        <row r="781">
          <cell r="A781">
            <v>46109</v>
          </cell>
          <cell r="C781" t="str">
            <v xml:space="preserve">Itapaci </v>
          </cell>
          <cell r="H781">
            <v>36.64</v>
          </cell>
        </row>
        <row r="782">
          <cell r="A782">
            <v>46109</v>
          </cell>
          <cell r="C782" t="str">
            <v xml:space="preserve">Itapaci </v>
          </cell>
          <cell r="H782">
            <v>68.92</v>
          </cell>
        </row>
        <row r="783">
          <cell r="A783">
            <v>46109</v>
          </cell>
          <cell r="C783" t="str">
            <v xml:space="preserve">Itapaci </v>
          </cell>
          <cell r="H783">
            <v>54.3</v>
          </cell>
        </row>
        <row r="784">
          <cell r="A784">
            <v>46109</v>
          </cell>
          <cell r="C784" t="str">
            <v xml:space="preserve">Itapaci </v>
          </cell>
          <cell r="H784">
            <v>39.5</v>
          </cell>
        </row>
        <row r="785">
          <cell r="A785">
            <v>46109</v>
          </cell>
          <cell r="C785" t="str">
            <v xml:space="preserve">Itapaci </v>
          </cell>
          <cell r="H785">
            <v>34.880000000000003</v>
          </cell>
        </row>
        <row r="786">
          <cell r="A786">
            <v>46109</v>
          </cell>
          <cell r="C786" t="str">
            <v xml:space="preserve">Itapaci </v>
          </cell>
          <cell r="H786">
            <v>46.48</v>
          </cell>
        </row>
        <row r="787">
          <cell r="A787">
            <v>46109</v>
          </cell>
          <cell r="C787" t="str">
            <v xml:space="preserve">Itapaci </v>
          </cell>
          <cell r="H787">
            <v>63.02</v>
          </cell>
        </row>
        <row r="788">
          <cell r="A788">
            <v>46109</v>
          </cell>
          <cell r="C788" t="str">
            <v xml:space="preserve">Itapaci </v>
          </cell>
          <cell r="H788">
            <v>36.200000000000003</v>
          </cell>
        </row>
        <row r="789">
          <cell r="A789">
            <v>46109</v>
          </cell>
          <cell r="C789" t="str">
            <v xml:space="preserve">Itapaci </v>
          </cell>
          <cell r="H789">
            <v>59.98</v>
          </cell>
        </row>
        <row r="790">
          <cell r="A790">
            <v>46109</v>
          </cell>
          <cell r="C790" t="str">
            <v xml:space="preserve">Itapaci </v>
          </cell>
          <cell r="H790">
            <v>72.42</v>
          </cell>
        </row>
        <row r="791">
          <cell r="A791">
            <v>46109</v>
          </cell>
          <cell r="C791" t="str">
            <v xml:space="preserve">Itapaci </v>
          </cell>
          <cell r="H791">
            <v>43.22</v>
          </cell>
        </row>
        <row r="792">
          <cell r="A792">
            <v>46109</v>
          </cell>
          <cell r="C792" t="str">
            <v xml:space="preserve">Itapaci </v>
          </cell>
          <cell r="H792">
            <v>42.38</v>
          </cell>
        </row>
        <row r="793">
          <cell r="A793">
            <v>46109</v>
          </cell>
          <cell r="C793" t="str">
            <v xml:space="preserve">Itapaci </v>
          </cell>
          <cell r="H793">
            <v>34.9</v>
          </cell>
        </row>
        <row r="794">
          <cell r="A794">
            <v>46109</v>
          </cell>
          <cell r="C794" t="str">
            <v xml:space="preserve">Itapaci </v>
          </cell>
          <cell r="H794">
            <v>36.78</v>
          </cell>
        </row>
        <row r="795">
          <cell r="A795">
            <v>46109</v>
          </cell>
          <cell r="C795" t="str">
            <v xml:space="preserve">Itapaci </v>
          </cell>
          <cell r="H795">
            <v>46.42</v>
          </cell>
        </row>
        <row r="796">
          <cell r="A796">
            <v>46109</v>
          </cell>
          <cell r="C796" t="str">
            <v xml:space="preserve">Itapaci </v>
          </cell>
          <cell r="H796">
            <v>46.18</v>
          </cell>
        </row>
        <row r="797">
          <cell r="A797">
            <v>46109</v>
          </cell>
          <cell r="C797" t="str">
            <v xml:space="preserve">Itapaci </v>
          </cell>
          <cell r="H797">
            <v>81.2</v>
          </cell>
        </row>
        <row r="798">
          <cell r="A798">
            <v>46109</v>
          </cell>
          <cell r="C798" t="str">
            <v xml:space="preserve">Itapaci </v>
          </cell>
          <cell r="H798">
            <v>38</v>
          </cell>
        </row>
        <row r="799">
          <cell r="A799">
            <v>46109</v>
          </cell>
          <cell r="C799" t="str">
            <v xml:space="preserve">Itapaci </v>
          </cell>
          <cell r="H799">
            <v>38.54</v>
          </cell>
        </row>
        <row r="800">
          <cell r="A800">
            <v>46111</v>
          </cell>
          <cell r="C800" t="str">
            <v xml:space="preserve">Itapaci </v>
          </cell>
          <cell r="H800">
            <v>41.18</v>
          </cell>
        </row>
        <row r="801">
          <cell r="A801">
            <v>46111</v>
          </cell>
          <cell r="C801" t="str">
            <v xml:space="preserve">Itapaci </v>
          </cell>
          <cell r="H801">
            <v>54.48</v>
          </cell>
        </row>
        <row r="802">
          <cell r="A802">
            <v>46111</v>
          </cell>
          <cell r="C802" t="str">
            <v xml:space="preserve">Itapaci </v>
          </cell>
          <cell r="H802">
            <v>60.22</v>
          </cell>
        </row>
        <row r="803">
          <cell r="A803">
            <v>46111</v>
          </cell>
          <cell r="C803" t="str">
            <v xml:space="preserve">Itapaci </v>
          </cell>
          <cell r="H803">
            <v>45.9</v>
          </cell>
        </row>
        <row r="804">
          <cell r="A804">
            <v>46111</v>
          </cell>
          <cell r="C804" t="str">
            <v xml:space="preserve">Itapaci </v>
          </cell>
          <cell r="H804">
            <v>47.14</v>
          </cell>
        </row>
        <row r="805">
          <cell r="A805">
            <v>46111</v>
          </cell>
          <cell r="C805" t="str">
            <v xml:space="preserve">Itapaci </v>
          </cell>
          <cell r="H805">
            <v>46.76</v>
          </cell>
        </row>
        <row r="806">
          <cell r="A806">
            <v>46111</v>
          </cell>
          <cell r="C806" t="str">
            <v xml:space="preserve">Itapaci </v>
          </cell>
          <cell r="H806">
            <v>51.08</v>
          </cell>
        </row>
        <row r="807">
          <cell r="A807">
            <v>46111</v>
          </cell>
          <cell r="C807" t="str">
            <v xml:space="preserve">Itapaci </v>
          </cell>
          <cell r="H807">
            <v>72.180000000000007</v>
          </cell>
        </row>
        <row r="808">
          <cell r="A808">
            <v>46111</v>
          </cell>
          <cell r="C808" t="str">
            <v xml:space="preserve">Itapaci </v>
          </cell>
          <cell r="H808">
            <v>70.86</v>
          </cell>
        </row>
        <row r="809">
          <cell r="A809">
            <v>46111</v>
          </cell>
          <cell r="C809" t="str">
            <v xml:space="preserve">Itapaci </v>
          </cell>
          <cell r="H809">
            <v>55.78</v>
          </cell>
        </row>
        <row r="810">
          <cell r="A810">
            <v>46111</v>
          </cell>
          <cell r="C810" t="str">
            <v xml:space="preserve">Itapaci </v>
          </cell>
          <cell r="H810">
            <v>71.38</v>
          </cell>
        </row>
        <row r="811">
          <cell r="A811">
            <v>46111</v>
          </cell>
          <cell r="C811" t="str">
            <v xml:space="preserve">Itapaci </v>
          </cell>
          <cell r="H811">
            <v>42.28</v>
          </cell>
        </row>
        <row r="812">
          <cell r="A812">
            <v>46111</v>
          </cell>
          <cell r="C812" t="str">
            <v xml:space="preserve">Itapaci </v>
          </cell>
          <cell r="H812">
            <v>42.42</v>
          </cell>
        </row>
        <row r="813">
          <cell r="A813">
            <v>46111</v>
          </cell>
          <cell r="C813" t="str">
            <v xml:space="preserve">Itapaci </v>
          </cell>
          <cell r="H813">
            <v>38.36</v>
          </cell>
        </row>
        <row r="814">
          <cell r="A814">
            <v>46111</v>
          </cell>
          <cell r="C814" t="str">
            <v xml:space="preserve">Itapaci </v>
          </cell>
          <cell r="H814">
            <v>38.340000000000003</v>
          </cell>
        </row>
        <row r="815">
          <cell r="A815">
            <v>46111</v>
          </cell>
          <cell r="C815" t="str">
            <v xml:space="preserve">Itapaci </v>
          </cell>
          <cell r="H815">
            <v>35.54</v>
          </cell>
        </row>
        <row r="816">
          <cell r="A816">
            <v>46112</v>
          </cell>
          <cell r="C816" t="str">
            <v xml:space="preserve">Itapaci </v>
          </cell>
          <cell r="H816">
            <v>46.58</v>
          </cell>
        </row>
        <row r="817">
          <cell r="A817">
            <v>46112</v>
          </cell>
          <cell r="C817" t="str">
            <v xml:space="preserve">Itapaci </v>
          </cell>
          <cell r="H817">
            <v>35.36</v>
          </cell>
        </row>
        <row r="818">
          <cell r="A818">
            <v>46112</v>
          </cell>
          <cell r="C818" t="str">
            <v xml:space="preserve">Itapaci </v>
          </cell>
          <cell r="H818">
            <v>37.700000000000003</v>
          </cell>
        </row>
        <row r="819">
          <cell r="A819">
            <v>46112</v>
          </cell>
          <cell r="C819" t="str">
            <v xml:space="preserve">Itapaci </v>
          </cell>
          <cell r="H819">
            <v>35.799999999999997</v>
          </cell>
        </row>
        <row r="820">
          <cell r="A820">
            <v>46112</v>
          </cell>
          <cell r="C820" t="str">
            <v xml:space="preserve">Itapaci </v>
          </cell>
          <cell r="H820">
            <v>37.6</v>
          </cell>
        </row>
        <row r="821">
          <cell r="A821">
            <v>46112</v>
          </cell>
          <cell r="C821" t="str">
            <v xml:space="preserve">Itapaci </v>
          </cell>
          <cell r="H821">
            <v>46.72</v>
          </cell>
        </row>
        <row r="822">
          <cell r="A822">
            <v>46112</v>
          </cell>
          <cell r="C822" t="str">
            <v xml:space="preserve">Itapaci </v>
          </cell>
          <cell r="H822">
            <v>72.62</v>
          </cell>
        </row>
        <row r="823">
          <cell r="A823">
            <v>46112</v>
          </cell>
          <cell r="C823" t="str">
            <v xml:space="preserve">Itapaci </v>
          </cell>
          <cell r="H823">
            <v>37.28</v>
          </cell>
        </row>
        <row r="824">
          <cell r="A824">
            <v>46112</v>
          </cell>
          <cell r="C824" t="str">
            <v xml:space="preserve">Itapaci </v>
          </cell>
          <cell r="H824">
            <v>72.56</v>
          </cell>
        </row>
        <row r="825">
          <cell r="A825">
            <v>46112</v>
          </cell>
          <cell r="C825" t="str">
            <v xml:space="preserve">Itapaci </v>
          </cell>
          <cell r="H825">
            <v>49.1</v>
          </cell>
        </row>
        <row r="826">
          <cell r="A826">
            <v>46112</v>
          </cell>
          <cell r="C826" t="str">
            <v xml:space="preserve">Itapaci </v>
          </cell>
          <cell r="H826">
            <v>66.5</v>
          </cell>
        </row>
        <row r="827">
          <cell r="A827">
            <v>46112</v>
          </cell>
          <cell r="C827" t="str">
            <v xml:space="preserve">Itapaci </v>
          </cell>
          <cell r="H827">
            <v>42.56</v>
          </cell>
        </row>
        <row r="828">
          <cell r="A828">
            <v>46112</v>
          </cell>
          <cell r="C828" t="str">
            <v xml:space="preserve">Itapaci </v>
          </cell>
          <cell r="H828">
            <v>71.760000000000005</v>
          </cell>
        </row>
        <row r="829">
          <cell r="A829">
            <v>46112</v>
          </cell>
          <cell r="C829" t="str">
            <v xml:space="preserve">Itapaci </v>
          </cell>
          <cell r="H829">
            <v>43.02</v>
          </cell>
        </row>
        <row r="830">
          <cell r="A830">
            <v>46112</v>
          </cell>
          <cell r="C830" t="str">
            <v xml:space="preserve">Itapaci </v>
          </cell>
          <cell r="H830">
            <v>46.44</v>
          </cell>
        </row>
        <row r="831">
          <cell r="A831">
            <v>46112</v>
          </cell>
          <cell r="C831" t="str">
            <v xml:space="preserve">Itapaci </v>
          </cell>
          <cell r="H831">
            <v>44.68</v>
          </cell>
        </row>
        <row r="832">
          <cell r="A832">
            <v>46112</v>
          </cell>
          <cell r="C832" t="str">
            <v xml:space="preserve">Itapaci </v>
          </cell>
          <cell r="H832">
            <v>61.48</v>
          </cell>
        </row>
        <row r="833">
          <cell r="A833">
            <v>46112</v>
          </cell>
          <cell r="C833" t="str">
            <v xml:space="preserve">Itapaci </v>
          </cell>
          <cell r="H833">
            <v>41.98</v>
          </cell>
        </row>
        <row r="834">
          <cell r="A834">
            <v>46112</v>
          </cell>
          <cell r="C834" t="str">
            <v xml:space="preserve">Itapaci </v>
          </cell>
          <cell r="H834">
            <v>62.98</v>
          </cell>
        </row>
        <row r="835">
          <cell r="A835">
            <v>46112</v>
          </cell>
          <cell r="C835" t="str">
            <v xml:space="preserve">Itapaci </v>
          </cell>
          <cell r="H835">
            <v>55.76</v>
          </cell>
        </row>
        <row r="836">
          <cell r="A836">
            <v>46112</v>
          </cell>
          <cell r="C836" t="str">
            <v xml:space="preserve">Itapaci </v>
          </cell>
          <cell r="H836">
            <v>63.24</v>
          </cell>
        </row>
        <row r="837">
          <cell r="A837">
            <v>46112</v>
          </cell>
          <cell r="C837" t="str">
            <v xml:space="preserve">Itapaci </v>
          </cell>
          <cell r="H837">
            <v>60.54</v>
          </cell>
        </row>
        <row r="838">
          <cell r="A838">
            <v>46112</v>
          </cell>
          <cell r="C838" t="str">
            <v xml:space="preserve">Itapaci </v>
          </cell>
          <cell r="H838">
            <v>35.78</v>
          </cell>
        </row>
        <row r="839">
          <cell r="A839">
            <v>46112</v>
          </cell>
          <cell r="C839" t="str">
            <v xml:space="preserve">Itapaci </v>
          </cell>
          <cell r="H839">
            <v>36.54</v>
          </cell>
        </row>
        <row r="840">
          <cell r="A840">
            <v>46112</v>
          </cell>
          <cell r="C840" t="str">
            <v xml:space="preserve">Itapaci </v>
          </cell>
          <cell r="H840">
            <v>33.520000000000003</v>
          </cell>
        </row>
        <row r="841">
          <cell r="A841">
            <v>46112</v>
          </cell>
          <cell r="C841" t="str">
            <v xml:space="preserve">Itapaci </v>
          </cell>
          <cell r="H841">
            <v>36.119999999999997</v>
          </cell>
        </row>
        <row r="842">
          <cell r="A842">
            <v>46112</v>
          </cell>
          <cell r="C842" t="str">
            <v xml:space="preserve">Itapaci </v>
          </cell>
          <cell r="H842">
            <v>44.96</v>
          </cell>
        </row>
        <row r="843">
          <cell r="A843">
            <v>46112</v>
          </cell>
          <cell r="C843" t="str">
            <v xml:space="preserve">Itapaci </v>
          </cell>
          <cell r="H843">
            <v>43.98</v>
          </cell>
        </row>
        <row r="844">
          <cell r="A844">
            <v>46112</v>
          </cell>
          <cell r="C844" t="str">
            <v xml:space="preserve">Itapaci </v>
          </cell>
          <cell r="H844">
            <v>63.3</v>
          </cell>
        </row>
        <row r="845">
          <cell r="A845">
            <v>46113</v>
          </cell>
          <cell r="C845" t="str">
            <v xml:space="preserve">Itapaci </v>
          </cell>
          <cell r="H845">
            <v>70.38</v>
          </cell>
        </row>
        <row r="846">
          <cell r="A846">
            <v>46112</v>
          </cell>
          <cell r="C846" t="str">
            <v xml:space="preserve">Itapaci </v>
          </cell>
          <cell r="H846">
            <v>46.54</v>
          </cell>
        </row>
        <row r="847">
          <cell r="A847">
            <v>46112</v>
          </cell>
          <cell r="C847" t="str">
            <v xml:space="preserve">Itapaci </v>
          </cell>
          <cell r="H847">
            <v>46.04</v>
          </cell>
        </row>
        <row r="848">
          <cell r="A848">
            <v>46112</v>
          </cell>
          <cell r="C848" t="str">
            <v xml:space="preserve">Itapaci </v>
          </cell>
          <cell r="H848">
            <v>35.58</v>
          </cell>
        </row>
        <row r="849">
          <cell r="A849">
            <v>46113</v>
          </cell>
          <cell r="C849" t="str">
            <v xml:space="preserve">Itapaci </v>
          </cell>
          <cell r="H849">
            <v>35.72</v>
          </cell>
        </row>
        <row r="850">
          <cell r="A850">
            <v>46112</v>
          </cell>
          <cell r="C850" t="str">
            <v xml:space="preserve">Itapaci </v>
          </cell>
          <cell r="H850">
            <v>70.02</v>
          </cell>
        </row>
        <row r="851">
          <cell r="A851">
            <v>46113</v>
          </cell>
          <cell r="C851" t="str">
            <v xml:space="preserve">Itapaci </v>
          </cell>
          <cell r="H851">
            <v>72.680000000000007</v>
          </cell>
        </row>
        <row r="852">
          <cell r="A852">
            <v>46112</v>
          </cell>
          <cell r="C852" t="str">
            <v xml:space="preserve">Itapaci </v>
          </cell>
          <cell r="H852">
            <v>35.32</v>
          </cell>
        </row>
        <row r="853">
          <cell r="A853">
            <v>46113</v>
          </cell>
          <cell r="C853" t="str">
            <v xml:space="preserve">Itapaci </v>
          </cell>
          <cell r="H853">
            <v>41.32</v>
          </cell>
        </row>
        <row r="854">
          <cell r="A854">
            <v>46113</v>
          </cell>
          <cell r="C854" t="str">
            <v xml:space="preserve">Itapaci </v>
          </cell>
          <cell r="H854">
            <v>35.979999999999997</v>
          </cell>
        </row>
        <row r="855">
          <cell r="A855">
            <v>46113</v>
          </cell>
          <cell r="C855" t="str">
            <v xml:space="preserve">Itapaci </v>
          </cell>
          <cell r="H855">
            <v>46.22</v>
          </cell>
        </row>
        <row r="856">
          <cell r="A856">
            <v>46113</v>
          </cell>
          <cell r="C856" t="str">
            <v xml:space="preserve">Itapaci </v>
          </cell>
          <cell r="H856">
            <v>34.020000000000003</v>
          </cell>
        </row>
        <row r="857">
          <cell r="A857">
            <v>46113</v>
          </cell>
          <cell r="C857" t="str">
            <v xml:space="preserve">Itapaci </v>
          </cell>
          <cell r="H857">
            <v>64.92</v>
          </cell>
        </row>
        <row r="858">
          <cell r="A858">
            <v>46113</v>
          </cell>
          <cell r="C858" t="str">
            <v xml:space="preserve">Itapaci </v>
          </cell>
          <cell r="H858">
            <v>55.92</v>
          </cell>
        </row>
        <row r="859">
          <cell r="A859">
            <v>46113</v>
          </cell>
          <cell r="C859" t="str">
            <v xml:space="preserve">Itapaci </v>
          </cell>
          <cell r="H859">
            <v>64</v>
          </cell>
        </row>
        <row r="860">
          <cell r="A860">
            <v>46113</v>
          </cell>
          <cell r="C860" t="str">
            <v xml:space="preserve">Itapaci </v>
          </cell>
          <cell r="H860">
            <v>55.1</v>
          </cell>
        </row>
        <row r="861">
          <cell r="A861">
            <v>46113</v>
          </cell>
          <cell r="C861" t="str">
            <v xml:space="preserve">Itapaci </v>
          </cell>
          <cell r="H861">
            <v>61.28</v>
          </cell>
        </row>
        <row r="862">
          <cell r="A862">
            <v>46112</v>
          </cell>
          <cell r="C862" t="str">
            <v xml:space="preserve">Bela Vista </v>
          </cell>
          <cell r="H862">
            <v>35.86</v>
          </cell>
        </row>
        <row r="863">
          <cell r="A863">
            <v>46112</v>
          </cell>
          <cell r="C863" t="str">
            <v xml:space="preserve">Bela Vista </v>
          </cell>
          <cell r="H863">
            <v>38.200000000000003</v>
          </cell>
        </row>
        <row r="864">
          <cell r="A864">
            <v>46112</v>
          </cell>
          <cell r="C864" t="str">
            <v xml:space="preserve">Bela Vista </v>
          </cell>
          <cell r="H864">
            <v>37.86</v>
          </cell>
        </row>
        <row r="865">
          <cell r="A865">
            <v>46112</v>
          </cell>
          <cell r="C865" t="str">
            <v xml:space="preserve">Bela Vista </v>
          </cell>
          <cell r="H865">
            <v>36.72</v>
          </cell>
        </row>
        <row r="866">
          <cell r="A866">
            <v>46112</v>
          </cell>
          <cell r="C866" t="str">
            <v xml:space="preserve">Bela Vista </v>
          </cell>
          <cell r="H866">
            <v>35.6</v>
          </cell>
        </row>
        <row r="867">
          <cell r="A867">
            <v>46112</v>
          </cell>
          <cell r="C867" t="str">
            <v xml:space="preserve">Bela Vista </v>
          </cell>
          <cell r="H867">
            <v>32.64</v>
          </cell>
        </row>
        <row r="868">
          <cell r="A868">
            <v>46112</v>
          </cell>
          <cell r="C868" t="str">
            <v xml:space="preserve">Bela Vista </v>
          </cell>
          <cell r="H868">
            <v>55.72</v>
          </cell>
        </row>
        <row r="869">
          <cell r="A869">
            <v>46112</v>
          </cell>
          <cell r="C869" t="str">
            <v xml:space="preserve">Bela Vista </v>
          </cell>
          <cell r="H869">
            <v>34.68</v>
          </cell>
        </row>
        <row r="870">
          <cell r="A870">
            <v>46112</v>
          </cell>
          <cell r="C870" t="str">
            <v xml:space="preserve">Bela Vista </v>
          </cell>
          <cell r="H870">
            <v>35.08</v>
          </cell>
        </row>
        <row r="871">
          <cell r="A871">
            <v>46112</v>
          </cell>
          <cell r="C871" t="str">
            <v xml:space="preserve">Bela Vista </v>
          </cell>
          <cell r="H871">
            <v>34.880000000000003</v>
          </cell>
        </row>
        <row r="872">
          <cell r="A872">
            <v>46112</v>
          </cell>
          <cell r="C872" t="str">
            <v xml:space="preserve">Bela Vista </v>
          </cell>
          <cell r="H872">
            <v>36.32</v>
          </cell>
        </row>
        <row r="873">
          <cell r="A873">
            <v>46113</v>
          </cell>
          <cell r="C873" t="str">
            <v xml:space="preserve">Bela Vista </v>
          </cell>
          <cell r="H873">
            <v>29.3</v>
          </cell>
        </row>
        <row r="874">
          <cell r="A874">
            <v>46113</v>
          </cell>
          <cell r="C874" t="str">
            <v xml:space="preserve">Bela Vista </v>
          </cell>
          <cell r="H874">
            <v>35.299999999999997</v>
          </cell>
        </row>
        <row r="875">
          <cell r="A875">
            <v>46113</v>
          </cell>
          <cell r="C875" t="str">
            <v xml:space="preserve">Bela Vista </v>
          </cell>
          <cell r="H875">
            <v>58.12</v>
          </cell>
        </row>
        <row r="876">
          <cell r="A876">
            <v>46113</v>
          </cell>
          <cell r="C876" t="str">
            <v xml:space="preserve">Bela Vista </v>
          </cell>
          <cell r="H876">
            <v>35.26</v>
          </cell>
        </row>
        <row r="877">
          <cell r="A877">
            <v>46113</v>
          </cell>
          <cell r="C877" t="str">
            <v xml:space="preserve">Bela Vista </v>
          </cell>
          <cell r="H877">
            <v>51.72</v>
          </cell>
        </row>
        <row r="878">
          <cell r="A878">
            <v>46113</v>
          </cell>
          <cell r="C878" t="str">
            <v xml:space="preserve">Bela Vista </v>
          </cell>
          <cell r="H878">
            <v>36.58</v>
          </cell>
        </row>
        <row r="879">
          <cell r="A879">
            <v>46113</v>
          </cell>
          <cell r="C879" t="str">
            <v xml:space="preserve">Bela Vista </v>
          </cell>
          <cell r="H879">
            <v>36.08</v>
          </cell>
        </row>
        <row r="880">
          <cell r="A880">
            <v>46113</v>
          </cell>
          <cell r="C880" t="str">
            <v xml:space="preserve">Bela Vista </v>
          </cell>
          <cell r="H880">
            <v>31.86</v>
          </cell>
        </row>
        <row r="881">
          <cell r="A881">
            <v>46113</v>
          </cell>
          <cell r="C881" t="str">
            <v xml:space="preserve">Bela Vista </v>
          </cell>
          <cell r="H881">
            <v>35.14</v>
          </cell>
        </row>
        <row r="882">
          <cell r="A882">
            <v>46113</v>
          </cell>
          <cell r="C882" t="str">
            <v xml:space="preserve">Bela Vista </v>
          </cell>
          <cell r="H882">
            <v>32.5</v>
          </cell>
        </row>
        <row r="883">
          <cell r="A883">
            <v>46113</v>
          </cell>
          <cell r="C883" t="str">
            <v xml:space="preserve">Bela Vista </v>
          </cell>
          <cell r="H883">
            <v>32.46</v>
          </cell>
        </row>
        <row r="884">
          <cell r="A884">
            <v>46113</v>
          </cell>
          <cell r="C884" t="str">
            <v xml:space="preserve">Bela Vista </v>
          </cell>
          <cell r="H884">
            <v>49.68</v>
          </cell>
        </row>
        <row r="885">
          <cell r="A885">
            <v>46114</v>
          </cell>
          <cell r="C885" t="str">
            <v xml:space="preserve">Bela Vista </v>
          </cell>
          <cell r="H885">
            <v>32.58</v>
          </cell>
        </row>
        <row r="886">
          <cell r="A886">
            <v>46114</v>
          </cell>
          <cell r="C886" t="str">
            <v xml:space="preserve">Bela Vista </v>
          </cell>
          <cell r="H886">
            <v>33.380000000000003</v>
          </cell>
        </row>
        <row r="887">
          <cell r="A887">
            <v>46119</v>
          </cell>
          <cell r="C887" t="str">
            <v xml:space="preserve">Bela Vista </v>
          </cell>
          <cell r="H887">
            <v>32.46</v>
          </cell>
        </row>
        <row r="888">
          <cell r="A888">
            <v>46113</v>
          </cell>
          <cell r="C888" t="str">
            <v xml:space="preserve">Itapaci </v>
          </cell>
          <cell r="H888">
            <v>63.1</v>
          </cell>
        </row>
        <row r="889">
          <cell r="A889">
            <v>46113</v>
          </cell>
          <cell r="C889" t="str">
            <v xml:space="preserve">Itapaci </v>
          </cell>
          <cell r="H889">
            <v>50.18</v>
          </cell>
        </row>
        <row r="890">
          <cell r="A890">
            <v>46113</v>
          </cell>
          <cell r="C890" t="str">
            <v xml:space="preserve">Itapaci </v>
          </cell>
          <cell r="H890">
            <v>68.92</v>
          </cell>
        </row>
        <row r="891">
          <cell r="A891">
            <v>46113</v>
          </cell>
          <cell r="C891" t="str">
            <v xml:space="preserve">Itapaci </v>
          </cell>
          <cell r="H891">
            <v>40.020000000000003</v>
          </cell>
        </row>
        <row r="892">
          <cell r="A892">
            <v>46113</v>
          </cell>
          <cell r="C892" t="str">
            <v xml:space="preserve">Itapaci </v>
          </cell>
          <cell r="H892">
            <v>38.840000000000003</v>
          </cell>
        </row>
        <row r="893">
          <cell r="A893">
            <v>46113</v>
          </cell>
          <cell r="C893" t="str">
            <v xml:space="preserve">Itapaci </v>
          </cell>
          <cell r="H893">
            <v>69.400000000000006</v>
          </cell>
        </row>
        <row r="894">
          <cell r="A894">
            <v>46113</v>
          </cell>
          <cell r="C894" t="str">
            <v xml:space="preserve">Itapaci </v>
          </cell>
          <cell r="H894">
            <v>38.159999999999997</v>
          </cell>
        </row>
        <row r="895">
          <cell r="A895">
            <v>46113</v>
          </cell>
          <cell r="C895" t="str">
            <v xml:space="preserve">Itapaci </v>
          </cell>
          <cell r="H895">
            <v>35.28</v>
          </cell>
        </row>
        <row r="896">
          <cell r="A896">
            <v>46113</v>
          </cell>
          <cell r="C896" t="str">
            <v xml:space="preserve">Itapaci </v>
          </cell>
          <cell r="H896">
            <v>39.04</v>
          </cell>
        </row>
        <row r="897">
          <cell r="A897">
            <v>46113</v>
          </cell>
          <cell r="C897" t="str">
            <v xml:space="preserve">Itapaci </v>
          </cell>
          <cell r="H897">
            <v>32.58</v>
          </cell>
        </row>
        <row r="898">
          <cell r="A898">
            <v>46113</v>
          </cell>
          <cell r="C898" t="str">
            <v xml:space="preserve">Itapaci </v>
          </cell>
          <cell r="H898">
            <v>45.94</v>
          </cell>
        </row>
        <row r="899">
          <cell r="A899">
            <v>46113</v>
          </cell>
          <cell r="C899" t="str">
            <v xml:space="preserve">Itapaci </v>
          </cell>
          <cell r="H899">
            <v>44.8</v>
          </cell>
        </row>
        <row r="900">
          <cell r="A900">
            <v>46113</v>
          </cell>
          <cell r="C900" t="str">
            <v xml:space="preserve">Itapaci </v>
          </cell>
          <cell r="H900">
            <v>41.56</v>
          </cell>
        </row>
        <row r="901">
          <cell r="A901">
            <v>46114</v>
          </cell>
          <cell r="C901" t="str">
            <v xml:space="preserve">Itapaci </v>
          </cell>
          <cell r="H901">
            <v>36.880000000000003</v>
          </cell>
        </row>
        <row r="902">
          <cell r="A902">
            <v>46114</v>
          </cell>
          <cell r="C902" t="str">
            <v xml:space="preserve">Itapaci </v>
          </cell>
          <cell r="H902">
            <v>42.88</v>
          </cell>
        </row>
        <row r="903">
          <cell r="A903">
            <v>46114</v>
          </cell>
          <cell r="C903" t="str">
            <v xml:space="preserve">Itapaci </v>
          </cell>
          <cell r="H903">
            <v>71.2</v>
          </cell>
        </row>
        <row r="904">
          <cell r="A904">
            <v>46114</v>
          </cell>
          <cell r="C904" t="str">
            <v xml:space="preserve">Itapaci </v>
          </cell>
          <cell r="H904">
            <v>40.880000000000003</v>
          </cell>
        </row>
        <row r="905">
          <cell r="A905">
            <v>46114</v>
          </cell>
          <cell r="C905" t="str">
            <v xml:space="preserve">Itapaci </v>
          </cell>
          <cell r="H905">
            <v>46.14</v>
          </cell>
        </row>
        <row r="906">
          <cell r="A906">
            <v>46114</v>
          </cell>
          <cell r="C906" t="str">
            <v xml:space="preserve">Itapaci </v>
          </cell>
          <cell r="H906">
            <v>35.78</v>
          </cell>
        </row>
        <row r="907">
          <cell r="A907">
            <v>46114</v>
          </cell>
          <cell r="C907" t="str">
            <v xml:space="preserve">Itapaci </v>
          </cell>
          <cell r="H907">
            <v>72.14</v>
          </cell>
        </row>
        <row r="908">
          <cell r="A908">
            <v>46114</v>
          </cell>
          <cell r="C908" t="str">
            <v xml:space="preserve">Itapaci </v>
          </cell>
          <cell r="H908">
            <v>36.020000000000003</v>
          </cell>
        </row>
        <row r="909">
          <cell r="A909">
            <v>46114</v>
          </cell>
          <cell r="C909" t="str">
            <v xml:space="preserve">Itapaci </v>
          </cell>
          <cell r="H909">
            <v>64.62</v>
          </cell>
        </row>
        <row r="910">
          <cell r="A910">
            <v>46114</v>
          </cell>
          <cell r="C910" t="str">
            <v xml:space="preserve">Itapaci </v>
          </cell>
          <cell r="H910">
            <v>53.58</v>
          </cell>
        </row>
        <row r="911">
          <cell r="A911">
            <v>46114</v>
          </cell>
          <cell r="C911" t="str">
            <v xml:space="preserve">Itapaci </v>
          </cell>
          <cell r="H911">
            <v>63.74</v>
          </cell>
        </row>
        <row r="912">
          <cell r="A912">
            <v>46114</v>
          </cell>
          <cell r="C912" t="str">
            <v xml:space="preserve">Itapaci </v>
          </cell>
          <cell r="H912">
            <v>55.32</v>
          </cell>
        </row>
        <row r="913">
          <cell r="A913">
            <v>46114</v>
          </cell>
          <cell r="C913" t="str">
            <v xml:space="preserve">Itapaci </v>
          </cell>
          <cell r="H913">
            <v>62.84</v>
          </cell>
        </row>
        <row r="914">
          <cell r="A914">
            <v>46114</v>
          </cell>
          <cell r="C914" t="str">
            <v xml:space="preserve">Itapaci </v>
          </cell>
          <cell r="H914">
            <v>71.86</v>
          </cell>
        </row>
        <row r="915">
          <cell r="A915">
            <v>46114</v>
          </cell>
          <cell r="C915" t="str">
            <v xml:space="preserve">Itapaci </v>
          </cell>
          <cell r="H915">
            <v>48.28</v>
          </cell>
        </row>
        <row r="916">
          <cell r="A916">
            <v>46114</v>
          </cell>
          <cell r="C916" t="str">
            <v xml:space="preserve">Itapaci </v>
          </cell>
          <cell r="H916">
            <v>44.58</v>
          </cell>
        </row>
        <row r="917">
          <cell r="A917">
            <v>46114</v>
          </cell>
          <cell r="C917" t="str">
            <v xml:space="preserve">Itapaci </v>
          </cell>
          <cell r="H917">
            <v>37.26</v>
          </cell>
        </row>
        <row r="918">
          <cell r="A918">
            <v>46114</v>
          </cell>
          <cell r="C918" t="str">
            <v xml:space="preserve">Itapaci </v>
          </cell>
          <cell r="H918">
            <v>42.36</v>
          </cell>
        </row>
        <row r="919">
          <cell r="A919">
            <v>46114</v>
          </cell>
          <cell r="C919" t="str">
            <v xml:space="preserve">Itapaci </v>
          </cell>
          <cell r="H919">
            <v>46.24</v>
          </cell>
        </row>
        <row r="920">
          <cell r="A920">
            <v>46114</v>
          </cell>
          <cell r="C920" t="str">
            <v xml:space="preserve">Itapaci </v>
          </cell>
          <cell r="H920">
            <v>51.8</v>
          </cell>
        </row>
        <row r="921">
          <cell r="A921">
            <v>46114</v>
          </cell>
          <cell r="C921" t="str">
            <v xml:space="preserve">Itapaci </v>
          </cell>
          <cell r="H921">
            <v>65.52</v>
          </cell>
        </row>
        <row r="922">
          <cell r="A922">
            <v>46114</v>
          </cell>
          <cell r="C922" t="str">
            <v xml:space="preserve">Itapaci </v>
          </cell>
          <cell r="H922">
            <v>35.94</v>
          </cell>
        </row>
        <row r="923">
          <cell r="A923">
            <v>46114</v>
          </cell>
          <cell r="C923" t="str">
            <v xml:space="preserve">Itapaci </v>
          </cell>
          <cell r="H923">
            <v>37.78</v>
          </cell>
        </row>
        <row r="924">
          <cell r="A924">
            <v>46114</v>
          </cell>
          <cell r="C924" t="str">
            <v xml:space="preserve">Itapaci </v>
          </cell>
          <cell r="H924">
            <v>65.400000000000006</v>
          </cell>
        </row>
        <row r="925">
          <cell r="A925">
            <v>46114</v>
          </cell>
          <cell r="C925" t="str">
            <v xml:space="preserve">Itapaci </v>
          </cell>
          <cell r="H925">
            <v>56</v>
          </cell>
        </row>
        <row r="926">
          <cell r="A926">
            <v>46118</v>
          </cell>
          <cell r="C926" t="str">
            <v xml:space="preserve">Itapaci </v>
          </cell>
          <cell r="H926">
            <v>34.74</v>
          </cell>
        </row>
        <row r="927">
          <cell r="A927">
            <v>46114</v>
          </cell>
          <cell r="C927" t="str">
            <v xml:space="preserve">Itapaci </v>
          </cell>
          <cell r="H927">
            <v>64.739999999999995</v>
          </cell>
        </row>
        <row r="928">
          <cell r="A928">
            <v>46114</v>
          </cell>
          <cell r="C928" t="str">
            <v xml:space="preserve">Itapaci </v>
          </cell>
          <cell r="H928">
            <v>45.42</v>
          </cell>
        </row>
        <row r="929">
          <cell r="A929">
            <v>46114</v>
          </cell>
          <cell r="C929" t="str">
            <v xml:space="preserve">Itapaci </v>
          </cell>
          <cell r="H929">
            <v>69.540000000000006</v>
          </cell>
        </row>
        <row r="930">
          <cell r="A930">
            <v>46114</v>
          </cell>
          <cell r="C930" t="str">
            <v xml:space="preserve">Itapaci </v>
          </cell>
          <cell r="H930">
            <v>37.06</v>
          </cell>
        </row>
        <row r="931">
          <cell r="A931">
            <v>46114</v>
          </cell>
          <cell r="C931" t="str">
            <v xml:space="preserve">Itapaci </v>
          </cell>
          <cell r="H931">
            <v>714.36</v>
          </cell>
        </row>
        <row r="932">
          <cell r="A932">
            <v>46114</v>
          </cell>
          <cell r="C932" t="str">
            <v xml:space="preserve">Itapaci </v>
          </cell>
          <cell r="H932">
            <v>40.94</v>
          </cell>
        </row>
        <row r="933">
          <cell r="A933">
            <v>46115</v>
          </cell>
          <cell r="C933" t="str">
            <v xml:space="preserve">Itapaci </v>
          </cell>
          <cell r="H933">
            <v>45.7</v>
          </cell>
        </row>
        <row r="934">
          <cell r="A934">
            <v>46115</v>
          </cell>
          <cell r="C934" t="str">
            <v xml:space="preserve">Itapaci </v>
          </cell>
          <cell r="H934">
            <v>36.6</v>
          </cell>
        </row>
        <row r="935">
          <cell r="A935">
            <v>46115</v>
          </cell>
          <cell r="C935" t="str">
            <v xml:space="preserve">Itapaci </v>
          </cell>
          <cell r="H935">
            <v>38.700000000000003</v>
          </cell>
        </row>
        <row r="936">
          <cell r="A936">
            <v>46114</v>
          </cell>
          <cell r="C936" t="str">
            <v xml:space="preserve">Bela Vista </v>
          </cell>
          <cell r="H936">
            <v>32.56</v>
          </cell>
        </row>
        <row r="937">
          <cell r="A937">
            <v>46114</v>
          </cell>
          <cell r="C937" t="str">
            <v xml:space="preserve">Bela Vista </v>
          </cell>
          <cell r="H937">
            <v>32.659999999999997</v>
          </cell>
        </row>
        <row r="938">
          <cell r="A938">
            <v>46114</v>
          </cell>
          <cell r="C938" t="str">
            <v xml:space="preserve">Bela Vista </v>
          </cell>
          <cell r="H938">
            <v>33.24</v>
          </cell>
        </row>
        <row r="939">
          <cell r="A939">
            <v>46114</v>
          </cell>
          <cell r="C939" t="str">
            <v xml:space="preserve">Bela Vista </v>
          </cell>
          <cell r="H939">
            <v>32.74</v>
          </cell>
        </row>
        <row r="940">
          <cell r="A940">
            <v>46114</v>
          </cell>
          <cell r="C940" t="str">
            <v xml:space="preserve">Bela Vista </v>
          </cell>
          <cell r="H940">
            <v>33.5</v>
          </cell>
        </row>
        <row r="941">
          <cell r="A941">
            <v>46114</v>
          </cell>
          <cell r="C941" t="str">
            <v xml:space="preserve">Bela Vista </v>
          </cell>
          <cell r="H941">
            <v>40.08</v>
          </cell>
        </row>
        <row r="942">
          <cell r="A942">
            <v>46114</v>
          </cell>
          <cell r="C942" t="str">
            <v xml:space="preserve">Bela Vista </v>
          </cell>
          <cell r="H942">
            <v>34</v>
          </cell>
        </row>
        <row r="943">
          <cell r="A943">
            <v>46114</v>
          </cell>
          <cell r="C943" t="str">
            <v xml:space="preserve">Bela Vista </v>
          </cell>
          <cell r="H943">
            <v>34.299999999999997</v>
          </cell>
        </row>
        <row r="944">
          <cell r="A944">
            <v>46114</v>
          </cell>
          <cell r="C944" t="str">
            <v xml:space="preserve">Bela Vista </v>
          </cell>
          <cell r="H944">
            <v>32.86</v>
          </cell>
        </row>
        <row r="945">
          <cell r="A945">
            <v>46114</v>
          </cell>
          <cell r="C945" t="str">
            <v xml:space="preserve">Bela Vista </v>
          </cell>
          <cell r="H945">
            <v>58.4</v>
          </cell>
        </row>
        <row r="946">
          <cell r="A946">
            <v>46118</v>
          </cell>
          <cell r="C946" t="str">
            <v xml:space="preserve">Itapaci </v>
          </cell>
          <cell r="H946">
            <v>72.7</v>
          </cell>
        </row>
        <row r="947">
          <cell r="A947">
            <v>46118</v>
          </cell>
          <cell r="C947" t="str">
            <v xml:space="preserve">Itapaci </v>
          </cell>
          <cell r="H947">
            <v>46.66</v>
          </cell>
        </row>
        <row r="948">
          <cell r="A948">
            <v>46118</v>
          </cell>
          <cell r="C948" t="str">
            <v xml:space="preserve">Itapaci </v>
          </cell>
          <cell r="H948">
            <v>34.479999999999997</v>
          </cell>
        </row>
        <row r="949">
          <cell r="A949">
            <v>46118</v>
          </cell>
          <cell r="C949" t="str">
            <v xml:space="preserve">Itapaci </v>
          </cell>
          <cell r="H949">
            <v>70.02</v>
          </cell>
        </row>
        <row r="950">
          <cell r="A950">
            <v>46118</v>
          </cell>
          <cell r="C950" t="str">
            <v xml:space="preserve">Itapaci </v>
          </cell>
          <cell r="H950">
            <v>41.84</v>
          </cell>
        </row>
        <row r="951">
          <cell r="A951">
            <v>46118</v>
          </cell>
          <cell r="C951" t="str">
            <v xml:space="preserve">Itapaci </v>
          </cell>
          <cell r="H951">
            <v>33.92</v>
          </cell>
        </row>
        <row r="952">
          <cell r="A952">
            <v>46118</v>
          </cell>
          <cell r="C952" t="str">
            <v xml:space="preserve">Itapaci </v>
          </cell>
          <cell r="H952">
            <v>36.18</v>
          </cell>
        </row>
        <row r="953">
          <cell r="A953">
            <v>46118</v>
          </cell>
          <cell r="C953" t="str">
            <v xml:space="preserve">Itapaci </v>
          </cell>
          <cell r="H953">
            <v>35.58</v>
          </cell>
        </row>
        <row r="954">
          <cell r="A954">
            <v>46118</v>
          </cell>
          <cell r="C954" t="str">
            <v xml:space="preserve">Itapaci </v>
          </cell>
          <cell r="H954">
            <v>34.700000000000003</v>
          </cell>
        </row>
        <row r="955">
          <cell r="A955">
            <v>46118</v>
          </cell>
          <cell r="C955" t="str">
            <v xml:space="preserve">Itapaci </v>
          </cell>
          <cell r="H955">
            <v>35.68</v>
          </cell>
        </row>
        <row r="956">
          <cell r="A956">
            <v>46118</v>
          </cell>
          <cell r="C956" t="str">
            <v xml:space="preserve">Itapaci </v>
          </cell>
          <cell r="H956">
            <v>35.700000000000003</v>
          </cell>
        </row>
        <row r="957">
          <cell r="A957">
            <v>46118</v>
          </cell>
          <cell r="C957" t="str">
            <v xml:space="preserve">Itapaci </v>
          </cell>
          <cell r="H957">
            <v>41.18</v>
          </cell>
        </row>
        <row r="958">
          <cell r="A958">
            <v>46118</v>
          </cell>
          <cell r="C958" t="str">
            <v xml:space="preserve">Itapaci </v>
          </cell>
          <cell r="H958">
            <v>34.82</v>
          </cell>
        </row>
        <row r="959">
          <cell r="A959">
            <v>46118</v>
          </cell>
          <cell r="C959" t="str">
            <v xml:space="preserve">Itapaci </v>
          </cell>
          <cell r="H959">
            <v>71.42</v>
          </cell>
        </row>
        <row r="960">
          <cell r="A960">
            <v>46118</v>
          </cell>
          <cell r="C960" t="str">
            <v xml:space="preserve">Bela Vista </v>
          </cell>
          <cell r="H960">
            <v>34.94</v>
          </cell>
        </row>
        <row r="961">
          <cell r="A961">
            <v>46118</v>
          </cell>
          <cell r="C961" t="str">
            <v xml:space="preserve">Bela Vista </v>
          </cell>
          <cell r="H961">
            <v>34.94</v>
          </cell>
        </row>
        <row r="962">
          <cell r="A962">
            <v>46118</v>
          </cell>
          <cell r="C962" t="str">
            <v xml:space="preserve">Itapaci </v>
          </cell>
          <cell r="H962">
            <v>66.459999999999994</v>
          </cell>
        </row>
        <row r="963">
          <cell r="A963">
            <v>46118</v>
          </cell>
          <cell r="C963" t="str">
            <v xml:space="preserve">Itapaci </v>
          </cell>
          <cell r="H963">
            <v>64.680000000000007</v>
          </cell>
        </row>
        <row r="964">
          <cell r="A964">
            <v>46118</v>
          </cell>
          <cell r="C964" t="str">
            <v xml:space="preserve">Itapaci </v>
          </cell>
          <cell r="H964">
            <v>51.88</v>
          </cell>
        </row>
        <row r="965">
          <cell r="A965">
            <v>46118</v>
          </cell>
          <cell r="C965" t="str">
            <v xml:space="preserve">Itapaci </v>
          </cell>
          <cell r="H965">
            <v>55.46</v>
          </cell>
        </row>
        <row r="966">
          <cell r="A966">
            <v>46118</v>
          </cell>
          <cell r="C966" t="str">
            <v xml:space="preserve">Itapaci </v>
          </cell>
          <cell r="H966">
            <v>38.4</v>
          </cell>
        </row>
        <row r="967">
          <cell r="A967">
            <v>46118</v>
          </cell>
          <cell r="C967" t="str">
            <v xml:space="preserve">Itapaci </v>
          </cell>
          <cell r="H967">
            <v>42.16</v>
          </cell>
        </row>
        <row r="968">
          <cell r="A968">
            <v>46118</v>
          </cell>
          <cell r="C968" t="str">
            <v xml:space="preserve">Itapaci </v>
          </cell>
          <cell r="H968">
            <v>65.180000000000007</v>
          </cell>
        </row>
        <row r="969">
          <cell r="A969">
            <v>46119</v>
          </cell>
          <cell r="C969" t="str">
            <v xml:space="preserve">Itapaci </v>
          </cell>
          <cell r="H969">
            <v>36.9</v>
          </cell>
        </row>
        <row r="970">
          <cell r="A970">
            <v>46118</v>
          </cell>
          <cell r="C970" t="str">
            <v xml:space="preserve">Itapaci </v>
          </cell>
          <cell r="H970">
            <v>71.12</v>
          </cell>
        </row>
        <row r="971">
          <cell r="A971">
            <v>46118</v>
          </cell>
          <cell r="C971" t="str">
            <v xml:space="preserve">Itapaci </v>
          </cell>
          <cell r="H971">
            <v>46.44</v>
          </cell>
        </row>
        <row r="972">
          <cell r="A972">
            <v>46118</v>
          </cell>
          <cell r="C972" t="str">
            <v xml:space="preserve">Itapaci </v>
          </cell>
          <cell r="H972">
            <v>64.040000000000006</v>
          </cell>
        </row>
        <row r="973">
          <cell r="A973">
            <v>46118</v>
          </cell>
          <cell r="C973" t="str">
            <v xml:space="preserve">Itapaci </v>
          </cell>
          <cell r="H973">
            <v>70.56</v>
          </cell>
        </row>
        <row r="974">
          <cell r="A974">
            <v>46118</v>
          </cell>
          <cell r="C974" t="str">
            <v xml:space="preserve">Itapaci </v>
          </cell>
          <cell r="H974">
            <v>65.599999999999994</v>
          </cell>
        </row>
        <row r="975">
          <cell r="A975">
            <v>46118</v>
          </cell>
          <cell r="C975" t="str">
            <v xml:space="preserve">Itapaci </v>
          </cell>
          <cell r="H975">
            <v>54.58</v>
          </cell>
        </row>
        <row r="976">
          <cell r="A976">
            <v>46118</v>
          </cell>
          <cell r="C976" t="str">
            <v xml:space="preserve">Itapaci </v>
          </cell>
          <cell r="H976">
            <v>55.8</v>
          </cell>
        </row>
        <row r="977">
          <cell r="A977">
            <v>46118</v>
          </cell>
          <cell r="C977" t="str">
            <v xml:space="preserve">Itapaci </v>
          </cell>
          <cell r="H977">
            <v>44.92</v>
          </cell>
        </row>
        <row r="978">
          <cell r="A978">
            <v>46119</v>
          </cell>
          <cell r="C978" t="str">
            <v xml:space="preserve">Itapaci </v>
          </cell>
          <cell r="H978">
            <v>40.78</v>
          </cell>
        </row>
        <row r="979">
          <cell r="A979">
            <v>46119</v>
          </cell>
          <cell r="C979" t="str">
            <v xml:space="preserve">Itapaci </v>
          </cell>
          <cell r="H979">
            <v>42</v>
          </cell>
        </row>
        <row r="980">
          <cell r="A980">
            <v>46119</v>
          </cell>
          <cell r="C980" t="str">
            <v xml:space="preserve">Itapaci </v>
          </cell>
          <cell r="H980">
            <v>33.72</v>
          </cell>
        </row>
        <row r="981">
          <cell r="A981">
            <v>46119</v>
          </cell>
          <cell r="C981" t="str">
            <v xml:space="preserve">Itapaci </v>
          </cell>
          <cell r="H981">
            <v>33.86</v>
          </cell>
        </row>
        <row r="982">
          <cell r="A982">
            <v>46119</v>
          </cell>
          <cell r="C982" t="str">
            <v xml:space="preserve">Itapaci </v>
          </cell>
          <cell r="H982">
            <v>64.62</v>
          </cell>
        </row>
        <row r="983">
          <cell r="A983">
            <v>46119</v>
          </cell>
          <cell r="C983" t="str">
            <v xml:space="preserve">Itapaci </v>
          </cell>
          <cell r="H983">
            <v>43.26</v>
          </cell>
        </row>
        <row r="984">
          <cell r="A984">
            <v>46119</v>
          </cell>
          <cell r="C984" t="str">
            <v xml:space="preserve">Itapaci </v>
          </cell>
          <cell r="H984">
            <v>70.239999999999995</v>
          </cell>
        </row>
        <row r="985">
          <cell r="A985">
            <v>46119</v>
          </cell>
          <cell r="C985" t="str">
            <v xml:space="preserve">Itapaci </v>
          </cell>
          <cell r="H985">
            <v>45.08</v>
          </cell>
        </row>
        <row r="986">
          <cell r="A986">
            <v>46119</v>
          </cell>
          <cell r="C986" t="str">
            <v xml:space="preserve">Itapaci </v>
          </cell>
          <cell r="H986">
            <v>64.760000000000005</v>
          </cell>
        </row>
        <row r="987">
          <cell r="A987">
            <v>46118</v>
          </cell>
          <cell r="C987" t="str">
            <v xml:space="preserve">Bela Vista </v>
          </cell>
          <cell r="H987">
            <v>53.24</v>
          </cell>
        </row>
        <row r="988">
          <cell r="A988">
            <v>46118</v>
          </cell>
          <cell r="C988" t="str">
            <v xml:space="preserve">Bela Vista </v>
          </cell>
          <cell r="H988">
            <v>53.58</v>
          </cell>
        </row>
        <row r="989">
          <cell r="A989">
            <v>46118</v>
          </cell>
          <cell r="C989" t="str">
            <v xml:space="preserve">Bela Vista </v>
          </cell>
          <cell r="H989">
            <v>54.68</v>
          </cell>
        </row>
        <row r="990">
          <cell r="A990">
            <v>46118</v>
          </cell>
          <cell r="C990" t="str">
            <v xml:space="preserve">Bela Vista </v>
          </cell>
          <cell r="H990">
            <v>54.66</v>
          </cell>
        </row>
        <row r="991">
          <cell r="A991">
            <v>46118</v>
          </cell>
          <cell r="C991" t="str">
            <v xml:space="preserve">Bela Vista </v>
          </cell>
          <cell r="H991">
            <v>33.08</v>
          </cell>
        </row>
        <row r="992">
          <cell r="A992">
            <v>46118</v>
          </cell>
          <cell r="C992" t="str">
            <v xml:space="preserve">Bela Vista </v>
          </cell>
          <cell r="H992">
            <v>32.08</v>
          </cell>
        </row>
        <row r="993">
          <cell r="A993">
            <v>46118</v>
          </cell>
          <cell r="C993" t="str">
            <v xml:space="preserve">Bela Vista </v>
          </cell>
          <cell r="H993">
            <v>33.18</v>
          </cell>
        </row>
        <row r="994">
          <cell r="A994">
            <v>46118</v>
          </cell>
          <cell r="C994" t="str">
            <v xml:space="preserve">Bela Vista </v>
          </cell>
          <cell r="H994">
            <v>34.92</v>
          </cell>
        </row>
        <row r="995">
          <cell r="A995">
            <v>46119</v>
          </cell>
          <cell r="C995" t="str">
            <v xml:space="preserve">Bela Vista </v>
          </cell>
          <cell r="H995">
            <v>33.08</v>
          </cell>
        </row>
        <row r="996">
          <cell r="A996">
            <v>46119</v>
          </cell>
          <cell r="C996" t="str">
            <v xml:space="preserve">Bela Vista </v>
          </cell>
          <cell r="H996">
            <v>33.479999999999997</v>
          </cell>
        </row>
        <row r="997">
          <cell r="A997">
            <v>46118</v>
          </cell>
          <cell r="C997" t="str">
            <v xml:space="preserve">Bela Vista </v>
          </cell>
          <cell r="H997">
            <v>33.56</v>
          </cell>
        </row>
        <row r="998">
          <cell r="A998">
            <v>46119</v>
          </cell>
          <cell r="C998" t="str">
            <v xml:space="preserve">Bela Vista </v>
          </cell>
          <cell r="H998">
            <v>33.5</v>
          </cell>
        </row>
        <row r="999">
          <cell r="A999">
            <v>46119</v>
          </cell>
          <cell r="C999" t="str">
            <v xml:space="preserve">Bela Vista </v>
          </cell>
          <cell r="H999">
            <v>33.979999999999997</v>
          </cell>
        </row>
        <row r="1000">
          <cell r="A1000">
            <v>46119</v>
          </cell>
          <cell r="C1000" t="str">
            <v xml:space="preserve">Bela Vista </v>
          </cell>
          <cell r="H1000">
            <v>31.88</v>
          </cell>
        </row>
        <row r="1001">
          <cell r="A1001">
            <v>46119</v>
          </cell>
          <cell r="C1001" t="str">
            <v xml:space="preserve">Bela Vista </v>
          </cell>
          <cell r="H1001">
            <v>32.46</v>
          </cell>
        </row>
        <row r="1002">
          <cell r="A1002">
            <v>46119</v>
          </cell>
          <cell r="C1002" t="str">
            <v xml:space="preserve">Bela Vista </v>
          </cell>
          <cell r="H1002">
            <v>32.74</v>
          </cell>
        </row>
        <row r="1003">
          <cell r="A1003">
            <v>46119</v>
          </cell>
          <cell r="C1003" t="str">
            <v xml:space="preserve">Bela Vista </v>
          </cell>
          <cell r="H1003">
            <v>33.020000000000003</v>
          </cell>
        </row>
        <row r="1004">
          <cell r="A1004">
            <v>46119</v>
          </cell>
          <cell r="C1004" t="str">
            <v xml:space="preserve">Bela Vista </v>
          </cell>
          <cell r="H1004">
            <v>33.24</v>
          </cell>
        </row>
        <row r="1005">
          <cell r="A1005">
            <v>46119</v>
          </cell>
          <cell r="C1005" t="str">
            <v xml:space="preserve">Bela Vista </v>
          </cell>
          <cell r="H1005">
            <v>32.299999999999997</v>
          </cell>
        </row>
        <row r="1006">
          <cell r="A1006">
            <v>46119</v>
          </cell>
          <cell r="C1006" t="str">
            <v xml:space="preserve">Itapaci </v>
          </cell>
          <cell r="H1006">
            <v>71.459999999999994</v>
          </cell>
        </row>
        <row r="1007">
          <cell r="A1007">
            <v>46119</v>
          </cell>
          <cell r="C1007" t="str">
            <v xml:space="preserve">Itapaci </v>
          </cell>
          <cell r="H1007">
            <v>34.42</v>
          </cell>
        </row>
        <row r="1008">
          <cell r="A1008">
            <v>46119</v>
          </cell>
          <cell r="C1008" t="str">
            <v xml:space="preserve">Itapaci </v>
          </cell>
          <cell r="H1008">
            <v>67.72</v>
          </cell>
        </row>
        <row r="1009">
          <cell r="A1009">
            <v>46119</v>
          </cell>
          <cell r="C1009" t="str">
            <v xml:space="preserve">Itapaci </v>
          </cell>
          <cell r="H1009">
            <v>55.7</v>
          </cell>
        </row>
        <row r="1010">
          <cell r="A1010">
            <v>46119</v>
          </cell>
          <cell r="C1010" t="str">
            <v xml:space="preserve">Itapaci </v>
          </cell>
          <cell r="H1010">
            <v>61.34</v>
          </cell>
        </row>
        <row r="1011">
          <cell r="A1011">
            <v>46119</v>
          </cell>
          <cell r="C1011" t="str">
            <v xml:space="preserve">Itapaci </v>
          </cell>
          <cell r="H1011">
            <v>71.64</v>
          </cell>
        </row>
        <row r="1012">
          <cell r="A1012">
            <v>46119</v>
          </cell>
          <cell r="C1012" t="str">
            <v xml:space="preserve">Itapaci </v>
          </cell>
          <cell r="H1012">
            <v>41.72</v>
          </cell>
        </row>
        <row r="1013">
          <cell r="A1013">
            <v>46119</v>
          </cell>
          <cell r="C1013" t="str">
            <v xml:space="preserve">Itapaci </v>
          </cell>
          <cell r="H1013">
            <v>32.1</v>
          </cell>
        </row>
        <row r="1014">
          <cell r="A1014">
            <v>46119</v>
          </cell>
          <cell r="C1014" t="str">
            <v xml:space="preserve">Itapaci </v>
          </cell>
          <cell r="H1014">
            <v>71.599999999999994</v>
          </cell>
        </row>
        <row r="1015">
          <cell r="A1015">
            <v>46120</v>
          </cell>
          <cell r="C1015" t="str">
            <v xml:space="preserve">Itapaci </v>
          </cell>
          <cell r="H1015">
            <v>55.34</v>
          </cell>
        </row>
        <row r="1016">
          <cell r="A1016">
            <v>46120</v>
          </cell>
          <cell r="C1016" t="str">
            <v xml:space="preserve">Itapaci </v>
          </cell>
          <cell r="H1016">
            <v>64.72</v>
          </cell>
        </row>
        <row r="1017">
          <cell r="A1017">
            <v>46120</v>
          </cell>
          <cell r="C1017" t="str">
            <v xml:space="preserve">Itapaci </v>
          </cell>
          <cell r="H1017">
            <v>40.32</v>
          </cell>
        </row>
        <row r="1018">
          <cell r="A1018">
            <v>46119</v>
          </cell>
          <cell r="C1018" t="str">
            <v xml:space="preserve">Bela Vista </v>
          </cell>
          <cell r="H1018">
            <v>36.68</v>
          </cell>
        </row>
        <row r="1019">
          <cell r="A1019">
            <v>46119</v>
          </cell>
          <cell r="C1019" t="str">
            <v xml:space="preserve">Bela Vista </v>
          </cell>
          <cell r="H1019">
            <v>33.18</v>
          </cell>
        </row>
        <row r="1020">
          <cell r="A1020">
            <v>46119</v>
          </cell>
          <cell r="C1020" t="str">
            <v xml:space="preserve">Bela Vista </v>
          </cell>
          <cell r="H1020">
            <v>33.78</v>
          </cell>
        </row>
        <row r="1021">
          <cell r="A1021">
            <v>46119</v>
          </cell>
          <cell r="C1021" t="str">
            <v xml:space="preserve">Bela Vista </v>
          </cell>
          <cell r="H1021">
            <v>35.380000000000003</v>
          </cell>
        </row>
        <row r="1022">
          <cell r="A1022">
            <v>46119</v>
          </cell>
          <cell r="C1022" t="str">
            <v xml:space="preserve">Bela Vista </v>
          </cell>
          <cell r="H1022">
            <v>33.46</v>
          </cell>
        </row>
        <row r="1023">
          <cell r="A1023">
            <v>46119</v>
          </cell>
          <cell r="C1023" t="str">
            <v xml:space="preserve">Bela Vista </v>
          </cell>
          <cell r="H1023">
            <v>31.6</v>
          </cell>
        </row>
        <row r="1024">
          <cell r="A1024">
            <v>46119</v>
          </cell>
          <cell r="C1024" t="str">
            <v xml:space="preserve">Bela Vista </v>
          </cell>
          <cell r="H1024">
            <v>31.66</v>
          </cell>
        </row>
        <row r="1025">
          <cell r="A1025">
            <v>46119</v>
          </cell>
          <cell r="C1025" t="str">
            <v xml:space="preserve">Bela Vista </v>
          </cell>
          <cell r="H1025">
            <v>53.2</v>
          </cell>
        </row>
        <row r="1026">
          <cell r="A1026">
            <v>46119</v>
          </cell>
          <cell r="C1026" t="str">
            <v xml:space="preserve">Bela Vista </v>
          </cell>
          <cell r="H1026">
            <v>52.18</v>
          </cell>
        </row>
        <row r="1027">
          <cell r="A1027">
            <v>46119</v>
          </cell>
          <cell r="C1027" t="str">
            <v xml:space="preserve">Bela Vista </v>
          </cell>
          <cell r="H1027">
            <v>53.8</v>
          </cell>
        </row>
        <row r="1028">
          <cell r="A1028">
            <v>46119</v>
          </cell>
          <cell r="C1028" t="str">
            <v xml:space="preserve">Bela Vista </v>
          </cell>
          <cell r="H1028">
            <v>54.26</v>
          </cell>
        </row>
        <row r="1029">
          <cell r="A1029">
            <v>46119</v>
          </cell>
          <cell r="C1029" t="str">
            <v xml:space="preserve">Bela Vista </v>
          </cell>
          <cell r="H1029">
            <v>32.56</v>
          </cell>
        </row>
        <row r="1030">
          <cell r="A1030">
            <v>46119</v>
          </cell>
          <cell r="C1030" t="str">
            <v xml:space="preserve">Bela Vista </v>
          </cell>
          <cell r="H1030">
            <v>36.06</v>
          </cell>
        </row>
        <row r="1031">
          <cell r="A1031">
            <v>46119</v>
          </cell>
          <cell r="C1031" t="str">
            <v xml:space="preserve">Bela Vista </v>
          </cell>
          <cell r="H1031">
            <v>34.299999999999997</v>
          </cell>
        </row>
        <row r="1032">
          <cell r="A1032">
            <v>46119</v>
          </cell>
          <cell r="C1032" t="str">
            <v xml:space="preserve">Bela Vista </v>
          </cell>
          <cell r="H1032">
            <v>32.86</v>
          </cell>
        </row>
        <row r="1033">
          <cell r="A1033">
            <v>46119</v>
          </cell>
          <cell r="C1033" t="str">
            <v xml:space="preserve">Bela Vista </v>
          </cell>
          <cell r="H1033">
            <v>56.8</v>
          </cell>
        </row>
        <row r="1034">
          <cell r="A1034">
            <v>46119</v>
          </cell>
          <cell r="C1034" t="str">
            <v xml:space="preserve">Bela Vista </v>
          </cell>
          <cell r="H1034">
            <v>31.7</v>
          </cell>
        </row>
        <row r="1035">
          <cell r="A1035">
            <v>46119</v>
          </cell>
          <cell r="C1035" t="str">
            <v xml:space="preserve">Bela Vista </v>
          </cell>
          <cell r="H1035">
            <v>37.92</v>
          </cell>
        </row>
        <row r="1036">
          <cell r="A1036">
            <v>46120</v>
          </cell>
          <cell r="C1036" t="str">
            <v xml:space="preserve">Bela Vista </v>
          </cell>
          <cell r="H1036">
            <v>33.54</v>
          </cell>
        </row>
        <row r="1037">
          <cell r="A1037">
            <v>46120</v>
          </cell>
          <cell r="C1037" t="str">
            <v xml:space="preserve">Bela Vista </v>
          </cell>
          <cell r="H1037">
            <v>32.200000000000003</v>
          </cell>
        </row>
        <row r="1038">
          <cell r="A1038">
            <v>46120</v>
          </cell>
          <cell r="C1038" t="str">
            <v xml:space="preserve">Bela Vista </v>
          </cell>
          <cell r="H1038">
            <v>32.74</v>
          </cell>
        </row>
        <row r="1039">
          <cell r="A1039">
            <v>46120</v>
          </cell>
          <cell r="C1039" t="str">
            <v xml:space="preserve">Bela Vista </v>
          </cell>
          <cell r="H1039">
            <v>34.72</v>
          </cell>
        </row>
        <row r="1040">
          <cell r="A1040">
            <v>46120</v>
          </cell>
          <cell r="C1040" t="str">
            <v xml:space="preserve">Bela Vista </v>
          </cell>
          <cell r="H1040">
            <v>33.44</v>
          </cell>
        </row>
        <row r="1041">
          <cell r="A1041">
            <v>46120</v>
          </cell>
          <cell r="C1041" t="str">
            <v xml:space="preserve">Bela Vista </v>
          </cell>
          <cell r="H1041">
            <v>31.02</v>
          </cell>
        </row>
        <row r="1042">
          <cell r="A1042">
            <v>46120</v>
          </cell>
          <cell r="C1042" t="str">
            <v xml:space="preserve">Bela Vista </v>
          </cell>
          <cell r="H1042">
            <v>34.26</v>
          </cell>
        </row>
        <row r="1043">
          <cell r="A1043">
            <v>46120</v>
          </cell>
          <cell r="C1043" t="str">
            <v xml:space="preserve">Bela Vista </v>
          </cell>
          <cell r="H1043">
            <v>36.26</v>
          </cell>
        </row>
        <row r="1044">
          <cell r="A1044">
            <v>46120</v>
          </cell>
          <cell r="C1044" t="str">
            <v xml:space="preserve">Bela Vista </v>
          </cell>
          <cell r="H1044">
            <v>37.18</v>
          </cell>
        </row>
        <row r="1045">
          <cell r="A1045">
            <v>46120</v>
          </cell>
          <cell r="C1045" t="str">
            <v xml:space="preserve">Itapaci </v>
          </cell>
          <cell r="H1045">
            <v>72.36</v>
          </cell>
        </row>
        <row r="1046">
          <cell r="A1046">
            <v>46120</v>
          </cell>
          <cell r="C1046" t="str">
            <v xml:space="preserve">Itapaci </v>
          </cell>
          <cell r="H1046">
            <v>71.88</v>
          </cell>
        </row>
        <row r="1047">
          <cell r="A1047">
            <v>46120</v>
          </cell>
          <cell r="C1047" t="str">
            <v xml:space="preserve">Itapaci </v>
          </cell>
          <cell r="H1047">
            <v>71.86</v>
          </cell>
        </row>
        <row r="1048">
          <cell r="A1048">
            <v>46121</v>
          </cell>
          <cell r="C1048" t="str">
            <v xml:space="preserve">Itapaci </v>
          </cell>
          <cell r="H1048">
            <v>34.159999999999997</v>
          </cell>
        </row>
        <row r="1049">
          <cell r="A1049">
            <v>46121</v>
          </cell>
          <cell r="C1049" t="str">
            <v xml:space="preserve">Itapaci </v>
          </cell>
          <cell r="H1049">
            <v>55.2</v>
          </cell>
        </row>
        <row r="1050">
          <cell r="A1050">
            <v>46121</v>
          </cell>
          <cell r="C1050" t="str">
            <v xml:space="preserve">Itapaci </v>
          </cell>
          <cell r="H1050">
            <v>66.28</v>
          </cell>
        </row>
        <row r="1051">
          <cell r="A1051">
            <v>46121</v>
          </cell>
          <cell r="C1051" t="str">
            <v xml:space="preserve">Itapaci </v>
          </cell>
          <cell r="H1051">
            <v>71.14</v>
          </cell>
        </row>
        <row r="1052">
          <cell r="A1052">
            <v>46121</v>
          </cell>
          <cell r="C1052" t="str">
            <v xml:space="preserve">Itapaci </v>
          </cell>
          <cell r="H1052">
            <v>71.099999999999994</v>
          </cell>
        </row>
        <row r="1053">
          <cell r="A1053">
            <v>46121</v>
          </cell>
          <cell r="C1053" t="str">
            <v xml:space="preserve">Itapaci </v>
          </cell>
          <cell r="H1053">
            <v>72.48</v>
          </cell>
        </row>
        <row r="1054">
          <cell r="A1054">
            <v>46121</v>
          </cell>
          <cell r="C1054" t="str">
            <v xml:space="preserve">Itapaci </v>
          </cell>
          <cell r="H1054">
            <v>40.22</v>
          </cell>
        </row>
        <row r="1055">
          <cell r="A1055">
            <v>46120</v>
          </cell>
          <cell r="C1055" t="str">
            <v xml:space="preserve">Bela Vista </v>
          </cell>
          <cell r="H1055">
            <v>58.44</v>
          </cell>
        </row>
        <row r="1056">
          <cell r="A1056">
            <v>46120</v>
          </cell>
          <cell r="C1056" t="str">
            <v xml:space="preserve">Bela Vista </v>
          </cell>
          <cell r="H1056">
            <v>37.08</v>
          </cell>
        </row>
        <row r="1057">
          <cell r="A1057">
            <v>46120</v>
          </cell>
          <cell r="C1057" t="str">
            <v xml:space="preserve">Bela Vista </v>
          </cell>
          <cell r="H1057">
            <v>37.24</v>
          </cell>
        </row>
        <row r="1058">
          <cell r="A1058">
            <v>46120</v>
          </cell>
          <cell r="C1058" t="str">
            <v xml:space="preserve">Bela Vista </v>
          </cell>
          <cell r="H1058">
            <v>56.94</v>
          </cell>
        </row>
        <row r="1059">
          <cell r="A1059">
            <v>46120</v>
          </cell>
          <cell r="C1059" t="str">
            <v xml:space="preserve">Bela Vista </v>
          </cell>
          <cell r="H1059">
            <v>36.9</v>
          </cell>
        </row>
        <row r="1060">
          <cell r="A1060">
            <v>46120</v>
          </cell>
          <cell r="C1060" t="str">
            <v xml:space="preserve">Bela Vista </v>
          </cell>
          <cell r="H1060">
            <v>35.380000000000003</v>
          </cell>
        </row>
        <row r="1061">
          <cell r="A1061">
            <v>46120</v>
          </cell>
          <cell r="C1061" t="str">
            <v xml:space="preserve">Bela Vista </v>
          </cell>
          <cell r="H1061">
            <v>53.9</v>
          </cell>
        </row>
        <row r="1062">
          <cell r="A1062">
            <v>46120</v>
          </cell>
          <cell r="C1062" t="str">
            <v xml:space="preserve">Bela Vista </v>
          </cell>
          <cell r="H1062">
            <v>35.340000000000003</v>
          </cell>
        </row>
        <row r="1063">
          <cell r="A1063">
            <v>46120</v>
          </cell>
          <cell r="C1063" t="str">
            <v xml:space="preserve">Bela Vista </v>
          </cell>
          <cell r="H1063">
            <v>47.5</v>
          </cell>
        </row>
        <row r="1064">
          <cell r="A1064">
            <v>46120</v>
          </cell>
          <cell r="C1064" t="str">
            <v xml:space="preserve">Bela Vista </v>
          </cell>
          <cell r="H1064">
            <v>47.82</v>
          </cell>
        </row>
        <row r="1065">
          <cell r="A1065">
            <v>46120</v>
          </cell>
          <cell r="C1065" t="str">
            <v xml:space="preserve">Bela Vista </v>
          </cell>
          <cell r="H1065">
            <v>47.72</v>
          </cell>
        </row>
        <row r="1066">
          <cell r="A1066">
            <v>46120</v>
          </cell>
          <cell r="C1066" t="str">
            <v xml:space="preserve">Bela Vista </v>
          </cell>
          <cell r="H1066">
            <v>54.02</v>
          </cell>
        </row>
        <row r="1067">
          <cell r="A1067">
            <v>46120</v>
          </cell>
          <cell r="C1067" t="str">
            <v xml:space="preserve">Bela Vista </v>
          </cell>
          <cell r="H1067">
            <v>37.92</v>
          </cell>
        </row>
        <row r="1068">
          <cell r="A1068">
            <v>46120</v>
          </cell>
          <cell r="C1068" t="str">
            <v xml:space="preserve">Bela Vista </v>
          </cell>
          <cell r="H1068">
            <v>36.479999999999997</v>
          </cell>
        </row>
        <row r="1069">
          <cell r="A1069">
            <v>46121</v>
          </cell>
          <cell r="C1069" t="str">
            <v xml:space="preserve">Bela Vista </v>
          </cell>
          <cell r="H1069">
            <v>31.66</v>
          </cell>
        </row>
        <row r="1070">
          <cell r="A1070">
            <v>46121</v>
          </cell>
          <cell r="C1070" t="str">
            <v xml:space="preserve">Bela Vista </v>
          </cell>
          <cell r="H1070">
            <v>53</v>
          </cell>
        </row>
        <row r="1071">
          <cell r="A1071">
            <v>46121</v>
          </cell>
          <cell r="C1071" t="str">
            <v xml:space="preserve">Bela Vista </v>
          </cell>
          <cell r="H1071">
            <v>37.159999999999997</v>
          </cell>
        </row>
        <row r="1072">
          <cell r="A1072">
            <v>46121</v>
          </cell>
          <cell r="C1072" t="str">
            <v xml:space="preserve">Itapaci </v>
          </cell>
          <cell r="H1072">
            <v>54.04</v>
          </cell>
        </row>
        <row r="1073">
          <cell r="A1073">
            <v>46121</v>
          </cell>
          <cell r="C1073" t="str">
            <v xml:space="preserve">Itapaci </v>
          </cell>
          <cell r="H1073">
            <v>67.12</v>
          </cell>
        </row>
        <row r="1074">
          <cell r="A1074">
            <v>46121</v>
          </cell>
          <cell r="C1074" t="str">
            <v xml:space="preserve">Itapaci </v>
          </cell>
          <cell r="H1074">
            <v>40.82</v>
          </cell>
        </row>
        <row r="1075">
          <cell r="A1075">
            <v>46123</v>
          </cell>
          <cell r="C1075" t="str">
            <v xml:space="preserve">Itapaci </v>
          </cell>
          <cell r="H1075">
            <v>70.84</v>
          </cell>
        </row>
        <row r="1076">
          <cell r="A1076">
            <v>46122</v>
          </cell>
          <cell r="C1076" t="str">
            <v xml:space="preserve">Itapaci </v>
          </cell>
          <cell r="H1076">
            <v>70.3</v>
          </cell>
        </row>
        <row r="1077">
          <cell r="A1077">
            <v>46122</v>
          </cell>
          <cell r="C1077" t="str">
            <v xml:space="preserve">Itapaci </v>
          </cell>
          <cell r="H1077">
            <v>71.260000000000005</v>
          </cell>
        </row>
        <row r="1078">
          <cell r="A1078">
            <v>46122</v>
          </cell>
          <cell r="C1078" t="str">
            <v xml:space="preserve">Itapaci </v>
          </cell>
          <cell r="H1078">
            <v>44.72</v>
          </cell>
        </row>
        <row r="1079">
          <cell r="A1079">
            <v>46122</v>
          </cell>
          <cell r="C1079" t="str">
            <v xml:space="preserve">Itapaci </v>
          </cell>
          <cell r="H1079">
            <v>54.82</v>
          </cell>
        </row>
        <row r="1080">
          <cell r="A1080">
            <v>46122</v>
          </cell>
          <cell r="C1080" t="str">
            <v xml:space="preserve">Itapaci </v>
          </cell>
          <cell r="H1080">
            <v>41.3</v>
          </cell>
        </row>
        <row r="1081">
          <cell r="A1081">
            <v>46122</v>
          </cell>
          <cell r="C1081" t="str">
            <v xml:space="preserve">Itapaci </v>
          </cell>
          <cell r="H1081">
            <v>34.26</v>
          </cell>
        </row>
        <row r="1082">
          <cell r="A1082">
            <v>46122</v>
          </cell>
          <cell r="C1082" t="str">
            <v xml:space="preserve">Itapaci </v>
          </cell>
          <cell r="H1082">
            <v>66.099999999999994</v>
          </cell>
        </row>
        <row r="1083">
          <cell r="A1083">
            <v>46121</v>
          </cell>
          <cell r="C1083" t="str">
            <v xml:space="preserve">Bela Vista </v>
          </cell>
          <cell r="H1083">
            <v>51.06</v>
          </cell>
        </row>
        <row r="1084">
          <cell r="A1084">
            <v>46121</v>
          </cell>
          <cell r="C1084" t="str">
            <v xml:space="preserve">Bela Vista </v>
          </cell>
          <cell r="H1084">
            <v>36.840000000000003</v>
          </cell>
        </row>
        <row r="1085">
          <cell r="A1085">
            <v>46121</v>
          </cell>
          <cell r="C1085" t="str">
            <v xml:space="preserve">Bela Vista </v>
          </cell>
          <cell r="H1085">
            <v>36.14</v>
          </cell>
        </row>
        <row r="1086">
          <cell r="A1086">
            <v>46121</v>
          </cell>
          <cell r="C1086" t="str">
            <v xml:space="preserve">Bela Vista </v>
          </cell>
          <cell r="H1086">
            <v>36.700000000000003</v>
          </cell>
        </row>
        <row r="1087">
          <cell r="A1087">
            <v>46121</v>
          </cell>
          <cell r="C1087" t="str">
            <v xml:space="preserve">Bela Vista </v>
          </cell>
          <cell r="H1087">
            <v>52.9</v>
          </cell>
        </row>
        <row r="1088">
          <cell r="A1088">
            <v>46121</v>
          </cell>
          <cell r="C1088" t="str">
            <v xml:space="preserve">Bela Vista </v>
          </cell>
          <cell r="H1088">
            <v>35.78</v>
          </cell>
        </row>
        <row r="1089">
          <cell r="A1089">
            <v>46121</v>
          </cell>
          <cell r="C1089" t="str">
            <v xml:space="preserve">Bela Vista </v>
          </cell>
          <cell r="H1089">
            <v>53.08</v>
          </cell>
        </row>
        <row r="1090">
          <cell r="A1090">
            <v>46121</v>
          </cell>
          <cell r="C1090" t="str">
            <v xml:space="preserve">Bela Vista </v>
          </cell>
          <cell r="H1090">
            <v>52.12</v>
          </cell>
        </row>
        <row r="1091">
          <cell r="A1091">
            <v>46121</v>
          </cell>
          <cell r="C1091" t="str">
            <v xml:space="preserve">Bela Vista </v>
          </cell>
          <cell r="H1091">
            <v>53.36</v>
          </cell>
        </row>
        <row r="1092">
          <cell r="A1092">
            <v>46121</v>
          </cell>
          <cell r="C1092" t="str">
            <v xml:space="preserve">Bela Vista </v>
          </cell>
          <cell r="H1092">
            <v>33.020000000000003</v>
          </cell>
        </row>
        <row r="1093">
          <cell r="A1093">
            <v>46121</v>
          </cell>
          <cell r="C1093" t="str">
            <v xml:space="preserve">Bela Vista </v>
          </cell>
          <cell r="H1093">
            <v>47.56</v>
          </cell>
        </row>
        <row r="1094">
          <cell r="A1094">
            <v>46121</v>
          </cell>
          <cell r="C1094" t="str">
            <v xml:space="preserve">Bela Vista </v>
          </cell>
          <cell r="H1094">
            <v>36.92</v>
          </cell>
        </row>
        <row r="1095">
          <cell r="A1095">
            <v>46123</v>
          </cell>
          <cell r="C1095" t="str">
            <v xml:space="preserve">Bela Vista </v>
          </cell>
          <cell r="H1095">
            <v>57.24</v>
          </cell>
        </row>
        <row r="1096">
          <cell r="A1096">
            <v>46122</v>
          </cell>
          <cell r="C1096" t="str">
            <v xml:space="preserve">Bela Vista </v>
          </cell>
          <cell r="H1096">
            <v>36.56</v>
          </cell>
        </row>
        <row r="1097">
          <cell r="A1097">
            <v>46122</v>
          </cell>
          <cell r="C1097" t="str">
            <v xml:space="preserve">Bela Vista </v>
          </cell>
          <cell r="H1097">
            <v>36.4</v>
          </cell>
        </row>
        <row r="1098">
          <cell r="A1098">
            <v>46122</v>
          </cell>
          <cell r="C1098" t="str">
            <v xml:space="preserve">Bela Vista </v>
          </cell>
          <cell r="H1098">
            <v>32.46</v>
          </cell>
        </row>
        <row r="1099">
          <cell r="A1099">
            <v>46122</v>
          </cell>
          <cell r="C1099" t="str">
            <v xml:space="preserve">Bela Vista </v>
          </cell>
          <cell r="H1099">
            <v>39.82</v>
          </cell>
        </row>
        <row r="1100">
          <cell r="A1100">
            <v>46122</v>
          </cell>
          <cell r="C1100" t="str">
            <v xml:space="preserve">Bela Vista </v>
          </cell>
          <cell r="H1100">
            <v>37.14</v>
          </cell>
        </row>
        <row r="1101">
          <cell r="A1101">
            <v>46122</v>
          </cell>
          <cell r="C1101" t="str">
            <v xml:space="preserve">Bela Vista </v>
          </cell>
          <cell r="H1101">
            <v>31.84</v>
          </cell>
        </row>
        <row r="1102">
          <cell r="A1102">
            <v>46123</v>
          </cell>
          <cell r="C1102" t="str">
            <v xml:space="preserve">Bela Vista </v>
          </cell>
          <cell r="H1102">
            <v>37.28</v>
          </cell>
        </row>
        <row r="1103">
          <cell r="A1103">
            <v>46123</v>
          </cell>
          <cell r="C1103" t="str">
            <v xml:space="preserve">Bela Vista </v>
          </cell>
          <cell r="H1103">
            <v>63.88</v>
          </cell>
        </row>
        <row r="1104">
          <cell r="A1104">
            <v>46122</v>
          </cell>
          <cell r="C1104" t="str">
            <v xml:space="preserve">Bela Vista </v>
          </cell>
          <cell r="H1104">
            <v>37.44</v>
          </cell>
        </row>
        <row r="1105">
          <cell r="A1105">
            <v>46123</v>
          </cell>
          <cell r="C1105" t="str">
            <v xml:space="preserve">Bela Vista </v>
          </cell>
          <cell r="H1105">
            <v>64.16</v>
          </cell>
        </row>
        <row r="1106">
          <cell r="A1106">
            <v>46122</v>
          </cell>
          <cell r="C1106" t="str">
            <v xml:space="preserve">Itapaci </v>
          </cell>
          <cell r="H1106">
            <v>69.900000000000006</v>
          </cell>
        </row>
        <row r="1107">
          <cell r="A1107">
            <v>46123</v>
          </cell>
          <cell r="C1107" t="str">
            <v xml:space="preserve">Itapaci </v>
          </cell>
          <cell r="H1107">
            <v>41.38</v>
          </cell>
        </row>
        <row r="1108">
          <cell r="A1108">
            <v>46123</v>
          </cell>
          <cell r="C1108" t="str">
            <v xml:space="preserve">Itapaci </v>
          </cell>
          <cell r="H1108">
            <v>70.459999999999994</v>
          </cell>
        </row>
        <row r="1109">
          <cell r="A1109">
            <v>46123</v>
          </cell>
          <cell r="C1109" t="str">
            <v xml:space="preserve">Itapaci </v>
          </cell>
          <cell r="H1109">
            <v>70.52</v>
          </cell>
        </row>
        <row r="1110">
          <cell r="A1110">
            <v>46123</v>
          </cell>
          <cell r="C1110" t="str">
            <v xml:space="preserve">Itapaci </v>
          </cell>
          <cell r="H1110">
            <v>70.680000000000007</v>
          </cell>
        </row>
        <row r="1111">
          <cell r="A1111">
            <v>46123</v>
          </cell>
          <cell r="C1111" t="str">
            <v xml:space="preserve">Bela Vista </v>
          </cell>
          <cell r="H1111">
            <v>32.42</v>
          </cell>
        </row>
        <row r="1112">
          <cell r="A1112">
            <v>46123</v>
          </cell>
          <cell r="C1112" t="str">
            <v xml:space="preserve">Bela Vista </v>
          </cell>
          <cell r="H1112">
            <v>37.44</v>
          </cell>
        </row>
        <row r="1113">
          <cell r="A1113">
            <v>46123</v>
          </cell>
          <cell r="C1113" t="str">
            <v xml:space="preserve">Bela Vista </v>
          </cell>
          <cell r="H1113">
            <v>37.68</v>
          </cell>
        </row>
        <row r="1114">
          <cell r="A1114">
            <v>46123</v>
          </cell>
          <cell r="C1114" t="str">
            <v xml:space="preserve">Bela Vista </v>
          </cell>
          <cell r="H1114">
            <v>36.32</v>
          </cell>
        </row>
        <row r="1115">
          <cell r="A1115">
            <v>46123</v>
          </cell>
          <cell r="C1115" t="str">
            <v xml:space="preserve">Bela Vista </v>
          </cell>
          <cell r="H1115">
            <v>52.7</v>
          </cell>
        </row>
        <row r="1116">
          <cell r="A1116">
            <v>46123</v>
          </cell>
          <cell r="C1116" t="str">
            <v xml:space="preserve">Bela Vista </v>
          </cell>
          <cell r="H1116">
            <v>51.72</v>
          </cell>
        </row>
        <row r="1117">
          <cell r="A1117">
            <v>46123</v>
          </cell>
          <cell r="C1117" t="str">
            <v xml:space="preserve">Bela Vista </v>
          </cell>
          <cell r="H1117">
            <v>35.44</v>
          </cell>
        </row>
        <row r="1118">
          <cell r="A1118">
            <v>46123</v>
          </cell>
          <cell r="C1118" t="str">
            <v xml:space="preserve">Bela Vista </v>
          </cell>
          <cell r="H1118">
            <v>50.92</v>
          </cell>
        </row>
        <row r="1119">
          <cell r="A1119">
            <v>46123</v>
          </cell>
          <cell r="C1119" t="str">
            <v xml:space="preserve">Bela Vista </v>
          </cell>
          <cell r="H1119">
            <v>54.62</v>
          </cell>
        </row>
        <row r="1120">
          <cell r="A1120">
            <v>46123</v>
          </cell>
          <cell r="C1120" t="str">
            <v xml:space="preserve">Bela Vista </v>
          </cell>
          <cell r="H1120">
            <v>54.14</v>
          </cell>
        </row>
        <row r="1121">
          <cell r="A1121">
            <v>46123</v>
          </cell>
          <cell r="C1121" t="str">
            <v xml:space="preserve">Bela Vista </v>
          </cell>
          <cell r="H1121">
            <v>53.1</v>
          </cell>
        </row>
        <row r="1122">
          <cell r="A1122">
            <v>46123</v>
          </cell>
          <cell r="C1122" t="str">
            <v xml:space="preserve">Bela Vista </v>
          </cell>
          <cell r="H1122">
            <v>31.8</v>
          </cell>
        </row>
        <row r="1123">
          <cell r="A1123">
            <v>46123</v>
          </cell>
          <cell r="C1123" t="str">
            <v xml:space="preserve">Bela Vista </v>
          </cell>
          <cell r="H1123">
            <v>37.700000000000003</v>
          </cell>
        </row>
        <row r="1124">
          <cell r="A1124">
            <v>46123</v>
          </cell>
          <cell r="C1124" t="str">
            <v xml:space="preserve">Bela Vista </v>
          </cell>
          <cell r="H1124">
            <v>39.200000000000003</v>
          </cell>
        </row>
        <row r="1125">
          <cell r="A1125">
            <v>46123</v>
          </cell>
          <cell r="C1125" t="str">
            <v xml:space="preserve">Bela Vista </v>
          </cell>
          <cell r="H1125">
            <v>36.520000000000003</v>
          </cell>
        </row>
        <row r="1126">
          <cell r="A1126">
            <v>46123</v>
          </cell>
          <cell r="C1126" t="str">
            <v xml:space="preserve">Bela Vista </v>
          </cell>
          <cell r="H1126">
            <v>55.16</v>
          </cell>
        </row>
        <row r="1127">
          <cell r="A1127">
            <v>46123</v>
          </cell>
          <cell r="C1127" t="str">
            <v xml:space="preserve">Bela Vista </v>
          </cell>
          <cell r="H1127">
            <v>34.119999999999997</v>
          </cell>
        </row>
        <row r="1128">
          <cell r="A1128">
            <v>46123</v>
          </cell>
          <cell r="C1128" t="str">
            <v xml:space="preserve">Bela Vista </v>
          </cell>
          <cell r="H1128">
            <v>54.12</v>
          </cell>
        </row>
        <row r="1129">
          <cell r="A1129">
            <v>46125</v>
          </cell>
          <cell r="C1129" t="str">
            <v xml:space="preserve">Bela Vista </v>
          </cell>
          <cell r="H1129">
            <v>54.4</v>
          </cell>
        </row>
        <row r="1130">
          <cell r="A1130">
            <v>46123</v>
          </cell>
          <cell r="C1130" t="str">
            <v xml:space="preserve">Itapaci </v>
          </cell>
          <cell r="H1130">
            <v>34.9</v>
          </cell>
        </row>
        <row r="1131">
          <cell r="A1131">
            <v>46125</v>
          </cell>
          <cell r="C1131" t="str">
            <v xml:space="preserve">Itapaci </v>
          </cell>
          <cell r="H1131">
            <v>33.82</v>
          </cell>
        </row>
        <row r="1132">
          <cell r="A1132">
            <v>46123</v>
          </cell>
          <cell r="C1132" t="str">
            <v xml:space="preserve">Itapaci </v>
          </cell>
          <cell r="H1132">
            <v>70.62</v>
          </cell>
        </row>
        <row r="1133">
          <cell r="A1133">
            <v>46125</v>
          </cell>
          <cell r="C1133" t="str">
            <v xml:space="preserve">Itapaci </v>
          </cell>
          <cell r="H1133">
            <v>69.64</v>
          </cell>
        </row>
        <row r="1134">
          <cell r="A1134">
            <v>46125</v>
          </cell>
          <cell r="C1134" t="str">
            <v xml:space="preserve">Itapaci </v>
          </cell>
          <cell r="H1134">
            <v>34.64</v>
          </cell>
        </row>
        <row r="1135">
          <cell r="A1135">
            <v>46125</v>
          </cell>
          <cell r="C1135" t="str">
            <v xml:space="preserve">Itapaci </v>
          </cell>
          <cell r="H1135">
            <v>35.04</v>
          </cell>
        </row>
        <row r="1136">
          <cell r="A1136">
            <v>46125</v>
          </cell>
          <cell r="C1136" t="str">
            <v xml:space="preserve">Itapaci </v>
          </cell>
          <cell r="H1136">
            <v>55.14</v>
          </cell>
        </row>
        <row r="1137">
          <cell r="A1137">
            <v>46125</v>
          </cell>
          <cell r="C1137" t="str">
            <v xml:space="preserve">Bela Vista </v>
          </cell>
          <cell r="H1137">
            <v>58.52</v>
          </cell>
        </row>
        <row r="1138">
          <cell r="A1138">
            <v>46125</v>
          </cell>
          <cell r="C1138" t="str">
            <v xml:space="preserve">Bela Vista </v>
          </cell>
          <cell r="H1138">
            <v>32.340000000000003</v>
          </cell>
        </row>
        <row r="1139">
          <cell r="A1139">
            <v>46125</v>
          </cell>
          <cell r="C1139" t="str">
            <v xml:space="preserve">Bela Vista </v>
          </cell>
          <cell r="H1139">
            <v>37.78</v>
          </cell>
        </row>
        <row r="1140">
          <cell r="A1140">
            <v>46125</v>
          </cell>
          <cell r="C1140" t="str">
            <v xml:space="preserve">Bela Vista </v>
          </cell>
          <cell r="H1140">
            <v>37.42</v>
          </cell>
        </row>
        <row r="1141">
          <cell r="A1141">
            <v>46126</v>
          </cell>
          <cell r="C1141" t="str">
            <v xml:space="preserve">Bela Vista </v>
          </cell>
          <cell r="H1141">
            <v>34.06</v>
          </cell>
        </row>
        <row r="1142">
          <cell r="A1142">
            <v>46125</v>
          </cell>
          <cell r="C1142" t="str">
            <v xml:space="preserve">Bela Vista </v>
          </cell>
          <cell r="H1142">
            <v>38.08</v>
          </cell>
        </row>
        <row r="1143">
          <cell r="A1143">
            <v>46125</v>
          </cell>
          <cell r="C1143" t="str">
            <v xml:space="preserve">Bela Vista </v>
          </cell>
          <cell r="H1143">
            <v>35.340000000000003</v>
          </cell>
        </row>
        <row r="1144">
          <cell r="A1144">
            <v>46125</v>
          </cell>
          <cell r="C1144" t="str">
            <v xml:space="preserve">Bela Vista </v>
          </cell>
          <cell r="H1144">
            <v>36.619999999999997</v>
          </cell>
        </row>
        <row r="1145">
          <cell r="A1145">
            <v>46125</v>
          </cell>
          <cell r="C1145" t="str">
            <v xml:space="preserve">Bela Vista </v>
          </cell>
          <cell r="H1145">
            <v>38.08</v>
          </cell>
        </row>
        <row r="1146">
          <cell r="A1146">
            <v>46125</v>
          </cell>
          <cell r="C1146" t="str">
            <v xml:space="preserve">Bela Vista </v>
          </cell>
          <cell r="H1146">
            <v>31.46</v>
          </cell>
        </row>
        <row r="1147">
          <cell r="A1147">
            <v>46125</v>
          </cell>
          <cell r="C1147" t="str">
            <v xml:space="preserve">Bela Vista </v>
          </cell>
          <cell r="H1147">
            <v>38.32</v>
          </cell>
        </row>
        <row r="1148">
          <cell r="A1148">
            <v>46125</v>
          </cell>
          <cell r="C1148" t="str">
            <v xml:space="preserve">Bela Vista </v>
          </cell>
          <cell r="H1148">
            <v>57.42</v>
          </cell>
        </row>
        <row r="1149">
          <cell r="A1149">
            <v>46125</v>
          </cell>
          <cell r="C1149" t="str">
            <v xml:space="preserve">Itapaci </v>
          </cell>
          <cell r="H1149">
            <v>69.06</v>
          </cell>
        </row>
        <row r="1150">
          <cell r="A1150">
            <v>46125</v>
          </cell>
          <cell r="C1150" t="str">
            <v xml:space="preserve">Itapaci </v>
          </cell>
          <cell r="H1150">
            <v>65.72</v>
          </cell>
        </row>
        <row r="1151">
          <cell r="A1151">
            <v>46125</v>
          </cell>
          <cell r="C1151" t="str">
            <v xml:space="preserve">Itapaci </v>
          </cell>
          <cell r="H1151">
            <v>69.08</v>
          </cell>
        </row>
        <row r="1152">
          <cell r="A1152">
            <v>46125</v>
          </cell>
          <cell r="C1152" t="str">
            <v xml:space="preserve">Itapaci </v>
          </cell>
          <cell r="H1152">
            <v>53.92</v>
          </cell>
        </row>
        <row r="1153">
          <cell r="A1153">
            <v>46126</v>
          </cell>
          <cell r="C1153" t="str">
            <v xml:space="preserve">Itapaci </v>
          </cell>
          <cell r="H1153">
            <v>70.92</v>
          </cell>
        </row>
        <row r="1154">
          <cell r="A1154">
            <v>46126</v>
          </cell>
          <cell r="C1154" t="str">
            <v xml:space="preserve">Itapaci </v>
          </cell>
          <cell r="H1154">
            <v>70.42</v>
          </cell>
        </row>
        <row r="1155">
          <cell r="A1155">
            <v>46126</v>
          </cell>
          <cell r="C1155" t="str">
            <v xml:space="preserve">Itapaci </v>
          </cell>
          <cell r="H1155">
            <v>70.22</v>
          </cell>
        </row>
        <row r="1156">
          <cell r="A1156">
            <v>46126</v>
          </cell>
          <cell r="C1156" t="str">
            <v xml:space="preserve">Itapaci </v>
          </cell>
          <cell r="H1156">
            <v>66.62</v>
          </cell>
        </row>
        <row r="1157">
          <cell r="A1157">
            <v>46126</v>
          </cell>
          <cell r="C1157" t="str">
            <v xml:space="preserve">Bela Vista </v>
          </cell>
          <cell r="H1157">
            <v>36.96</v>
          </cell>
        </row>
        <row r="1158">
          <cell r="A1158">
            <v>46126</v>
          </cell>
          <cell r="C1158" t="str">
            <v xml:space="preserve">Bela Vista </v>
          </cell>
          <cell r="H1158">
            <v>38.86</v>
          </cell>
        </row>
        <row r="1159">
          <cell r="A1159">
            <v>46126</v>
          </cell>
          <cell r="C1159" t="str">
            <v xml:space="preserve">Bela Vista </v>
          </cell>
          <cell r="H1159">
            <v>32.06</v>
          </cell>
        </row>
        <row r="1160">
          <cell r="A1160">
            <v>46126</v>
          </cell>
          <cell r="C1160" t="str">
            <v xml:space="preserve">Bela Vista </v>
          </cell>
          <cell r="H1160">
            <v>36.42</v>
          </cell>
        </row>
        <row r="1161">
          <cell r="A1161">
            <v>46126</v>
          </cell>
          <cell r="C1161" t="str">
            <v xml:space="preserve">Bela Vista </v>
          </cell>
          <cell r="H1161">
            <v>34.68</v>
          </cell>
        </row>
        <row r="1162">
          <cell r="A1162">
            <v>46126</v>
          </cell>
          <cell r="C1162" t="str">
            <v xml:space="preserve">Bela Vista </v>
          </cell>
          <cell r="H1162">
            <v>33.82</v>
          </cell>
        </row>
        <row r="1163">
          <cell r="A1163">
            <v>46126</v>
          </cell>
          <cell r="C1163" t="str">
            <v xml:space="preserve">Bela Vista </v>
          </cell>
          <cell r="H1163">
            <v>38.619999999999997</v>
          </cell>
        </row>
        <row r="1164">
          <cell r="A1164">
            <v>46127</v>
          </cell>
          <cell r="C1164" t="str">
            <v xml:space="preserve">Bela Vista </v>
          </cell>
          <cell r="H1164">
            <v>31.4</v>
          </cell>
        </row>
        <row r="1165">
          <cell r="A1165">
            <v>46127</v>
          </cell>
          <cell r="C1165" t="str">
            <v xml:space="preserve">Bela Vista </v>
          </cell>
          <cell r="H1165">
            <v>34.86</v>
          </cell>
        </row>
        <row r="1166">
          <cell r="A1166">
            <v>46126</v>
          </cell>
          <cell r="C1166" t="str">
            <v xml:space="preserve">Bela Vista </v>
          </cell>
          <cell r="H1166">
            <v>46.7</v>
          </cell>
        </row>
        <row r="1167">
          <cell r="A1167">
            <v>46127</v>
          </cell>
          <cell r="C1167" t="str">
            <v xml:space="preserve">Bela Vista </v>
          </cell>
          <cell r="H1167">
            <v>38.92</v>
          </cell>
        </row>
        <row r="1168">
          <cell r="A1168">
            <v>46126</v>
          </cell>
          <cell r="C1168" t="str">
            <v xml:space="preserve">Bela Vista </v>
          </cell>
          <cell r="H1168">
            <v>32.28</v>
          </cell>
        </row>
        <row r="1169">
          <cell r="A1169">
            <v>46127</v>
          </cell>
          <cell r="C1169" t="str">
            <v xml:space="preserve">Bela Vista </v>
          </cell>
          <cell r="H1169">
            <v>34.72</v>
          </cell>
        </row>
        <row r="1170">
          <cell r="A1170">
            <v>46127</v>
          </cell>
          <cell r="C1170" t="str">
            <v xml:space="preserve">Bela Vista </v>
          </cell>
          <cell r="H1170">
            <v>28.7</v>
          </cell>
        </row>
        <row r="1171">
          <cell r="A1171">
            <v>46127</v>
          </cell>
          <cell r="C1171" t="str">
            <v xml:space="preserve">Bela Vista </v>
          </cell>
          <cell r="H1171">
            <v>31</v>
          </cell>
        </row>
        <row r="1172">
          <cell r="A1172">
            <v>46127</v>
          </cell>
          <cell r="C1172" t="str">
            <v xml:space="preserve">Bela Vista </v>
          </cell>
          <cell r="H1172">
            <v>36.200000000000003</v>
          </cell>
        </row>
        <row r="1173">
          <cell r="A1173">
            <v>46127</v>
          </cell>
          <cell r="C1173" t="str">
            <v xml:space="preserve">Bela Vista </v>
          </cell>
          <cell r="H1173">
            <v>36.479999999999997</v>
          </cell>
        </row>
        <row r="1174">
          <cell r="A1174">
            <v>46127</v>
          </cell>
          <cell r="C1174" t="str">
            <v xml:space="preserve">Bela Vista </v>
          </cell>
          <cell r="H1174">
            <v>40.4</v>
          </cell>
        </row>
        <row r="1175">
          <cell r="A1175">
            <v>46127</v>
          </cell>
          <cell r="C1175" t="str">
            <v xml:space="preserve">Bela Vista </v>
          </cell>
          <cell r="H1175">
            <v>31.74</v>
          </cell>
        </row>
        <row r="1176">
          <cell r="A1176">
            <v>46126</v>
          </cell>
          <cell r="C1176" t="str">
            <v xml:space="preserve">Itapaci </v>
          </cell>
          <cell r="H1176">
            <v>55.16</v>
          </cell>
        </row>
        <row r="1177">
          <cell r="A1177">
            <v>46126</v>
          </cell>
          <cell r="C1177" t="str">
            <v xml:space="preserve">Itapaci </v>
          </cell>
          <cell r="H1177">
            <v>72.14</v>
          </cell>
        </row>
        <row r="1178">
          <cell r="A1178">
            <v>46126</v>
          </cell>
          <cell r="C1178" t="str">
            <v xml:space="preserve">Itapaci </v>
          </cell>
          <cell r="H1178">
            <v>71.88</v>
          </cell>
        </row>
        <row r="1179">
          <cell r="A1179">
            <v>46126</v>
          </cell>
          <cell r="C1179" t="str">
            <v xml:space="preserve">Itapaci </v>
          </cell>
          <cell r="H1179">
            <v>61.9</v>
          </cell>
        </row>
        <row r="1180">
          <cell r="A1180">
            <v>46126</v>
          </cell>
          <cell r="C1180" t="str">
            <v xml:space="preserve">Itapaci </v>
          </cell>
          <cell r="H1180">
            <v>72.08</v>
          </cell>
        </row>
        <row r="1181">
          <cell r="A1181">
            <v>46127</v>
          </cell>
          <cell r="C1181" t="str">
            <v xml:space="preserve">Bela Vista </v>
          </cell>
          <cell r="H1181">
            <v>35.28</v>
          </cell>
        </row>
        <row r="1182">
          <cell r="A1182">
            <v>46127</v>
          </cell>
          <cell r="C1182" t="str">
            <v xml:space="preserve">Bela Vista </v>
          </cell>
          <cell r="H1182">
            <v>30.26</v>
          </cell>
        </row>
        <row r="1183">
          <cell r="A1183">
            <v>46127</v>
          </cell>
          <cell r="C1183" t="str">
            <v xml:space="preserve">Bela Vista </v>
          </cell>
          <cell r="H1183">
            <v>35.200000000000003</v>
          </cell>
        </row>
        <row r="1184">
          <cell r="A1184">
            <v>46127</v>
          </cell>
          <cell r="C1184" t="str">
            <v xml:space="preserve">Bela Vista </v>
          </cell>
          <cell r="H1184">
            <v>31.58</v>
          </cell>
        </row>
        <row r="1185">
          <cell r="A1185">
            <v>46127</v>
          </cell>
          <cell r="C1185" t="str">
            <v xml:space="preserve">Bela Vista </v>
          </cell>
          <cell r="H1185">
            <v>32.42</v>
          </cell>
        </row>
        <row r="1186">
          <cell r="A1186">
            <v>46127</v>
          </cell>
          <cell r="C1186" t="str">
            <v xml:space="preserve">Bela Vista </v>
          </cell>
          <cell r="H1186">
            <v>32.56</v>
          </cell>
        </row>
        <row r="1187">
          <cell r="A1187">
            <v>46127</v>
          </cell>
          <cell r="C1187" t="str">
            <v xml:space="preserve">Bela Vista </v>
          </cell>
          <cell r="H1187">
            <v>34.479999999999997</v>
          </cell>
        </row>
        <row r="1188">
          <cell r="A1188">
            <v>46127</v>
          </cell>
          <cell r="C1188" t="str">
            <v xml:space="preserve">Bela Vista </v>
          </cell>
          <cell r="H1188">
            <v>32.82</v>
          </cell>
        </row>
        <row r="1189">
          <cell r="A1189">
            <v>46127</v>
          </cell>
          <cell r="C1189" t="str">
            <v xml:space="preserve">Bela Vista </v>
          </cell>
          <cell r="H1189">
            <v>31.5</v>
          </cell>
        </row>
        <row r="1190">
          <cell r="A1190">
            <v>46127</v>
          </cell>
          <cell r="C1190" t="str">
            <v xml:space="preserve">Bela Vista </v>
          </cell>
          <cell r="H1190">
            <v>51.7</v>
          </cell>
        </row>
        <row r="1191">
          <cell r="A1191">
            <v>46127</v>
          </cell>
          <cell r="C1191" t="str">
            <v xml:space="preserve">Bela Vista </v>
          </cell>
          <cell r="H1191">
            <v>44.14</v>
          </cell>
        </row>
        <row r="1192">
          <cell r="A1192">
            <v>46127</v>
          </cell>
          <cell r="C1192" t="str">
            <v xml:space="preserve">Bela Vista </v>
          </cell>
          <cell r="H1192">
            <v>33.68</v>
          </cell>
        </row>
        <row r="1193">
          <cell r="A1193">
            <v>46127</v>
          </cell>
          <cell r="C1193" t="str">
            <v xml:space="preserve">Bela Vista </v>
          </cell>
          <cell r="H1193">
            <v>29.24</v>
          </cell>
        </row>
        <row r="1194">
          <cell r="A1194">
            <v>46128</v>
          </cell>
          <cell r="C1194" t="str">
            <v xml:space="preserve">Bela Vista </v>
          </cell>
          <cell r="H1194">
            <v>32.24</v>
          </cell>
        </row>
        <row r="1195">
          <cell r="A1195">
            <v>46127</v>
          </cell>
          <cell r="C1195" t="str">
            <v xml:space="preserve">Bela Vista </v>
          </cell>
          <cell r="H1195">
            <v>35.54</v>
          </cell>
        </row>
        <row r="1196">
          <cell r="A1196">
            <v>46127</v>
          </cell>
          <cell r="C1196" t="str">
            <v xml:space="preserve">Bela Vista </v>
          </cell>
          <cell r="H1196">
            <v>30.7</v>
          </cell>
        </row>
        <row r="1197">
          <cell r="A1197">
            <v>46128</v>
          </cell>
          <cell r="C1197" t="str">
            <v xml:space="preserve">Bela Vista </v>
          </cell>
          <cell r="H1197">
            <v>36.1</v>
          </cell>
        </row>
        <row r="1198">
          <cell r="A1198">
            <v>46128</v>
          </cell>
          <cell r="C1198" t="str">
            <v xml:space="preserve">Bela Vista </v>
          </cell>
          <cell r="H1198">
            <v>32.299999999999997</v>
          </cell>
        </row>
        <row r="1199">
          <cell r="A1199">
            <v>46128</v>
          </cell>
          <cell r="C1199" t="str">
            <v xml:space="preserve">Bela Vista </v>
          </cell>
          <cell r="H1199">
            <v>33.799999999999997</v>
          </cell>
        </row>
        <row r="1200">
          <cell r="A1200">
            <v>46128</v>
          </cell>
          <cell r="C1200" t="str">
            <v xml:space="preserve">Bela Vista </v>
          </cell>
          <cell r="H1200">
            <v>31.54</v>
          </cell>
        </row>
        <row r="1201">
          <cell r="A1201">
            <v>46128</v>
          </cell>
          <cell r="C1201" t="str">
            <v xml:space="preserve">Bela Vista </v>
          </cell>
          <cell r="H1201">
            <v>40.14</v>
          </cell>
        </row>
        <row r="1202">
          <cell r="A1202">
            <v>46128</v>
          </cell>
          <cell r="C1202" t="str">
            <v xml:space="preserve">Bela Vista </v>
          </cell>
          <cell r="H1202">
            <v>32.5</v>
          </cell>
        </row>
        <row r="1203">
          <cell r="A1203">
            <v>46127</v>
          </cell>
          <cell r="C1203" t="str">
            <v xml:space="preserve">Itapaci </v>
          </cell>
          <cell r="H1203">
            <v>72.12</v>
          </cell>
        </row>
        <row r="1204">
          <cell r="A1204">
            <v>46127</v>
          </cell>
          <cell r="C1204" t="str">
            <v xml:space="preserve">Itapaci </v>
          </cell>
          <cell r="H1204">
            <v>67.72</v>
          </cell>
        </row>
        <row r="1205">
          <cell r="A1205">
            <v>46127</v>
          </cell>
          <cell r="C1205" t="str">
            <v xml:space="preserve">Itapaci </v>
          </cell>
          <cell r="H1205">
            <v>72.36</v>
          </cell>
        </row>
        <row r="1206">
          <cell r="A1206">
            <v>46127</v>
          </cell>
          <cell r="C1206" t="str">
            <v xml:space="preserve">Itapaci </v>
          </cell>
          <cell r="H1206">
            <v>70.64</v>
          </cell>
        </row>
        <row r="1207">
          <cell r="A1207">
            <v>46127</v>
          </cell>
          <cell r="C1207" t="str">
            <v xml:space="preserve">Itapaci </v>
          </cell>
          <cell r="H1207">
            <v>44.46</v>
          </cell>
        </row>
        <row r="1208">
          <cell r="A1208">
            <v>46128</v>
          </cell>
          <cell r="C1208" t="str">
            <v xml:space="preserve">Itapaci </v>
          </cell>
          <cell r="H1208">
            <v>72.760000000000005</v>
          </cell>
        </row>
        <row r="1209">
          <cell r="A1209">
            <v>46128</v>
          </cell>
          <cell r="C1209" t="str">
            <v xml:space="preserve">Itapaci </v>
          </cell>
          <cell r="H1209">
            <v>72.28</v>
          </cell>
        </row>
        <row r="1210">
          <cell r="A1210">
            <v>46128</v>
          </cell>
          <cell r="C1210" t="str">
            <v xml:space="preserve">Itapaci </v>
          </cell>
          <cell r="H1210">
            <v>67.8</v>
          </cell>
        </row>
        <row r="1211">
          <cell r="A1211">
            <v>46128</v>
          </cell>
          <cell r="C1211" t="str">
            <v xml:space="preserve">Itapaci </v>
          </cell>
          <cell r="H1211">
            <v>72.239999999999995</v>
          </cell>
        </row>
        <row r="1212">
          <cell r="A1212">
            <v>46128</v>
          </cell>
          <cell r="C1212" t="str">
            <v xml:space="preserve">Itapaci </v>
          </cell>
          <cell r="H1212">
            <v>46.7</v>
          </cell>
        </row>
        <row r="1213">
          <cell r="A1213">
            <v>46128</v>
          </cell>
          <cell r="C1213" t="str">
            <v xml:space="preserve">Bela Vista </v>
          </cell>
          <cell r="H1213">
            <v>28.84</v>
          </cell>
        </row>
        <row r="1214">
          <cell r="A1214">
            <v>46128</v>
          </cell>
          <cell r="C1214" t="str">
            <v xml:space="preserve">Bela Vista </v>
          </cell>
          <cell r="H1214">
            <v>29.42</v>
          </cell>
        </row>
        <row r="1215">
          <cell r="A1215">
            <v>46128</v>
          </cell>
          <cell r="C1215" t="str">
            <v xml:space="preserve">Bela Vista </v>
          </cell>
          <cell r="H1215">
            <v>34.6</v>
          </cell>
        </row>
        <row r="1216">
          <cell r="A1216">
            <v>46128</v>
          </cell>
          <cell r="C1216" t="str">
            <v xml:space="preserve">Bela Vista </v>
          </cell>
          <cell r="H1216">
            <v>31.58</v>
          </cell>
        </row>
        <row r="1217">
          <cell r="A1217">
            <v>46128</v>
          </cell>
          <cell r="C1217" t="str">
            <v xml:space="preserve">Bela Vista </v>
          </cell>
          <cell r="H1217">
            <v>32.18</v>
          </cell>
        </row>
        <row r="1218">
          <cell r="A1218">
            <v>46128</v>
          </cell>
          <cell r="C1218" t="str">
            <v xml:space="preserve">Bela Vista </v>
          </cell>
          <cell r="H1218">
            <v>34.159999999999997</v>
          </cell>
        </row>
        <row r="1219">
          <cell r="A1219">
            <v>46128</v>
          </cell>
          <cell r="C1219" t="str">
            <v xml:space="preserve">Bela Vista </v>
          </cell>
          <cell r="H1219">
            <v>32.68</v>
          </cell>
        </row>
        <row r="1220">
          <cell r="A1220">
            <v>46128</v>
          </cell>
          <cell r="C1220" t="str">
            <v xml:space="preserve">Bela Vista </v>
          </cell>
          <cell r="H1220">
            <v>39.82</v>
          </cell>
        </row>
        <row r="1221">
          <cell r="A1221">
            <v>46128</v>
          </cell>
          <cell r="C1221" t="str">
            <v xml:space="preserve">Bela Vista </v>
          </cell>
          <cell r="H1221">
            <v>33.380000000000003</v>
          </cell>
        </row>
        <row r="1222">
          <cell r="A1222">
            <v>46128</v>
          </cell>
          <cell r="C1222" t="str">
            <v xml:space="preserve">Bela Vista </v>
          </cell>
          <cell r="H1222">
            <v>30.54</v>
          </cell>
        </row>
        <row r="1223">
          <cell r="A1223">
            <v>46128</v>
          </cell>
          <cell r="C1223" t="str">
            <v xml:space="preserve">Bela Vista </v>
          </cell>
          <cell r="H1223">
            <v>37.159999999999997</v>
          </cell>
        </row>
        <row r="1224">
          <cell r="A1224">
            <v>46134</v>
          </cell>
          <cell r="C1224" t="str">
            <v xml:space="preserve">Bela Vista </v>
          </cell>
          <cell r="H1224">
            <v>30.36</v>
          </cell>
        </row>
        <row r="1225">
          <cell r="A1225">
            <v>46129</v>
          </cell>
          <cell r="C1225" t="str">
            <v xml:space="preserve">Bela Vista </v>
          </cell>
          <cell r="H1225">
            <v>33.6</v>
          </cell>
        </row>
        <row r="1226">
          <cell r="A1226">
            <v>46129</v>
          </cell>
          <cell r="C1226" t="str">
            <v xml:space="preserve">Bela Vista </v>
          </cell>
          <cell r="H1226">
            <v>39.86</v>
          </cell>
        </row>
        <row r="1227">
          <cell r="A1227">
            <v>46128</v>
          </cell>
          <cell r="C1227" t="str">
            <v xml:space="preserve">Itapaci </v>
          </cell>
          <cell r="H1227">
            <v>56.34</v>
          </cell>
        </row>
        <row r="1228">
          <cell r="A1228">
            <v>46128</v>
          </cell>
          <cell r="C1228" t="str">
            <v xml:space="preserve">Itapaci </v>
          </cell>
          <cell r="H1228">
            <v>45.8</v>
          </cell>
        </row>
        <row r="1229">
          <cell r="A1229">
            <v>46128</v>
          </cell>
          <cell r="C1229" t="str">
            <v xml:space="preserve">Itapaci </v>
          </cell>
          <cell r="H1229">
            <v>46.56</v>
          </cell>
        </row>
        <row r="1230">
          <cell r="A1230">
            <v>46128</v>
          </cell>
          <cell r="C1230" t="str">
            <v xml:space="preserve">Itapaci </v>
          </cell>
          <cell r="H1230">
            <v>40.68</v>
          </cell>
        </row>
        <row r="1231">
          <cell r="A1231">
            <v>46128</v>
          </cell>
          <cell r="C1231" t="str">
            <v xml:space="preserve">Itapaci </v>
          </cell>
          <cell r="H1231">
            <v>71.099999999999994</v>
          </cell>
        </row>
        <row r="1232">
          <cell r="A1232">
            <v>46129</v>
          </cell>
          <cell r="C1232" t="str">
            <v xml:space="preserve">Itapaci </v>
          </cell>
          <cell r="H1232">
            <v>70.48</v>
          </cell>
        </row>
        <row r="1233">
          <cell r="A1233">
            <v>46129</v>
          </cell>
          <cell r="C1233" t="str">
            <v xml:space="preserve">Itapaci </v>
          </cell>
          <cell r="H1233">
            <v>66.72</v>
          </cell>
        </row>
        <row r="1234">
          <cell r="A1234">
            <v>46129</v>
          </cell>
          <cell r="C1234" t="str">
            <v xml:space="preserve">Itapaci </v>
          </cell>
          <cell r="H1234">
            <v>55.92</v>
          </cell>
        </row>
        <row r="1235">
          <cell r="A1235">
            <v>46129</v>
          </cell>
          <cell r="C1235" t="str">
            <v xml:space="preserve">Itapaci </v>
          </cell>
          <cell r="H1235">
            <v>70.56</v>
          </cell>
        </row>
        <row r="1236">
          <cell r="A1236">
            <v>46129</v>
          </cell>
          <cell r="C1236" t="str">
            <v xml:space="preserve">Itapaci </v>
          </cell>
          <cell r="H1236">
            <v>45.46</v>
          </cell>
        </row>
        <row r="1237">
          <cell r="A1237">
            <v>46129</v>
          </cell>
          <cell r="C1237" t="str">
            <v xml:space="preserve">Bela Vista </v>
          </cell>
          <cell r="H1237">
            <v>33.020000000000003</v>
          </cell>
        </row>
        <row r="1238">
          <cell r="A1238">
            <v>46129</v>
          </cell>
          <cell r="C1238" t="str">
            <v xml:space="preserve">Bela Vista </v>
          </cell>
          <cell r="H1238">
            <v>32.24</v>
          </cell>
        </row>
        <row r="1239">
          <cell r="A1239">
            <v>46129</v>
          </cell>
          <cell r="C1239" t="str">
            <v xml:space="preserve">Bela Vista </v>
          </cell>
          <cell r="H1239">
            <v>30.76</v>
          </cell>
        </row>
        <row r="1240">
          <cell r="A1240">
            <v>46134</v>
          </cell>
          <cell r="C1240" t="str">
            <v xml:space="preserve">Bela Vista </v>
          </cell>
          <cell r="H1240">
            <v>35.82</v>
          </cell>
        </row>
        <row r="1241">
          <cell r="A1241">
            <v>46134</v>
          </cell>
          <cell r="C1241" t="str">
            <v xml:space="preserve">Bela Vista </v>
          </cell>
          <cell r="H1241">
            <v>30.32</v>
          </cell>
        </row>
        <row r="1242">
          <cell r="A1242">
            <v>46129</v>
          </cell>
          <cell r="C1242" t="str">
            <v xml:space="preserve">Bela Vista </v>
          </cell>
          <cell r="H1242">
            <v>37.72</v>
          </cell>
        </row>
        <row r="1243">
          <cell r="A1243">
            <v>46129</v>
          </cell>
          <cell r="C1243" t="str">
            <v xml:space="preserve">Bela Vista </v>
          </cell>
          <cell r="H1243">
            <v>33.08</v>
          </cell>
        </row>
        <row r="1244">
          <cell r="A1244">
            <v>46129</v>
          </cell>
          <cell r="C1244" t="str">
            <v xml:space="preserve">Bela Vista </v>
          </cell>
          <cell r="H1244">
            <v>32.479999999999997</v>
          </cell>
        </row>
        <row r="1245">
          <cell r="A1245">
            <v>46129</v>
          </cell>
          <cell r="C1245" t="str">
            <v xml:space="preserve">Itapaci </v>
          </cell>
          <cell r="H1245">
            <v>40.72</v>
          </cell>
        </row>
        <row r="1246">
          <cell r="A1246">
            <v>46129</v>
          </cell>
          <cell r="C1246" t="str">
            <v xml:space="preserve">Itapaci </v>
          </cell>
          <cell r="H1246">
            <v>71.3</v>
          </cell>
        </row>
        <row r="1247">
          <cell r="A1247">
            <v>46129</v>
          </cell>
          <cell r="C1247" t="str">
            <v xml:space="preserve">Itapaci </v>
          </cell>
          <cell r="H1247">
            <v>44.16</v>
          </cell>
        </row>
        <row r="1248">
          <cell r="A1248">
            <v>46129</v>
          </cell>
          <cell r="C1248" t="str">
            <v xml:space="preserve">Itapaci </v>
          </cell>
          <cell r="H1248">
            <v>55.34</v>
          </cell>
        </row>
        <row r="1249">
          <cell r="A1249">
            <v>46134</v>
          </cell>
          <cell r="C1249" t="str">
            <v xml:space="preserve">Itapaci </v>
          </cell>
          <cell r="H1249">
            <v>64.3</v>
          </cell>
        </row>
        <row r="1250">
          <cell r="A1250">
            <v>46129</v>
          </cell>
          <cell r="C1250" t="str">
            <v xml:space="preserve">Itapaci </v>
          </cell>
          <cell r="H1250">
            <v>68.819999999999993</v>
          </cell>
        </row>
        <row r="1251">
          <cell r="A1251">
            <v>46129</v>
          </cell>
          <cell r="C1251" t="str">
            <v xml:space="preserve">Itapaci </v>
          </cell>
          <cell r="H1251">
            <v>41.92</v>
          </cell>
        </row>
        <row r="1252">
          <cell r="A1252">
            <v>46129</v>
          </cell>
          <cell r="C1252" t="str">
            <v xml:space="preserve">Bela Vista </v>
          </cell>
          <cell r="H1252">
            <v>36.159999999999997</v>
          </cell>
        </row>
        <row r="1253">
          <cell r="A1253">
            <v>46134</v>
          </cell>
          <cell r="C1253" t="str">
            <v xml:space="preserve">Bela Vista </v>
          </cell>
          <cell r="H1253">
            <v>33.5</v>
          </cell>
        </row>
        <row r="1254">
          <cell r="A1254">
            <v>46134</v>
          </cell>
          <cell r="C1254" t="str">
            <v xml:space="preserve">Bela Vista </v>
          </cell>
          <cell r="H1254">
            <v>31.28</v>
          </cell>
        </row>
        <row r="1255">
          <cell r="A1255">
            <v>46134</v>
          </cell>
          <cell r="C1255" t="str">
            <v xml:space="preserve">Bela Vista </v>
          </cell>
          <cell r="H1255">
            <v>33.18</v>
          </cell>
        </row>
        <row r="1256">
          <cell r="A1256">
            <v>46134</v>
          </cell>
          <cell r="C1256" t="str">
            <v xml:space="preserve">Bela Vista </v>
          </cell>
          <cell r="H1256">
            <v>32.32</v>
          </cell>
        </row>
        <row r="1257">
          <cell r="A1257">
            <v>46134</v>
          </cell>
          <cell r="C1257" t="str">
            <v xml:space="preserve">Bela Vista </v>
          </cell>
          <cell r="H1257">
            <v>33.78</v>
          </cell>
        </row>
        <row r="1258">
          <cell r="A1258">
            <v>46134</v>
          </cell>
          <cell r="C1258" t="str">
            <v xml:space="preserve">Bela Vista </v>
          </cell>
          <cell r="H1258">
            <v>33.380000000000003</v>
          </cell>
        </row>
        <row r="1259">
          <cell r="A1259">
            <v>46134</v>
          </cell>
          <cell r="C1259" t="str">
            <v xml:space="preserve">Bela Vista </v>
          </cell>
          <cell r="H1259">
            <v>32.5</v>
          </cell>
        </row>
        <row r="1260">
          <cell r="A1260">
            <v>46134</v>
          </cell>
          <cell r="C1260" t="str">
            <v xml:space="preserve">Bela Vista </v>
          </cell>
          <cell r="H1260">
            <v>31.76</v>
          </cell>
        </row>
        <row r="1261">
          <cell r="A1261">
            <v>46134</v>
          </cell>
          <cell r="C1261" t="str">
            <v xml:space="preserve">Bela Vista </v>
          </cell>
          <cell r="H1261">
            <v>33.619999999999997</v>
          </cell>
        </row>
        <row r="1262">
          <cell r="A1262">
            <v>46134</v>
          </cell>
          <cell r="C1262" t="str">
            <v xml:space="preserve">Bela Vista </v>
          </cell>
          <cell r="H1262">
            <v>34.159999999999997</v>
          </cell>
        </row>
        <row r="1263">
          <cell r="A1263">
            <v>46134</v>
          </cell>
          <cell r="C1263" t="str">
            <v xml:space="preserve">Bela Vista </v>
          </cell>
          <cell r="H1263">
            <v>36.44</v>
          </cell>
        </row>
        <row r="1264">
          <cell r="A1264">
            <v>46134</v>
          </cell>
          <cell r="C1264" t="str">
            <v xml:space="preserve">Bela Vista </v>
          </cell>
          <cell r="H1264">
            <v>31.64</v>
          </cell>
        </row>
        <row r="1265">
          <cell r="A1265">
            <v>46134</v>
          </cell>
          <cell r="C1265" t="str">
            <v xml:space="preserve">Bela Vista </v>
          </cell>
          <cell r="H1265">
            <v>31.74</v>
          </cell>
        </row>
        <row r="1266">
          <cell r="A1266">
            <v>46134</v>
          </cell>
          <cell r="C1266" t="str">
            <v xml:space="preserve">Bela Vista </v>
          </cell>
          <cell r="H1266">
            <v>31.8</v>
          </cell>
        </row>
        <row r="1267">
          <cell r="A1267">
            <v>46134</v>
          </cell>
          <cell r="C1267" t="str">
            <v xml:space="preserve">Bela Vista </v>
          </cell>
          <cell r="H1267">
            <v>34.1</v>
          </cell>
        </row>
        <row r="1268">
          <cell r="A1268">
            <v>46135</v>
          </cell>
          <cell r="C1268" t="str">
            <v xml:space="preserve">Bela Vista </v>
          </cell>
          <cell r="H1268">
            <v>34.32</v>
          </cell>
        </row>
        <row r="1269">
          <cell r="A1269">
            <v>46135</v>
          </cell>
          <cell r="C1269" t="str">
            <v xml:space="preserve">Bela Vista </v>
          </cell>
          <cell r="H1269">
            <v>33.72</v>
          </cell>
        </row>
        <row r="1270">
          <cell r="A1270">
            <v>46135</v>
          </cell>
          <cell r="C1270" t="str">
            <v xml:space="preserve">Bela Vista </v>
          </cell>
          <cell r="H1270">
            <v>35.14</v>
          </cell>
        </row>
        <row r="1271">
          <cell r="A1271">
            <v>46134</v>
          </cell>
          <cell r="C1271" t="str">
            <v xml:space="preserve">Itapaci </v>
          </cell>
          <cell r="H1271">
            <v>45.24</v>
          </cell>
        </row>
        <row r="1272">
          <cell r="A1272">
            <v>46134</v>
          </cell>
          <cell r="C1272" t="str">
            <v xml:space="preserve">Itapaci </v>
          </cell>
          <cell r="H1272">
            <v>46.2</v>
          </cell>
        </row>
        <row r="1273">
          <cell r="A1273">
            <v>46134</v>
          </cell>
          <cell r="C1273" t="str">
            <v xml:space="preserve">Itapaci </v>
          </cell>
          <cell r="H1273">
            <v>51.42</v>
          </cell>
        </row>
        <row r="1274">
          <cell r="A1274">
            <v>46134</v>
          </cell>
          <cell r="C1274" t="str">
            <v xml:space="preserve">Itapaci </v>
          </cell>
          <cell r="H1274">
            <v>49.74</v>
          </cell>
        </row>
        <row r="1275">
          <cell r="A1275">
            <v>46134</v>
          </cell>
          <cell r="C1275" t="str">
            <v xml:space="preserve">Itapaci </v>
          </cell>
          <cell r="H1275">
            <v>56.94</v>
          </cell>
        </row>
        <row r="1276">
          <cell r="A1276">
            <v>46134</v>
          </cell>
          <cell r="C1276" t="str">
            <v xml:space="preserve">Itapaci </v>
          </cell>
          <cell r="H1276">
            <v>41.9</v>
          </cell>
        </row>
        <row r="1277">
          <cell r="A1277">
            <v>46134</v>
          </cell>
          <cell r="C1277" t="str">
            <v xml:space="preserve">Itapaci </v>
          </cell>
          <cell r="H1277">
            <v>47.5</v>
          </cell>
        </row>
        <row r="1278">
          <cell r="A1278">
            <v>46134</v>
          </cell>
          <cell r="C1278" t="str">
            <v xml:space="preserve">Itapaci </v>
          </cell>
          <cell r="H1278">
            <v>71</v>
          </cell>
        </row>
        <row r="1279">
          <cell r="A1279">
            <v>46134</v>
          </cell>
          <cell r="C1279" t="str">
            <v xml:space="preserve">Itapaci </v>
          </cell>
          <cell r="H1279">
            <v>45.9</v>
          </cell>
        </row>
        <row r="1280">
          <cell r="A1280">
            <v>46134</v>
          </cell>
          <cell r="C1280" t="str">
            <v xml:space="preserve">Itapaci </v>
          </cell>
          <cell r="H1280">
            <v>71.459999999999994</v>
          </cell>
        </row>
        <row r="1281">
          <cell r="A1281">
            <v>46134</v>
          </cell>
          <cell r="C1281" t="str">
            <v xml:space="preserve">Itapaci </v>
          </cell>
          <cell r="H1281">
            <v>72.459999999999994</v>
          </cell>
        </row>
        <row r="1282">
          <cell r="A1282">
            <v>46134</v>
          </cell>
          <cell r="C1282" t="str">
            <v xml:space="preserve">Itapaci </v>
          </cell>
          <cell r="H1282">
            <v>53.64</v>
          </cell>
        </row>
        <row r="1283">
          <cell r="A1283">
            <v>46134</v>
          </cell>
          <cell r="C1283" t="str">
            <v xml:space="preserve">Itapaci </v>
          </cell>
          <cell r="H1283">
            <v>44.98</v>
          </cell>
        </row>
        <row r="1284">
          <cell r="A1284">
            <v>46134</v>
          </cell>
          <cell r="C1284" t="str">
            <v xml:space="preserve">Itapaci </v>
          </cell>
          <cell r="H1284">
            <v>44.12</v>
          </cell>
        </row>
        <row r="1285">
          <cell r="A1285">
            <v>46134</v>
          </cell>
          <cell r="C1285" t="str">
            <v xml:space="preserve">Itapaci </v>
          </cell>
          <cell r="H1285">
            <v>54.32</v>
          </cell>
        </row>
        <row r="1286">
          <cell r="A1286">
            <v>46135</v>
          </cell>
          <cell r="C1286" t="str">
            <v xml:space="preserve">Itapaci </v>
          </cell>
          <cell r="H1286">
            <v>49.4</v>
          </cell>
        </row>
        <row r="1287">
          <cell r="A1287">
            <v>46134</v>
          </cell>
          <cell r="C1287" t="str">
            <v xml:space="preserve">Itapaci </v>
          </cell>
          <cell r="H1287">
            <v>70.62</v>
          </cell>
        </row>
        <row r="1288">
          <cell r="A1288">
            <v>46134</v>
          </cell>
          <cell r="C1288" t="str">
            <v xml:space="preserve">Itapaci </v>
          </cell>
          <cell r="H1288">
            <v>40.06</v>
          </cell>
        </row>
        <row r="1289">
          <cell r="A1289">
            <v>46134</v>
          </cell>
          <cell r="C1289" t="str">
            <v xml:space="preserve">Itapaci </v>
          </cell>
          <cell r="H1289">
            <v>71.16</v>
          </cell>
        </row>
        <row r="1290">
          <cell r="A1290">
            <v>46135</v>
          </cell>
          <cell r="C1290" t="str">
            <v xml:space="preserve">Itapaci </v>
          </cell>
          <cell r="H1290">
            <v>70.42</v>
          </cell>
        </row>
        <row r="1291">
          <cell r="A1291">
            <v>46135</v>
          </cell>
          <cell r="C1291" t="str">
            <v xml:space="preserve">Itapaci </v>
          </cell>
          <cell r="H1291">
            <v>66.42</v>
          </cell>
        </row>
        <row r="1292">
          <cell r="A1292">
            <v>46135</v>
          </cell>
          <cell r="C1292" t="str">
            <v xml:space="preserve">Itapaci </v>
          </cell>
          <cell r="H1292">
            <v>45.42</v>
          </cell>
        </row>
        <row r="1293">
          <cell r="A1293">
            <v>46135</v>
          </cell>
          <cell r="C1293" t="str">
            <v xml:space="preserve">Itapaci </v>
          </cell>
          <cell r="H1293">
            <v>48.32</v>
          </cell>
        </row>
        <row r="1294">
          <cell r="A1294">
            <v>46135</v>
          </cell>
          <cell r="C1294" t="str">
            <v xml:space="preserve">Itapaci </v>
          </cell>
          <cell r="H1294">
            <v>44.62</v>
          </cell>
        </row>
        <row r="1295">
          <cell r="A1295">
            <v>46135</v>
          </cell>
          <cell r="C1295" t="str">
            <v xml:space="preserve">Itapaci </v>
          </cell>
          <cell r="H1295">
            <v>44.74</v>
          </cell>
        </row>
        <row r="1296">
          <cell r="A1296">
            <v>46135</v>
          </cell>
          <cell r="C1296" t="str">
            <v xml:space="preserve">Itapaci </v>
          </cell>
          <cell r="H1296">
            <v>45.82</v>
          </cell>
        </row>
        <row r="1297">
          <cell r="A1297">
            <v>46135</v>
          </cell>
          <cell r="C1297" t="str">
            <v xml:space="preserve">Bela Vista </v>
          </cell>
          <cell r="H1297">
            <v>31.86</v>
          </cell>
        </row>
        <row r="1298">
          <cell r="A1298">
            <v>46135</v>
          </cell>
          <cell r="C1298" t="str">
            <v xml:space="preserve">Bela Vista </v>
          </cell>
          <cell r="H1298">
            <v>31.24</v>
          </cell>
        </row>
        <row r="1299">
          <cell r="A1299">
            <v>46135</v>
          </cell>
          <cell r="C1299" t="str">
            <v xml:space="preserve">Bela Vista </v>
          </cell>
          <cell r="H1299">
            <v>36.14</v>
          </cell>
        </row>
        <row r="1300">
          <cell r="A1300">
            <v>46135</v>
          </cell>
          <cell r="C1300" t="str">
            <v xml:space="preserve">Bela Vista </v>
          </cell>
          <cell r="H1300">
            <v>34.28</v>
          </cell>
        </row>
        <row r="1301">
          <cell r="A1301">
            <v>46135</v>
          </cell>
          <cell r="C1301" t="str">
            <v xml:space="preserve">Bela Vista </v>
          </cell>
          <cell r="H1301">
            <v>34.1</v>
          </cell>
        </row>
        <row r="1302">
          <cell r="A1302">
            <v>46135</v>
          </cell>
          <cell r="C1302" t="str">
            <v xml:space="preserve">Bela Vista </v>
          </cell>
          <cell r="H1302">
            <v>34.26</v>
          </cell>
        </row>
        <row r="1303">
          <cell r="A1303">
            <v>46135</v>
          </cell>
          <cell r="C1303" t="str">
            <v xml:space="preserve">Bela Vista </v>
          </cell>
          <cell r="H1303">
            <v>33.26</v>
          </cell>
        </row>
        <row r="1304">
          <cell r="A1304">
            <v>46136</v>
          </cell>
          <cell r="C1304" t="str">
            <v xml:space="preserve">Bela Vista </v>
          </cell>
          <cell r="H1304">
            <v>31.72</v>
          </cell>
        </row>
        <row r="1305">
          <cell r="A1305">
            <v>46136</v>
          </cell>
          <cell r="C1305" t="str">
            <v xml:space="preserve">Bela Vista </v>
          </cell>
          <cell r="H1305">
            <v>35.119999999999997</v>
          </cell>
        </row>
        <row r="1306">
          <cell r="A1306">
            <v>46136</v>
          </cell>
          <cell r="C1306" t="str">
            <v xml:space="preserve">Bela Vista </v>
          </cell>
          <cell r="H1306">
            <v>36.5</v>
          </cell>
        </row>
        <row r="1307">
          <cell r="A1307">
            <v>46136</v>
          </cell>
          <cell r="C1307" t="str">
            <v xml:space="preserve">Bela Vista </v>
          </cell>
          <cell r="H1307">
            <v>31.66</v>
          </cell>
        </row>
        <row r="1308">
          <cell r="A1308">
            <v>46135</v>
          </cell>
          <cell r="C1308" t="str">
            <v xml:space="preserve">Itapaci </v>
          </cell>
          <cell r="H1308">
            <v>48.3</v>
          </cell>
        </row>
        <row r="1309">
          <cell r="A1309">
            <v>46135</v>
          </cell>
          <cell r="C1309" t="str">
            <v xml:space="preserve">Itapaci </v>
          </cell>
          <cell r="H1309">
            <v>56.8</v>
          </cell>
        </row>
        <row r="1310">
          <cell r="A1310">
            <v>46135</v>
          </cell>
          <cell r="C1310" t="str">
            <v xml:space="preserve">Itapaci </v>
          </cell>
          <cell r="H1310">
            <v>73.42</v>
          </cell>
        </row>
        <row r="1311">
          <cell r="A1311">
            <v>46135</v>
          </cell>
          <cell r="C1311" t="str">
            <v xml:space="preserve">Itapaci </v>
          </cell>
          <cell r="H1311">
            <v>73.319999999999993</v>
          </cell>
        </row>
        <row r="1312">
          <cell r="A1312">
            <v>46135</v>
          </cell>
          <cell r="C1312" t="str">
            <v xml:space="preserve">Itapaci </v>
          </cell>
          <cell r="H1312">
            <v>42.48</v>
          </cell>
        </row>
        <row r="1313">
          <cell r="A1313">
            <v>46135</v>
          </cell>
          <cell r="C1313" t="str">
            <v xml:space="preserve">Itapaci </v>
          </cell>
          <cell r="H1313">
            <v>31.8</v>
          </cell>
        </row>
        <row r="1314">
          <cell r="A1314">
            <v>46135</v>
          </cell>
          <cell r="C1314" t="str">
            <v xml:space="preserve">Itapaci </v>
          </cell>
          <cell r="H1314">
            <v>34.22</v>
          </cell>
        </row>
        <row r="1315">
          <cell r="A1315">
            <v>46135</v>
          </cell>
          <cell r="C1315" t="str">
            <v xml:space="preserve">Itapaci </v>
          </cell>
          <cell r="H1315">
            <v>34.76</v>
          </cell>
        </row>
        <row r="1316">
          <cell r="A1316">
            <v>46135</v>
          </cell>
          <cell r="C1316" t="str">
            <v xml:space="preserve">Itapaci </v>
          </cell>
          <cell r="H1316">
            <v>34.24</v>
          </cell>
        </row>
        <row r="1317">
          <cell r="A1317">
            <v>46135</v>
          </cell>
          <cell r="C1317" t="str">
            <v xml:space="preserve">Itapaci </v>
          </cell>
          <cell r="H1317">
            <v>33.36</v>
          </cell>
        </row>
        <row r="1318">
          <cell r="A1318">
            <v>46135</v>
          </cell>
          <cell r="C1318" t="str">
            <v xml:space="preserve">Itapaci </v>
          </cell>
          <cell r="H1318">
            <v>44.8</v>
          </cell>
        </row>
        <row r="1319">
          <cell r="A1319">
            <v>46135</v>
          </cell>
          <cell r="C1319" t="str">
            <v xml:space="preserve">Itapaci </v>
          </cell>
          <cell r="H1319">
            <v>33.22</v>
          </cell>
        </row>
        <row r="1320">
          <cell r="A1320">
            <v>46135</v>
          </cell>
          <cell r="C1320" t="str">
            <v xml:space="preserve">Itapaci </v>
          </cell>
          <cell r="H1320">
            <v>35.04</v>
          </cell>
        </row>
        <row r="1321">
          <cell r="A1321">
            <v>46135</v>
          </cell>
          <cell r="C1321" t="str">
            <v xml:space="preserve">Itapaci </v>
          </cell>
          <cell r="H1321">
            <v>46.44</v>
          </cell>
        </row>
        <row r="1322">
          <cell r="A1322">
            <v>46135</v>
          </cell>
          <cell r="C1322" t="str">
            <v xml:space="preserve">Itapaci </v>
          </cell>
          <cell r="H1322">
            <v>68.64</v>
          </cell>
        </row>
        <row r="1323">
          <cell r="A1323">
            <v>46135</v>
          </cell>
          <cell r="C1323" t="str">
            <v xml:space="preserve">Itapaci </v>
          </cell>
          <cell r="H1323">
            <v>45.46</v>
          </cell>
        </row>
        <row r="1324">
          <cell r="A1324">
            <v>46136</v>
          </cell>
          <cell r="C1324" t="str">
            <v xml:space="preserve">Itapaci </v>
          </cell>
          <cell r="H1324">
            <v>48.5</v>
          </cell>
        </row>
        <row r="1325">
          <cell r="A1325">
            <v>46136</v>
          </cell>
          <cell r="C1325" t="str">
            <v xml:space="preserve">Itapaci </v>
          </cell>
          <cell r="H1325">
            <v>48.18</v>
          </cell>
        </row>
        <row r="1326">
          <cell r="A1326">
            <v>46136</v>
          </cell>
          <cell r="C1326" t="str">
            <v xml:space="preserve">Itapaci </v>
          </cell>
          <cell r="H1326">
            <v>75.14</v>
          </cell>
        </row>
        <row r="1327">
          <cell r="A1327">
            <v>46136</v>
          </cell>
          <cell r="C1327" t="str">
            <v xml:space="preserve">Itapaci </v>
          </cell>
          <cell r="H1327">
            <v>40.04</v>
          </cell>
        </row>
        <row r="1328">
          <cell r="A1328">
            <v>46136</v>
          </cell>
          <cell r="C1328" t="str">
            <v xml:space="preserve">Itapaci </v>
          </cell>
          <cell r="H1328">
            <v>51.2</v>
          </cell>
        </row>
        <row r="1329">
          <cell r="A1329">
            <v>46136</v>
          </cell>
          <cell r="C1329" t="str">
            <v xml:space="preserve">Itapaci </v>
          </cell>
          <cell r="H1329">
            <v>34.76</v>
          </cell>
        </row>
        <row r="1330">
          <cell r="A1330">
            <v>46136</v>
          </cell>
          <cell r="C1330" t="str">
            <v xml:space="preserve">Itapaci </v>
          </cell>
          <cell r="H1330">
            <v>33.72</v>
          </cell>
        </row>
        <row r="1331">
          <cell r="A1331">
            <v>46136</v>
          </cell>
          <cell r="C1331" t="str">
            <v xml:space="preserve">Itapaci </v>
          </cell>
          <cell r="H1331">
            <v>45.1</v>
          </cell>
        </row>
        <row r="1332">
          <cell r="A1332">
            <v>46136</v>
          </cell>
          <cell r="C1332" t="str">
            <v xml:space="preserve">Itapaci </v>
          </cell>
          <cell r="H1332">
            <v>73.239999999999995</v>
          </cell>
        </row>
        <row r="1333">
          <cell r="A1333">
            <v>46136</v>
          </cell>
          <cell r="C1333" t="str">
            <v xml:space="preserve">Itapaci </v>
          </cell>
          <cell r="H1333">
            <v>45</v>
          </cell>
        </row>
        <row r="1334">
          <cell r="A1334">
            <v>46136</v>
          </cell>
          <cell r="C1334" t="str">
            <v xml:space="preserve">Itapaci </v>
          </cell>
          <cell r="H1334">
            <v>72.98</v>
          </cell>
        </row>
        <row r="1335">
          <cell r="A1335">
            <v>46136</v>
          </cell>
          <cell r="C1335" t="str">
            <v xml:space="preserve">Itapaci </v>
          </cell>
          <cell r="H1335">
            <v>46.26</v>
          </cell>
        </row>
        <row r="1336">
          <cell r="A1336">
            <v>46136</v>
          </cell>
          <cell r="C1336" t="str">
            <v xml:space="preserve">Itapaci </v>
          </cell>
          <cell r="H1336">
            <v>40.76</v>
          </cell>
        </row>
        <row r="1337">
          <cell r="A1337">
            <v>46136</v>
          </cell>
          <cell r="C1337" t="str">
            <v xml:space="preserve">Itapaci </v>
          </cell>
          <cell r="H1337">
            <v>71.56</v>
          </cell>
        </row>
        <row r="1338">
          <cell r="A1338">
            <v>46136</v>
          </cell>
          <cell r="C1338" t="str">
            <v xml:space="preserve">Itapaci </v>
          </cell>
          <cell r="H1338">
            <v>55.38</v>
          </cell>
        </row>
        <row r="1339">
          <cell r="A1339">
            <v>46136</v>
          </cell>
          <cell r="C1339" t="str">
            <v xml:space="preserve">Itapaci </v>
          </cell>
          <cell r="H1339">
            <v>50.56</v>
          </cell>
        </row>
        <row r="1340">
          <cell r="A1340">
            <v>46136</v>
          </cell>
          <cell r="C1340" t="str">
            <v xml:space="preserve">Itapaci </v>
          </cell>
          <cell r="H1340">
            <v>49.84</v>
          </cell>
        </row>
        <row r="1341">
          <cell r="A1341">
            <v>46136</v>
          </cell>
          <cell r="C1341" t="str">
            <v xml:space="preserve">Itapaci </v>
          </cell>
          <cell r="H1341">
            <v>32.72</v>
          </cell>
        </row>
        <row r="1342">
          <cell r="A1342">
            <v>46136</v>
          </cell>
          <cell r="C1342" t="str">
            <v xml:space="preserve">Itapaci </v>
          </cell>
          <cell r="H1342">
            <v>33.92</v>
          </cell>
        </row>
        <row r="1343">
          <cell r="A1343">
            <v>46136</v>
          </cell>
          <cell r="C1343" t="str">
            <v xml:space="preserve">Itapaci </v>
          </cell>
          <cell r="H1343">
            <v>70.540000000000006</v>
          </cell>
        </row>
        <row r="1344">
          <cell r="A1344">
            <v>46136</v>
          </cell>
          <cell r="C1344" t="str">
            <v xml:space="preserve">Itapaci </v>
          </cell>
          <cell r="H1344">
            <v>41.04</v>
          </cell>
        </row>
        <row r="1345">
          <cell r="A1345">
            <v>46136</v>
          </cell>
          <cell r="C1345" t="str">
            <v xml:space="preserve">Itapaci </v>
          </cell>
          <cell r="H1345">
            <v>46.5</v>
          </cell>
        </row>
        <row r="1346">
          <cell r="A1346">
            <v>46136</v>
          </cell>
          <cell r="C1346" t="str">
            <v xml:space="preserve">Itapaci </v>
          </cell>
          <cell r="H1346">
            <v>71.94</v>
          </cell>
        </row>
        <row r="1347">
          <cell r="A1347">
            <v>46136</v>
          </cell>
          <cell r="C1347" t="str">
            <v xml:space="preserve">Itapaci </v>
          </cell>
          <cell r="H1347">
            <v>70.58</v>
          </cell>
        </row>
        <row r="1348">
          <cell r="A1348">
            <v>46137</v>
          </cell>
          <cell r="C1348" t="str">
            <v xml:space="preserve">Itapaci </v>
          </cell>
          <cell r="H1348">
            <v>55.52</v>
          </cell>
        </row>
        <row r="1349">
          <cell r="A1349">
            <v>46137</v>
          </cell>
          <cell r="C1349" t="str">
            <v xml:space="preserve">Itapaci </v>
          </cell>
          <cell r="H1349">
            <v>47.84</v>
          </cell>
        </row>
        <row r="1350">
          <cell r="A1350">
            <v>46137</v>
          </cell>
          <cell r="C1350" t="str">
            <v xml:space="preserve">Itapaci </v>
          </cell>
          <cell r="H1350">
            <v>49.04</v>
          </cell>
        </row>
        <row r="1351">
          <cell r="A1351">
            <v>46137</v>
          </cell>
          <cell r="C1351" t="str">
            <v xml:space="preserve">Itapaci </v>
          </cell>
          <cell r="H1351">
            <v>33.04</v>
          </cell>
        </row>
        <row r="1352">
          <cell r="A1352">
            <v>46137</v>
          </cell>
          <cell r="C1352" t="str">
            <v xml:space="preserve">Itapaci </v>
          </cell>
          <cell r="H1352">
            <v>35.26</v>
          </cell>
        </row>
        <row r="1353">
          <cell r="A1353">
            <v>46137</v>
          </cell>
          <cell r="C1353" t="str">
            <v xml:space="preserve">Itapaci </v>
          </cell>
          <cell r="H1353">
            <v>35.24</v>
          </cell>
        </row>
        <row r="1354">
          <cell r="A1354">
            <v>46136</v>
          </cell>
          <cell r="C1354" t="str">
            <v xml:space="preserve">Bela Vista </v>
          </cell>
          <cell r="H1354">
            <v>31.74</v>
          </cell>
        </row>
        <row r="1355">
          <cell r="A1355">
            <v>46136</v>
          </cell>
          <cell r="C1355" t="str">
            <v xml:space="preserve">Bela Vista </v>
          </cell>
          <cell r="H1355">
            <v>31.28</v>
          </cell>
        </row>
        <row r="1356">
          <cell r="A1356">
            <v>46136</v>
          </cell>
          <cell r="C1356" t="str">
            <v xml:space="preserve">Bela Vista </v>
          </cell>
          <cell r="H1356">
            <v>35.18</v>
          </cell>
        </row>
        <row r="1357">
          <cell r="A1357">
            <v>46136</v>
          </cell>
          <cell r="C1357" t="str">
            <v xml:space="preserve">Bela Vista </v>
          </cell>
          <cell r="H1357">
            <v>35.14</v>
          </cell>
        </row>
        <row r="1358">
          <cell r="A1358">
            <v>46136</v>
          </cell>
          <cell r="C1358" t="str">
            <v xml:space="preserve">Bela Vista </v>
          </cell>
          <cell r="H1358">
            <v>36.32</v>
          </cell>
        </row>
        <row r="1359">
          <cell r="A1359">
            <v>46136</v>
          </cell>
          <cell r="C1359" t="str">
            <v xml:space="preserve">Bela Vista </v>
          </cell>
          <cell r="H1359">
            <v>34.479999999999997</v>
          </cell>
        </row>
        <row r="1360">
          <cell r="A1360">
            <v>46136</v>
          </cell>
          <cell r="C1360" t="str">
            <v xml:space="preserve">Bela Vista </v>
          </cell>
          <cell r="H1360">
            <v>32.44</v>
          </cell>
        </row>
        <row r="1361">
          <cell r="A1361">
            <v>46136</v>
          </cell>
          <cell r="C1361" t="str">
            <v xml:space="preserve">Bela Vista </v>
          </cell>
          <cell r="H1361">
            <v>32.78</v>
          </cell>
        </row>
        <row r="1362">
          <cell r="A1362">
            <v>46136</v>
          </cell>
          <cell r="C1362" t="str">
            <v xml:space="preserve">Bela Vista </v>
          </cell>
          <cell r="H1362">
            <v>35.22</v>
          </cell>
        </row>
        <row r="1363">
          <cell r="A1363">
            <v>46136</v>
          </cell>
          <cell r="C1363" t="str">
            <v xml:space="preserve">Bela Vista </v>
          </cell>
          <cell r="H1363">
            <v>35.119999999999997</v>
          </cell>
        </row>
        <row r="1364">
          <cell r="A1364">
            <v>46137</v>
          </cell>
          <cell r="C1364" t="str">
            <v xml:space="preserve">Bela Vista </v>
          </cell>
          <cell r="H1364">
            <v>31.3</v>
          </cell>
        </row>
        <row r="1365">
          <cell r="A1365">
            <v>46137</v>
          </cell>
          <cell r="C1365" t="str">
            <v xml:space="preserve">Bela Vista </v>
          </cell>
          <cell r="H1365">
            <v>34.380000000000003</v>
          </cell>
        </row>
        <row r="1366">
          <cell r="A1366">
            <v>46137</v>
          </cell>
          <cell r="C1366" t="str">
            <v xml:space="preserve">Bela Vista </v>
          </cell>
          <cell r="H1366">
            <v>35.380000000000003</v>
          </cell>
        </row>
        <row r="1367">
          <cell r="A1367">
            <v>46137</v>
          </cell>
          <cell r="C1367" t="str">
            <v xml:space="preserve">Bela Vista </v>
          </cell>
          <cell r="H1367">
            <v>30.86</v>
          </cell>
        </row>
        <row r="1368">
          <cell r="A1368">
            <v>46140</v>
          </cell>
          <cell r="C1368" t="str">
            <v xml:space="preserve">Bela Vista </v>
          </cell>
          <cell r="H1368">
            <v>29.98</v>
          </cell>
        </row>
        <row r="1369">
          <cell r="A1369">
            <v>46137</v>
          </cell>
          <cell r="C1369" t="str">
            <v xml:space="preserve">Itapaci </v>
          </cell>
          <cell r="H1369">
            <v>49.3</v>
          </cell>
        </row>
        <row r="1370">
          <cell r="A1370">
            <v>46137</v>
          </cell>
          <cell r="C1370" t="str">
            <v xml:space="preserve">Itapaci </v>
          </cell>
          <cell r="H1370">
            <v>70.739999999999995</v>
          </cell>
        </row>
        <row r="1371">
          <cell r="A1371">
            <v>46137</v>
          </cell>
          <cell r="C1371" t="str">
            <v xml:space="preserve">Itapaci </v>
          </cell>
          <cell r="H1371">
            <v>41.38</v>
          </cell>
        </row>
        <row r="1372">
          <cell r="A1372">
            <v>46137</v>
          </cell>
          <cell r="C1372" t="str">
            <v xml:space="preserve">Itapaci </v>
          </cell>
          <cell r="H1372">
            <v>46.26</v>
          </cell>
        </row>
        <row r="1373">
          <cell r="A1373">
            <v>46139</v>
          </cell>
          <cell r="C1373" t="str">
            <v xml:space="preserve">Itapaci </v>
          </cell>
          <cell r="H1373">
            <v>55.66</v>
          </cell>
        </row>
        <row r="1374">
          <cell r="A1374">
            <v>46137</v>
          </cell>
          <cell r="C1374" t="str">
            <v xml:space="preserve">Itapaci </v>
          </cell>
          <cell r="H1374">
            <v>36.22</v>
          </cell>
        </row>
        <row r="1375">
          <cell r="A1375">
            <v>46137</v>
          </cell>
          <cell r="C1375" t="str">
            <v xml:space="preserve">Itapaci </v>
          </cell>
          <cell r="H1375">
            <v>49.42</v>
          </cell>
        </row>
        <row r="1376">
          <cell r="A1376">
            <v>46137</v>
          </cell>
          <cell r="C1376" t="str">
            <v xml:space="preserve">Itapaci </v>
          </cell>
          <cell r="H1376">
            <v>46.3</v>
          </cell>
        </row>
        <row r="1377">
          <cell r="A1377">
            <v>46137</v>
          </cell>
          <cell r="C1377" t="str">
            <v xml:space="preserve">Bela Vista </v>
          </cell>
          <cell r="H1377">
            <v>31.82</v>
          </cell>
        </row>
        <row r="1378">
          <cell r="A1378">
            <v>46137</v>
          </cell>
          <cell r="C1378" t="str">
            <v xml:space="preserve">Bela Vista </v>
          </cell>
          <cell r="H1378">
            <v>31.46</v>
          </cell>
        </row>
        <row r="1379">
          <cell r="A1379">
            <v>46137</v>
          </cell>
          <cell r="C1379" t="str">
            <v xml:space="preserve">Bela Vista </v>
          </cell>
          <cell r="H1379">
            <v>33.479999999999997</v>
          </cell>
        </row>
        <row r="1380">
          <cell r="A1380">
            <v>46137</v>
          </cell>
          <cell r="C1380" t="str">
            <v xml:space="preserve">Bela Vista </v>
          </cell>
          <cell r="H1380">
            <v>35.020000000000003</v>
          </cell>
        </row>
        <row r="1381">
          <cell r="A1381">
            <v>46137</v>
          </cell>
          <cell r="C1381" t="str">
            <v xml:space="preserve">Bela Vista </v>
          </cell>
          <cell r="H1381">
            <v>34.380000000000003</v>
          </cell>
        </row>
        <row r="1382">
          <cell r="A1382">
            <v>46137</v>
          </cell>
          <cell r="C1382" t="str">
            <v xml:space="preserve">Bela Vista </v>
          </cell>
          <cell r="H1382">
            <v>32.06</v>
          </cell>
        </row>
        <row r="1383">
          <cell r="A1383">
            <v>46137</v>
          </cell>
          <cell r="C1383" t="str">
            <v xml:space="preserve">Bela Vista </v>
          </cell>
          <cell r="H1383">
            <v>33.74</v>
          </cell>
        </row>
        <row r="1384">
          <cell r="A1384">
            <v>46137</v>
          </cell>
          <cell r="C1384" t="str">
            <v xml:space="preserve">Bela Vista </v>
          </cell>
          <cell r="H1384">
            <v>34.92</v>
          </cell>
        </row>
        <row r="1385">
          <cell r="A1385">
            <v>46137</v>
          </cell>
          <cell r="C1385" t="str">
            <v xml:space="preserve">Bela Vista </v>
          </cell>
          <cell r="H1385">
            <v>33.68</v>
          </cell>
        </row>
        <row r="1386">
          <cell r="A1386">
            <v>46137</v>
          </cell>
          <cell r="C1386" t="str">
            <v xml:space="preserve">Bela Vista </v>
          </cell>
          <cell r="H1386">
            <v>34.08</v>
          </cell>
        </row>
        <row r="1387">
          <cell r="A1387">
            <v>46137</v>
          </cell>
          <cell r="C1387" t="str">
            <v xml:space="preserve">Bela Vista </v>
          </cell>
          <cell r="H1387">
            <v>32.56</v>
          </cell>
        </row>
        <row r="1388">
          <cell r="A1388">
            <v>46139</v>
          </cell>
          <cell r="C1388" t="str">
            <v xml:space="preserve">Bela Vista </v>
          </cell>
          <cell r="H1388">
            <v>34.880000000000003</v>
          </cell>
        </row>
        <row r="1389">
          <cell r="A1389">
            <v>46139</v>
          </cell>
          <cell r="C1389" t="str">
            <v xml:space="preserve">Bela Vista </v>
          </cell>
          <cell r="H1389">
            <v>31.6</v>
          </cell>
        </row>
        <row r="1390">
          <cell r="A1390">
            <v>46139</v>
          </cell>
          <cell r="C1390" t="str">
            <v xml:space="preserve">Bela Vista </v>
          </cell>
          <cell r="H1390">
            <v>32.880000000000003</v>
          </cell>
        </row>
        <row r="1391">
          <cell r="A1391">
            <v>46139</v>
          </cell>
          <cell r="C1391" t="str">
            <v xml:space="preserve">Bela Vista </v>
          </cell>
          <cell r="H1391">
            <v>32.5</v>
          </cell>
        </row>
        <row r="1392">
          <cell r="A1392">
            <v>46139</v>
          </cell>
          <cell r="C1392" t="str">
            <v xml:space="preserve">Bela Vista </v>
          </cell>
          <cell r="H1392">
            <v>32.619999999999997</v>
          </cell>
        </row>
        <row r="1393">
          <cell r="A1393">
            <v>46141</v>
          </cell>
          <cell r="C1393" t="str">
            <v xml:space="preserve">Bela Vista </v>
          </cell>
          <cell r="H1393">
            <v>33.92</v>
          </cell>
        </row>
        <row r="1394">
          <cell r="A1394">
            <v>46139</v>
          </cell>
          <cell r="C1394" t="str">
            <v xml:space="preserve">Bela Vista </v>
          </cell>
          <cell r="H1394">
            <v>31.28</v>
          </cell>
        </row>
        <row r="1395">
          <cell r="A1395">
            <v>46139</v>
          </cell>
          <cell r="C1395" t="str">
            <v xml:space="preserve">Bela Vista </v>
          </cell>
          <cell r="H1395">
            <v>30.94</v>
          </cell>
        </row>
        <row r="1396">
          <cell r="A1396">
            <v>46139</v>
          </cell>
          <cell r="C1396" t="str">
            <v xml:space="preserve">Bela Vista </v>
          </cell>
          <cell r="H1396">
            <v>32.08</v>
          </cell>
        </row>
        <row r="1397">
          <cell r="A1397">
            <v>46139</v>
          </cell>
          <cell r="C1397" t="str">
            <v xml:space="preserve">Bela Vista </v>
          </cell>
          <cell r="H1397">
            <v>33.92</v>
          </cell>
        </row>
        <row r="1398">
          <cell r="A1398">
            <v>46139</v>
          </cell>
          <cell r="C1398" t="str">
            <v xml:space="preserve">Bela Vista </v>
          </cell>
          <cell r="H1398">
            <v>33.380000000000003</v>
          </cell>
        </row>
        <row r="1399">
          <cell r="A1399">
            <v>46140</v>
          </cell>
          <cell r="C1399" t="str">
            <v xml:space="preserve">Bela Vista </v>
          </cell>
          <cell r="H1399">
            <v>33.4</v>
          </cell>
        </row>
        <row r="1400">
          <cell r="A1400">
            <v>46140</v>
          </cell>
          <cell r="C1400" t="str">
            <v xml:space="preserve">Bela Vista </v>
          </cell>
          <cell r="H1400">
            <v>34.92</v>
          </cell>
        </row>
        <row r="1401">
          <cell r="A1401">
            <v>46139</v>
          </cell>
          <cell r="C1401" t="str">
            <v xml:space="preserve">Itapaci </v>
          </cell>
          <cell r="H1401">
            <v>46.06</v>
          </cell>
        </row>
        <row r="1402">
          <cell r="A1402">
            <v>46139</v>
          </cell>
          <cell r="C1402" t="str">
            <v xml:space="preserve">Itapaci </v>
          </cell>
          <cell r="H1402">
            <v>51.74</v>
          </cell>
        </row>
        <row r="1403">
          <cell r="A1403">
            <v>46139</v>
          </cell>
          <cell r="C1403" t="str">
            <v xml:space="preserve">Itapaci </v>
          </cell>
          <cell r="H1403">
            <v>71.08</v>
          </cell>
        </row>
        <row r="1404">
          <cell r="A1404">
            <v>46139</v>
          </cell>
          <cell r="C1404" t="str">
            <v xml:space="preserve">Itapaci </v>
          </cell>
          <cell r="H1404">
            <v>34.700000000000003</v>
          </cell>
        </row>
        <row r="1405">
          <cell r="A1405">
            <v>46140</v>
          </cell>
          <cell r="C1405" t="str">
            <v xml:space="preserve">Itapaci </v>
          </cell>
          <cell r="H1405">
            <v>70.400000000000006</v>
          </cell>
        </row>
        <row r="1406">
          <cell r="A1406">
            <v>46139</v>
          </cell>
          <cell r="C1406" t="str">
            <v xml:space="preserve">Itapaci </v>
          </cell>
          <cell r="H1406">
            <v>30.02</v>
          </cell>
        </row>
        <row r="1407">
          <cell r="A1407">
            <v>46139</v>
          </cell>
          <cell r="C1407" t="str">
            <v xml:space="preserve">Itapaci </v>
          </cell>
          <cell r="H1407">
            <v>45.52</v>
          </cell>
        </row>
        <row r="1408">
          <cell r="A1408">
            <v>46139</v>
          </cell>
          <cell r="C1408" t="str">
            <v xml:space="preserve">Itapaci </v>
          </cell>
          <cell r="H1408">
            <v>58.34</v>
          </cell>
        </row>
        <row r="1409">
          <cell r="A1409">
            <v>46139</v>
          </cell>
          <cell r="C1409" t="str">
            <v xml:space="preserve">Itapaci </v>
          </cell>
          <cell r="H1409">
            <v>44.46</v>
          </cell>
        </row>
        <row r="1410">
          <cell r="A1410">
            <v>46139</v>
          </cell>
          <cell r="C1410" t="str">
            <v xml:space="preserve">Itapaci </v>
          </cell>
          <cell r="H1410">
            <v>40.020000000000003</v>
          </cell>
        </row>
        <row r="1411">
          <cell r="A1411">
            <v>46139</v>
          </cell>
          <cell r="C1411" t="str">
            <v xml:space="preserve">Itapaci </v>
          </cell>
          <cell r="H1411">
            <v>46.58</v>
          </cell>
        </row>
        <row r="1412">
          <cell r="A1412">
            <v>46139</v>
          </cell>
          <cell r="C1412" t="str">
            <v xml:space="preserve">Itapaci </v>
          </cell>
          <cell r="H1412">
            <v>71.040000000000006</v>
          </cell>
        </row>
        <row r="1413">
          <cell r="A1413">
            <v>46139</v>
          </cell>
          <cell r="C1413" t="str">
            <v xml:space="preserve">Itapaci </v>
          </cell>
          <cell r="H1413">
            <v>50.56</v>
          </cell>
        </row>
        <row r="1414">
          <cell r="A1414">
            <v>46140</v>
          </cell>
          <cell r="C1414" t="str">
            <v xml:space="preserve">Itapaci </v>
          </cell>
          <cell r="H1414">
            <v>69.959999999999994</v>
          </cell>
        </row>
        <row r="1415">
          <cell r="A1415">
            <v>46140</v>
          </cell>
          <cell r="C1415" t="str">
            <v xml:space="preserve">Itapaci </v>
          </cell>
          <cell r="H1415">
            <v>34.18</v>
          </cell>
        </row>
        <row r="1416">
          <cell r="A1416">
            <v>46140</v>
          </cell>
          <cell r="C1416" t="str">
            <v xml:space="preserve">Itapaci </v>
          </cell>
          <cell r="H1416">
            <v>33.32</v>
          </cell>
        </row>
        <row r="1417">
          <cell r="A1417">
            <v>46140</v>
          </cell>
          <cell r="C1417" t="str">
            <v xml:space="preserve">Itapaci </v>
          </cell>
          <cell r="H1417">
            <v>70.319999999999993</v>
          </cell>
        </row>
        <row r="1418">
          <cell r="A1418">
            <v>46140</v>
          </cell>
          <cell r="C1418" t="str">
            <v xml:space="preserve">Itapaci </v>
          </cell>
          <cell r="H1418">
            <v>33.64</v>
          </cell>
        </row>
        <row r="1419">
          <cell r="A1419">
            <v>46140</v>
          </cell>
          <cell r="C1419" t="str">
            <v xml:space="preserve">Itapaci </v>
          </cell>
          <cell r="H1419">
            <v>48.28</v>
          </cell>
        </row>
        <row r="1420">
          <cell r="A1420">
            <v>46140</v>
          </cell>
          <cell r="C1420" t="str">
            <v xml:space="preserve">Itapaci </v>
          </cell>
          <cell r="H1420">
            <v>55.56</v>
          </cell>
        </row>
        <row r="1421">
          <cell r="A1421">
            <v>46140</v>
          </cell>
          <cell r="C1421" t="str">
            <v xml:space="preserve">Itapaci </v>
          </cell>
          <cell r="H1421">
            <v>44.94</v>
          </cell>
        </row>
        <row r="1422">
          <cell r="A1422">
            <v>46140</v>
          </cell>
          <cell r="C1422" t="str">
            <v xml:space="preserve">Itapaci </v>
          </cell>
          <cell r="H1422">
            <v>43.12</v>
          </cell>
        </row>
        <row r="1423">
          <cell r="A1423">
            <v>46140</v>
          </cell>
          <cell r="C1423" t="str">
            <v xml:space="preserve">Itapaci </v>
          </cell>
          <cell r="H1423">
            <v>46.1</v>
          </cell>
        </row>
        <row r="1424">
          <cell r="A1424">
            <v>46140</v>
          </cell>
          <cell r="C1424" t="str">
            <v xml:space="preserve">Itapaci </v>
          </cell>
          <cell r="H1424">
            <v>71.88</v>
          </cell>
        </row>
        <row r="1425">
          <cell r="A1425">
            <v>46140</v>
          </cell>
          <cell r="C1425" t="str">
            <v xml:space="preserve">Itapaci </v>
          </cell>
          <cell r="H1425">
            <v>49.22</v>
          </cell>
        </row>
        <row r="1426">
          <cell r="A1426">
            <v>46140</v>
          </cell>
          <cell r="C1426" t="str">
            <v xml:space="preserve">Itapaci </v>
          </cell>
          <cell r="H1426">
            <v>46.02</v>
          </cell>
        </row>
        <row r="1427">
          <cell r="A1427">
            <v>46140</v>
          </cell>
          <cell r="C1427" t="str">
            <v xml:space="preserve">Itapaci </v>
          </cell>
          <cell r="H1427">
            <v>44.76</v>
          </cell>
        </row>
        <row r="1428">
          <cell r="A1428">
            <v>46140</v>
          </cell>
          <cell r="C1428" t="str">
            <v xml:space="preserve">Itapaci </v>
          </cell>
          <cell r="H1428">
            <v>55.68</v>
          </cell>
        </row>
        <row r="1429">
          <cell r="A1429">
            <v>46140</v>
          </cell>
          <cell r="C1429" t="str">
            <v xml:space="preserve">Itapaci </v>
          </cell>
          <cell r="H1429">
            <v>68.819999999999993</v>
          </cell>
        </row>
        <row r="1430">
          <cell r="A1430">
            <v>46140</v>
          </cell>
          <cell r="C1430" t="str">
            <v xml:space="preserve">Itapaci </v>
          </cell>
          <cell r="H1430">
            <v>32.020000000000003</v>
          </cell>
        </row>
        <row r="1431">
          <cell r="A1431">
            <v>46140</v>
          </cell>
          <cell r="C1431" t="str">
            <v xml:space="preserve">Itapaci </v>
          </cell>
          <cell r="H1431">
            <v>33.04</v>
          </cell>
        </row>
        <row r="1432">
          <cell r="A1432">
            <v>46140</v>
          </cell>
          <cell r="C1432" t="str">
            <v xml:space="preserve">Itapaci </v>
          </cell>
          <cell r="H1432">
            <v>48.7</v>
          </cell>
        </row>
        <row r="1433">
          <cell r="A1433">
            <v>46140</v>
          </cell>
          <cell r="C1433" t="str">
            <v xml:space="preserve">Itapaci </v>
          </cell>
          <cell r="H1433">
            <v>69.94</v>
          </cell>
        </row>
        <row r="1434">
          <cell r="A1434">
            <v>46140</v>
          </cell>
          <cell r="C1434" t="str">
            <v xml:space="preserve">Itapaci </v>
          </cell>
          <cell r="H1434">
            <v>44.22</v>
          </cell>
        </row>
        <row r="1435">
          <cell r="A1435">
            <v>46140</v>
          </cell>
          <cell r="C1435" t="str">
            <v xml:space="preserve">Itapaci </v>
          </cell>
          <cell r="H1435">
            <v>42.78</v>
          </cell>
        </row>
        <row r="1436">
          <cell r="A1436">
            <v>46140</v>
          </cell>
          <cell r="C1436" t="str">
            <v xml:space="preserve">Itapaci </v>
          </cell>
          <cell r="H1436">
            <v>45.08</v>
          </cell>
        </row>
        <row r="1437">
          <cell r="A1437">
            <v>46140</v>
          </cell>
          <cell r="C1437" t="str">
            <v xml:space="preserve">Itapaci </v>
          </cell>
          <cell r="H1437">
            <v>45.84</v>
          </cell>
        </row>
        <row r="1438">
          <cell r="A1438">
            <v>46140</v>
          </cell>
          <cell r="C1438" t="str">
            <v xml:space="preserve">Itapaci </v>
          </cell>
          <cell r="H1438">
            <v>70.680000000000007</v>
          </cell>
        </row>
        <row r="1439">
          <cell r="A1439">
            <v>46140</v>
          </cell>
          <cell r="C1439" t="str">
            <v xml:space="preserve">Itapaci </v>
          </cell>
          <cell r="H1439">
            <v>48.58</v>
          </cell>
        </row>
        <row r="1440">
          <cell r="A1440">
            <v>46140</v>
          </cell>
          <cell r="C1440" t="str">
            <v xml:space="preserve">Itapaci </v>
          </cell>
          <cell r="H1440">
            <v>30.42</v>
          </cell>
        </row>
        <row r="1441">
          <cell r="A1441">
            <v>46141</v>
          </cell>
          <cell r="C1441" t="str">
            <v xml:space="preserve">Itapaci </v>
          </cell>
          <cell r="H1441">
            <v>47.82</v>
          </cell>
        </row>
        <row r="1442">
          <cell r="A1442">
            <v>46141</v>
          </cell>
          <cell r="C1442" t="str">
            <v xml:space="preserve">Itapaci </v>
          </cell>
          <cell r="H1442">
            <v>44.28</v>
          </cell>
        </row>
        <row r="1443">
          <cell r="A1443">
            <v>46141</v>
          </cell>
          <cell r="C1443" t="str">
            <v xml:space="preserve">Itapaci </v>
          </cell>
          <cell r="H1443">
            <v>70.28</v>
          </cell>
        </row>
        <row r="1444">
          <cell r="A1444">
            <v>46141</v>
          </cell>
          <cell r="C1444" t="str">
            <v xml:space="preserve">Itapaci </v>
          </cell>
          <cell r="H1444">
            <v>54.62</v>
          </cell>
        </row>
        <row r="1445">
          <cell r="A1445">
            <v>46142</v>
          </cell>
          <cell r="C1445" t="str">
            <v xml:space="preserve">Itapaci </v>
          </cell>
          <cell r="H1445">
            <v>51.08</v>
          </cell>
        </row>
        <row r="1446">
          <cell r="A1446">
            <v>46141</v>
          </cell>
          <cell r="C1446" t="str">
            <v xml:space="preserve">Itapaci </v>
          </cell>
          <cell r="H1446">
            <v>49.92</v>
          </cell>
        </row>
        <row r="1447">
          <cell r="A1447">
            <v>46141</v>
          </cell>
          <cell r="C1447" t="str">
            <v xml:space="preserve">Itapaci </v>
          </cell>
          <cell r="H1447">
            <v>71.3</v>
          </cell>
        </row>
        <row r="1448">
          <cell r="A1448">
            <v>46140</v>
          </cell>
          <cell r="C1448" t="str">
            <v xml:space="preserve">Bela Vista </v>
          </cell>
          <cell r="H1448">
            <v>33.520000000000003</v>
          </cell>
        </row>
        <row r="1449">
          <cell r="A1449">
            <v>46140</v>
          </cell>
          <cell r="C1449" t="str">
            <v xml:space="preserve">Bela Vista </v>
          </cell>
          <cell r="H1449">
            <v>33.119999999999997</v>
          </cell>
        </row>
        <row r="1450">
          <cell r="A1450">
            <v>46140</v>
          </cell>
          <cell r="C1450" t="str">
            <v xml:space="preserve">Bela Vista </v>
          </cell>
          <cell r="H1450">
            <v>30.8</v>
          </cell>
        </row>
        <row r="1451">
          <cell r="A1451">
            <v>46140</v>
          </cell>
          <cell r="C1451" t="str">
            <v xml:space="preserve">Bela Vista </v>
          </cell>
          <cell r="H1451">
            <v>33.64</v>
          </cell>
        </row>
        <row r="1452">
          <cell r="A1452">
            <v>46140</v>
          </cell>
          <cell r="C1452" t="str">
            <v xml:space="preserve">Bela Vista </v>
          </cell>
          <cell r="H1452">
            <v>33.42</v>
          </cell>
        </row>
        <row r="1453">
          <cell r="A1453">
            <v>46140</v>
          </cell>
          <cell r="C1453" t="str">
            <v xml:space="preserve">Bela Vista </v>
          </cell>
          <cell r="H1453">
            <v>32.700000000000003</v>
          </cell>
        </row>
        <row r="1454">
          <cell r="A1454">
            <v>46140</v>
          </cell>
          <cell r="C1454" t="str">
            <v xml:space="preserve">Bela Vista </v>
          </cell>
          <cell r="H1454">
            <v>32.28</v>
          </cell>
        </row>
        <row r="1455">
          <cell r="A1455">
            <v>46141</v>
          </cell>
          <cell r="C1455" t="str">
            <v xml:space="preserve">Bela Vista </v>
          </cell>
          <cell r="H1455">
            <v>30.1</v>
          </cell>
        </row>
        <row r="1456">
          <cell r="A1456">
            <v>46140</v>
          </cell>
          <cell r="C1456" t="str">
            <v xml:space="preserve">Bela Vista </v>
          </cell>
          <cell r="H1456">
            <v>33.840000000000003</v>
          </cell>
        </row>
        <row r="1457">
          <cell r="A1457">
            <v>46140</v>
          </cell>
          <cell r="C1457" t="str">
            <v xml:space="preserve">Bela Vista </v>
          </cell>
          <cell r="H1457">
            <v>35.200000000000003</v>
          </cell>
        </row>
        <row r="1458">
          <cell r="A1458">
            <v>46140</v>
          </cell>
          <cell r="C1458" t="str">
            <v xml:space="preserve">Bela Vista </v>
          </cell>
          <cell r="H1458">
            <v>33.6</v>
          </cell>
        </row>
        <row r="1459">
          <cell r="A1459">
            <v>46140</v>
          </cell>
          <cell r="C1459" t="str">
            <v xml:space="preserve">Bela Vista </v>
          </cell>
          <cell r="H1459">
            <v>35.58</v>
          </cell>
        </row>
        <row r="1460">
          <cell r="A1460">
            <v>46140</v>
          </cell>
          <cell r="C1460" t="str">
            <v xml:space="preserve">Bela Vista </v>
          </cell>
          <cell r="H1460">
            <v>35.340000000000003</v>
          </cell>
        </row>
        <row r="1461">
          <cell r="A1461">
            <v>46140</v>
          </cell>
          <cell r="C1461" t="str">
            <v xml:space="preserve">Bela Vista </v>
          </cell>
          <cell r="H1461">
            <v>33.6</v>
          </cell>
        </row>
        <row r="1462">
          <cell r="A1462">
            <v>46141</v>
          </cell>
          <cell r="C1462" t="str">
            <v xml:space="preserve">Bela Vista </v>
          </cell>
          <cell r="H1462">
            <v>31.92</v>
          </cell>
        </row>
        <row r="1463">
          <cell r="A1463">
            <v>46141</v>
          </cell>
          <cell r="C1463" t="str">
            <v xml:space="preserve">Bela Vista </v>
          </cell>
          <cell r="H1463">
            <v>34.340000000000003</v>
          </cell>
        </row>
        <row r="1464">
          <cell r="A1464">
            <v>46141</v>
          </cell>
          <cell r="C1464" t="str">
            <v xml:space="preserve">Itapaci </v>
          </cell>
          <cell r="H1464">
            <v>45.46</v>
          </cell>
        </row>
        <row r="1465">
          <cell r="A1465">
            <v>46141</v>
          </cell>
          <cell r="C1465" t="str">
            <v xml:space="preserve">Itapaci </v>
          </cell>
          <cell r="H1465">
            <v>41.94</v>
          </cell>
        </row>
        <row r="1466">
          <cell r="A1466">
            <v>46141</v>
          </cell>
          <cell r="C1466" t="str">
            <v xml:space="preserve">Itapaci </v>
          </cell>
          <cell r="H1466">
            <v>72.52</v>
          </cell>
        </row>
        <row r="1467">
          <cell r="A1467">
            <v>46141</v>
          </cell>
          <cell r="C1467" t="str">
            <v xml:space="preserve">Itapaci </v>
          </cell>
          <cell r="H1467">
            <v>31.66</v>
          </cell>
        </row>
        <row r="1468">
          <cell r="A1468">
            <v>46141</v>
          </cell>
          <cell r="C1468" t="str">
            <v xml:space="preserve">Itapaci </v>
          </cell>
          <cell r="H1468">
            <v>49.34</v>
          </cell>
        </row>
        <row r="1469">
          <cell r="A1469">
            <v>46141</v>
          </cell>
          <cell r="C1469" t="str">
            <v xml:space="preserve">Itapaci </v>
          </cell>
          <cell r="H1469">
            <v>55.14</v>
          </cell>
        </row>
        <row r="1470">
          <cell r="A1470">
            <v>46141</v>
          </cell>
          <cell r="C1470" t="str">
            <v xml:space="preserve">Itapaci </v>
          </cell>
          <cell r="H1470">
            <v>47.78</v>
          </cell>
        </row>
        <row r="1471">
          <cell r="A1471">
            <v>46142</v>
          </cell>
          <cell r="C1471" t="str">
            <v xml:space="preserve">Itapaci </v>
          </cell>
          <cell r="H1471">
            <v>35.06</v>
          </cell>
        </row>
        <row r="1472">
          <cell r="A1472">
            <v>46141</v>
          </cell>
          <cell r="C1472" t="str">
            <v xml:space="preserve">Itapaci </v>
          </cell>
          <cell r="H1472">
            <v>44.16</v>
          </cell>
        </row>
        <row r="1473">
          <cell r="A1473">
            <v>46141</v>
          </cell>
          <cell r="C1473" t="str">
            <v xml:space="preserve">Itapaci </v>
          </cell>
          <cell r="H1473">
            <v>45.46</v>
          </cell>
        </row>
        <row r="1474">
          <cell r="A1474">
            <v>46141</v>
          </cell>
          <cell r="C1474" t="str">
            <v xml:space="preserve">Itapaci </v>
          </cell>
          <cell r="H1474">
            <v>71.900000000000006</v>
          </cell>
        </row>
        <row r="1475">
          <cell r="A1475">
            <v>46141</v>
          </cell>
          <cell r="C1475" t="str">
            <v xml:space="preserve">Itapaci </v>
          </cell>
          <cell r="H1475">
            <v>42.42</v>
          </cell>
        </row>
        <row r="1476">
          <cell r="A1476">
            <v>46141</v>
          </cell>
          <cell r="C1476" t="str">
            <v xml:space="preserve">Itapaci </v>
          </cell>
          <cell r="H1476">
            <v>46.14</v>
          </cell>
        </row>
        <row r="1477">
          <cell r="A1477">
            <v>46141</v>
          </cell>
          <cell r="C1477" t="str">
            <v xml:space="preserve">Itapaci </v>
          </cell>
          <cell r="H1477">
            <v>30.82</v>
          </cell>
        </row>
        <row r="1478">
          <cell r="A1478">
            <v>46141</v>
          </cell>
          <cell r="C1478" t="str">
            <v xml:space="preserve">Itapaci </v>
          </cell>
          <cell r="H1478">
            <v>48.24</v>
          </cell>
        </row>
        <row r="1479">
          <cell r="A1479">
            <v>46144</v>
          </cell>
          <cell r="C1479" t="str">
            <v xml:space="preserve">Itapaci </v>
          </cell>
          <cell r="H1479">
            <v>69.22</v>
          </cell>
        </row>
        <row r="1480">
          <cell r="A1480">
            <v>46142</v>
          </cell>
          <cell r="C1480" t="str">
            <v xml:space="preserve">Itapaci </v>
          </cell>
          <cell r="H1480">
            <v>47.98</v>
          </cell>
        </row>
        <row r="1481">
          <cell r="A1481">
            <v>46142</v>
          </cell>
          <cell r="C1481" t="str">
            <v xml:space="preserve">Itapaci </v>
          </cell>
          <cell r="H1481">
            <v>53.1</v>
          </cell>
        </row>
        <row r="1482">
          <cell r="A1482">
            <v>46142</v>
          </cell>
          <cell r="C1482" t="str">
            <v xml:space="preserve">Itapaci </v>
          </cell>
          <cell r="H1482">
            <v>33.24</v>
          </cell>
        </row>
        <row r="1483">
          <cell r="A1483">
            <v>46142</v>
          </cell>
          <cell r="C1483" t="str">
            <v xml:space="preserve">Itapaci </v>
          </cell>
          <cell r="H1483">
            <v>69.44</v>
          </cell>
        </row>
        <row r="1484">
          <cell r="A1484">
            <v>46142</v>
          </cell>
          <cell r="C1484" t="str">
            <v xml:space="preserve">Itapaci </v>
          </cell>
          <cell r="H1484">
            <v>46.32</v>
          </cell>
        </row>
        <row r="1485">
          <cell r="A1485">
            <v>46142</v>
          </cell>
          <cell r="C1485" t="str">
            <v xml:space="preserve">Itapaci </v>
          </cell>
          <cell r="H1485">
            <v>45.94</v>
          </cell>
        </row>
        <row r="1486">
          <cell r="A1486">
            <v>46142</v>
          </cell>
          <cell r="C1486" t="str">
            <v xml:space="preserve">Itapaci </v>
          </cell>
          <cell r="H1486">
            <v>44.8</v>
          </cell>
        </row>
        <row r="1487">
          <cell r="A1487">
            <v>46141</v>
          </cell>
          <cell r="C1487" t="str">
            <v xml:space="preserve">Bela Vista </v>
          </cell>
          <cell r="H1487">
            <v>34.82</v>
          </cell>
        </row>
        <row r="1488">
          <cell r="A1488">
            <v>46141</v>
          </cell>
          <cell r="C1488" t="str">
            <v xml:space="preserve">Bela Vista </v>
          </cell>
          <cell r="H1488">
            <v>32.92</v>
          </cell>
        </row>
        <row r="1489">
          <cell r="A1489">
            <v>46141</v>
          </cell>
          <cell r="C1489" t="str">
            <v xml:space="preserve">Bela Vista </v>
          </cell>
          <cell r="H1489">
            <v>33.619999999999997</v>
          </cell>
        </row>
        <row r="1490">
          <cell r="A1490">
            <v>46141</v>
          </cell>
          <cell r="C1490" t="str">
            <v xml:space="preserve">Bela Vista </v>
          </cell>
          <cell r="H1490">
            <v>33.76</v>
          </cell>
        </row>
        <row r="1491">
          <cell r="A1491">
            <v>46141</v>
          </cell>
          <cell r="C1491" t="str">
            <v xml:space="preserve">Bela Vista </v>
          </cell>
          <cell r="H1491">
            <v>34.340000000000003</v>
          </cell>
        </row>
        <row r="1492">
          <cell r="A1492">
            <v>46141</v>
          </cell>
          <cell r="C1492" t="str">
            <v xml:space="preserve">Bela Vista </v>
          </cell>
          <cell r="H1492">
            <v>32.880000000000003</v>
          </cell>
        </row>
        <row r="1493">
          <cell r="A1493">
            <v>46141</v>
          </cell>
          <cell r="C1493" t="str">
            <v xml:space="preserve">Bela Vista </v>
          </cell>
          <cell r="H1493">
            <v>33.64</v>
          </cell>
        </row>
        <row r="1494">
          <cell r="A1494">
            <v>46141</v>
          </cell>
          <cell r="C1494" t="str">
            <v xml:space="preserve">Bela Vista </v>
          </cell>
          <cell r="H1494">
            <v>34.28</v>
          </cell>
        </row>
        <row r="1495">
          <cell r="A1495">
            <v>46141</v>
          </cell>
          <cell r="C1495" t="str">
            <v xml:space="preserve">Bela Vista </v>
          </cell>
          <cell r="H1495">
            <v>35.04</v>
          </cell>
        </row>
        <row r="1496">
          <cell r="A1496">
            <v>46141</v>
          </cell>
          <cell r="C1496" t="str">
            <v xml:space="preserve">Bela Vista </v>
          </cell>
          <cell r="H1496">
            <v>31.94</v>
          </cell>
        </row>
        <row r="1497">
          <cell r="A1497">
            <v>46141</v>
          </cell>
          <cell r="C1497" t="str">
            <v xml:space="preserve">Bela Vista </v>
          </cell>
          <cell r="H1497">
            <v>28.7</v>
          </cell>
        </row>
        <row r="1498">
          <cell r="A1498">
            <v>46141</v>
          </cell>
          <cell r="C1498" t="str">
            <v xml:space="preserve">Bela Vista </v>
          </cell>
          <cell r="H1498">
            <v>32.1</v>
          </cell>
        </row>
        <row r="1499">
          <cell r="A1499">
            <v>46141</v>
          </cell>
          <cell r="C1499" t="str">
            <v xml:space="preserve">Bela Vista </v>
          </cell>
          <cell r="H1499">
            <v>32.18</v>
          </cell>
        </row>
        <row r="1500">
          <cell r="A1500">
            <v>46141</v>
          </cell>
          <cell r="C1500" t="str">
            <v xml:space="preserve">Bela Vista </v>
          </cell>
          <cell r="H1500">
            <v>28.1</v>
          </cell>
        </row>
        <row r="1501">
          <cell r="A1501">
            <v>46141</v>
          </cell>
          <cell r="C1501" t="str">
            <v xml:space="preserve">Bela Vista </v>
          </cell>
          <cell r="H1501">
            <v>33.020000000000003</v>
          </cell>
        </row>
        <row r="1502">
          <cell r="A1502">
            <v>46141</v>
          </cell>
          <cell r="C1502" t="str">
            <v xml:space="preserve">Bela Vista </v>
          </cell>
          <cell r="H1502">
            <v>32.82</v>
          </cell>
        </row>
        <row r="1503">
          <cell r="A1503">
            <v>46141</v>
          </cell>
          <cell r="C1503" t="str">
            <v xml:space="preserve">Bela Vista </v>
          </cell>
          <cell r="H1503">
            <v>32.86</v>
          </cell>
        </row>
        <row r="1504">
          <cell r="A1504">
            <v>46141</v>
          </cell>
          <cell r="C1504" t="str">
            <v xml:space="preserve">Bela Vista </v>
          </cell>
          <cell r="H1504">
            <v>34.94</v>
          </cell>
        </row>
        <row r="1505">
          <cell r="A1505">
            <v>46141</v>
          </cell>
          <cell r="C1505" t="str">
            <v xml:space="preserve">Bela Vista </v>
          </cell>
          <cell r="H1505">
            <v>34.14</v>
          </cell>
        </row>
        <row r="1506">
          <cell r="A1506">
            <v>46141</v>
          </cell>
          <cell r="C1506" t="str">
            <v xml:space="preserve">Bela Vista </v>
          </cell>
          <cell r="H1506">
            <v>32.32</v>
          </cell>
        </row>
        <row r="1507">
          <cell r="A1507">
            <v>46141</v>
          </cell>
          <cell r="C1507" t="str">
            <v xml:space="preserve">Bela Vista </v>
          </cell>
          <cell r="H1507">
            <v>32</v>
          </cell>
        </row>
        <row r="1508">
          <cell r="A1508">
            <v>46141</v>
          </cell>
          <cell r="C1508" t="str">
            <v xml:space="preserve">Bela Vista </v>
          </cell>
          <cell r="H1508">
            <v>27.76</v>
          </cell>
        </row>
        <row r="1509">
          <cell r="A1509">
            <v>46141</v>
          </cell>
          <cell r="C1509" t="str">
            <v xml:space="preserve">Bela Vista </v>
          </cell>
          <cell r="H1509">
            <v>32.92</v>
          </cell>
        </row>
        <row r="1510">
          <cell r="A1510">
            <v>46141</v>
          </cell>
          <cell r="C1510" t="str">
            <v xml:space="preserve">Bela Vista </v>
          </cell>
          <cell r="H1510">
            <v>33.58</v>
          </cell>
        </row>
        <row r="1511">
          <cell r="A1511">
            <v>46142</v>
          </cell>
          <cell r="C1511" t="str">
            <v xml:space="preserve">Bela Vista </v>
          </cell>
          <cell r="H1511">
            <v>33.14</v>
          </cell>
        </row>
        <row r="1512">
          <cell r="A1512">
            <v>46141</v>
          </cell>
          <cell r="C1512" t="str">
            <v xml:space="preserve">Bela Vista </v>
          </cell>
          <cell r="H1512">
            <v>28.76</v>
          </cell>
        </row>
        <row r="1513">
          <cell r="A1513">
            <v>46141</v>
          </cell>
          <cell r="C1513" t="str">
            <v xml:space="preserve">Bela Vista </v>
          </cell>
          <cell r="H1513">
            <v>34.22</v>
          </cell>
        </row>
        <row r="1514">
          <cell r="A1514">
            <v>46141</v>
          </cell>
          <cell r="C1514" t="str">
            <v xml:space="preserve">Bela Vista </v>
          </cell>
          <cell r="H1514">
            <v>34.979999999999997</v>
          </cell>
        </row>
        <row r="1515">
          <cell r="A1515">
            <v>46141</v>
          </cell>
          <cell r="C1515" t="str">
            <v xml:space="preserve">Bela Vista </v>
          </cell>
          <cell r="H1515">
            <v>30.34</v>
          </cell>
        </row>
        <row r="1516">
          <cell r="A1516">
            <v>46141</v>
          </cell>
          <cell r="C1516" t="str">
            <v xml:space="preserve">Bela Vista </v>
          </cell>
          <cell r="H1516">
            <v>32.86</v>
          </cell>
        </row>
        <row r="1517">
          <cell r="A1517">
            <v>46142</v>
          </cell>
          <cell r="C1517" t="str">
            <v xml:space="preserve">Bela Vista </v>
          </cell>
          <cell r="H1517">
            <v>32.880000000000003</v>
          </cell>
        </row>
        <row r="1518">
          <cell r="A1518">
            <v>46142</v>
          </cell>
          <cell r="C1518" t="str">
            <v xml:space="preserve">Bela Vista </v>
          </cell>
          <cell r="H1518">
            <v>31.56</v>
          </cell>
        </row>
        <row r="1519">
          <cell r="A1519">
            <v>46142</v>
          </cell>
          <cell r="C1519" t="str">
            <v xml:space="preserve">Bela Vista </v>
          </cell>
          <cell r="H1519">
            <v>28.62</v>
          </cell>
        </row>
        <row r="1520">
          <cell r="A1520">
            <v>46142</v>
          </cell>
          <cell r="C1520" t="str">
            <v xml:space="preserve">Bela Vista </v>
          </cell>
          <cell r="H1520">
            <v>33.28</v>
          </cell>
        </row>
        <row r="1521">
          <cell r="A1521">
            <v>46142</v>
          </cell>
          <cell r="C1521" t="str">
            <v xml:space="preserve">Itapaci </v>
          </cell>
          <cell r="H1521">
            <v>46.22</v>
          </cell>
        </row>
        <row r="1522">
          <cell r="A1522">
            <v>46142</v>
          </cell>
          <cell r="C1522" t="str">
            <v xml:space="preserve">Itapaci </v>
          </cell>
          <cell r="H1522">
            <v>46.26</v>
          </cell>
        </row>
        <row r="1523">
          <cell r="A1523">
            <v>46142</v>
          </cell>
          <cell r="C1523" t="str">
            <v xml:space="preserve">Itapaci </v>
          </cell>
          <cell r="H1523">
            <v>43.16</v>
          </cell>
        </row>
        <row r="1524">
          <cell r="A1524">
            <v>46142</v>
          </cell>
          <cell r="C1524" t="str">
            <v xml:space="preserve">Itapaci </v>
          </cell>
          <cell r="H1524">
            <v>30.84</v>
          </cell>
        </row>
        <row r="1525">
          <cell r="A1525">
            <v>46142</v>
          </cell>
          <cell r="C1525" t="str">
            <v xml:space="preserve">Itapaci </v>
          </cell>
          <cell r="H1525">
            <v>71.48</v>
          </cell>
        </row>
        <row r="1526">
          <cell r="A1526">
            <v>46144</v>
          </cell>
          <cell r="C1526" t="str">
            <v xml:space="preserve">Itapaci </v>
          </cell>
          <cell r="H1526">
            <v>70.62</v>
          </cell>
        </row>
        <row r="1527">
          <cell r="A1527">
            <v>46142</v>
          </cell>
          <cell r="C1527" t="str">
            <v xml:space="preserve">Itapaci </v>
          </cell>
          <cell r="H1527">
            <v>64.64</v>
          </cell>
        </row>
        <row r="1528">
          <cell r="A1528">
            <v>46144</v>
          </cell>
          <cell r="C1528" t="str">
            <v xml:space="preserve">Itapaci </v>
          </cell>
          <cell r="H1528">
            <v>48.46</v>
          </cell>
        </row>
        <row r="1529">
          <cell r="A1529">
            <v>46142</v>
          </cell>
          <cell r="C1529" t="str">
            <v xml:space="preserve">Itapaci </v>
          </cell>
          <cell r="H1529">
            <v>63.2</v>
          </cell>
        </row>
        <row r="1530">
          <cell r="A1530">
            <v>46142</v>
          </cell>
          <cell r="C1530" t="str">
            <v xml:space="preserve">Itapaci </v>
          </cell>
          <cell r="H1530">
            <v>46.08</v>
          </cell>
        </row>
        <row r="1531">
          <cell r="A1531">
            <v>46142</v>
          </cell>
          <cell r="C1531" t="str">
            <v xml:space="preserve">Itapaci </v>
          </cell>
          <cell r="H1531">
            <v>53.06</v>
          </cell>
        </row>
        <row r="1532">
          <cell r="A1532">
            <v>46142</v>
          </cell>
          <cell r="C1532" t="str">
            <v xml:space="preserve">Itapaci </v>
          </cell>
          <cell r="H1532">
            <v>71.16</v>
          </cell>
        </row>
        <row r="1533">
          <cell r="A1533">
            <v>46142</v>
          </cell>
          <cell r="C1533" t="str">
            <v xml:space="preserve">Itapaci </v>
          </cell>
          <cell r="H1533">
            <v>48.3</v>
          </cell>
        </row>
        <row r="1534">
          <cell r="A1534">
            <v>46142</v>
          </cell>
          <cell r="C1534" t="str">
            <v xml:space="preserve">Itapaci </v>
          </cell>
          <cell r="H1534">
            <v>48.7</v>
          </cell>
        </row>
        <row r="1535">
          <cell r="A1535">
            <v>46142</v>
          </cell>
          <cell r="C1535" t="str">
            <v xml:space="preserve">Itapaci </v>
          </cell>
          <cell r="H1535">
            <v>45.56</v>
          </cell>
        </row>
        <row r="1536">
          <cell r="A1536">
            <v>46142</v>
          </cell>
          <cell r="C1536" t="str">
            <v xml:space="preserve">Itapaci </v>
          </cell>
          <cell r="H1536">
            <v>42.64</v>
          </cell>
        </row>
        <row r="1537">
          <cell r="A1537">
            <v>46142</v>
          </cell>
          <cell r="C1537" t="str">
            <v xml:space="preserve">Itapaci </v>
          </cell>
          <cell r="H1537">
            <v>46.78</v>
          </cell>
        </row>
        <row r="1538">
          <cell r="A1538">
            <v>46142</v>
          </cell>
          <cell r="C1538" t="str">
            <v xml:space="preserve">Itapaci </v>
          </cell>
          <cell r="H1538">
            <v>71.62</v>
          </cell>
        </row>
        <row r="1539">
          <cell r="A1539">
            <v>46144</v>
          </cell>
          <cell r="C1539" t="str">
            <v xml:space="preserve">Itapaci </v>
          </cell>
          <cell r="H1539">
            <v>50.38</v>
          </cell>
        </row>
        <row r="1540">
          <cell r="A1540">
            <v>46142</v>
          </cell>
          <cell r="C1540" t="str">
            <v xml:space="preserve">Bela Vista </v>
          </cell>
          <cell r="H1540">
            <v>33.44</v>
          </cell>
        </row>
        <row r="1541">
          <cell r="A1541">
            <v>46142</v>
          </cell>
          <cell r="C1541" t="str">
            <v xml:space="preserve">Bela Vista </v>
          </cell>
          <cell r="H1541">
            <v>28.1</v>
          </cell>
        </row>
        <row r="1542">
          <cell r="A1542">
            <v>46142</v>
          </cell>
          <cell r="C1542" t="str">
            <v xml:space="preserve">Bela Vista </v>
          </cell>
          <cell r="H1542">
            <v>32.380000000000003</v>
          </cell>
        </row>
        <row r="1543">
          <cell r="A1543">
            <v>46142</v>
          </cell>
          <cell r="C1543" t="str">
            <v xml:space="preserve">Bela Vista </v>
          </cell>
          <cell r="H1543">
            <v>31.54</v>
          </cell>
        </row>
        <row r="1544">
          <cell r="A1544">
            <v>46142</v>
          </cell>
          <cell r="C1544" t="str">
            <v xml:space="preserve">Bela Vista </v>
          </cell>
          <cell r="H1544">
            <v>35.42</v>
          </cell>
        </row>
        <row r="1545">
          <cell r="A1545">
            <v>46142</v>
          </cell>
          <cell r="C1545" t="str">
            <v xml:space="preserve">Bela Vista </v>
          </cell>
          <cell r="H1545">
            <v>34.700000000000003</v>
          </cell>
        </row>
        <row r="1546">
          <cell r="A1546">
            <v>46142</v>
          </cell>
          <cell r="C1546" t="str">
            <v xml:space="preserve">Bela Vista </v>
          </cell>
          <cell r="H1546">
            <v>34.340000000000003</v>
          </cell>
        </row>
        <row r="1547">
          <cell r="A1547">
            <v>46142</v>
          </cell>
          <cell r="C1547" t="str">
            <v xml:space="preserve">Bela Vista </v>
          </cell>
          <cell r="H1547">
            <v>34.5</v>
          </cell>
        </row>
        <row r="1548">
          <cell r="A1548">
            <v>46142</v>
          </cell>
          <cell r="C1548" t="str">
            <v xml:space="preserve">Bela Vista </v>
          </cell>
          <cell r="H1548">
            <v>33.32</v>
          </cell>
        </row>
        <row r="1549">
          <cell r="A1549">
            <v>46142</v>
          </cell>
          <cell r="C1549" t="str">
            <v xml:space="preserve">Bela Vista </v>
          </cell>
          <cell r="H1549">
            <v>34.340000000000003</v>
          </cell>
        </row>
        <row r="1550">
          <cell r="A1550">
            <v>46142</v>
          </cell>
          <cell r="C1550" t="str">
            <v xml:space="preserve">Bela Vista </v>
          </cell>
          <cell r="H1550">
            <v>31.6</v>
          </cell>
        </row>
        <row r="1551">
          <cell r="A1551">
            <v>46142</v>
          </cell>
          <cell r="C1551" t="str">
            <v xml:space="preserve">Bela Vista </v>
          </cell>
          <cell r="H1551">
            <v>34.700000000000003</v>
          </cell>
        </row>
        <row r="1552">
          <cell r="A1552">
            <v>46142</v>
          </cell>
          <cell r="C1552" t="str">
            <v xml:space="preserve">Bela Vista </v>
          </cell>
          <cell r="H1552">
            <v>33.119999999999997</v>
          </cell>
        </row>
        <row r="1553">
          <cell r="A1553">
            <v>46142</v>
          </cell>
          <cell r="C1553" t="str">
            <v xml:space="preserve">Bela Vista </v>
          </cell>
          <cell r="H1553">
            <v>29.58</v>
          </cell>
        </row>
        <row r="1554">
          <cell r="A1554">
            <v>46142</v>
          </cell>
          <cell r="C1554" t="str">
            <v xml:space="preserve">Bela Vista </v>
          </cell>
          <cell r="H1554">
            <v>34.26</v>
          </cell>
        </row>
        <row r="1555">
          <cell r="A1555">
            <v>46142</v>
          </cell>
          <cell r="C1555" t="str">
            <v xml:space="preserve">Bela Vista </v>
          </cell>
          <cell r="H1555">
            <v>32.82</v>
          </cell>
        </row>
        <row r="1556">
          <cell r="A1556">
            <v>46142</v>
          </cell>
          <cell r="C1556" t="str">
            <v xml:space="preserve">Bela Vista </v>
          </cell>
          <cell r="H1556">
            <v>33.479999999999997</v>
          </cell>
        </row>
        <row r="1557">
          <cell r="A1557">
            <v>46142</v>
          </cell>
          <cell r="C1557" t="str">
            <v xml:space="preserve">Bela Vista </v>
          </cell>
          <cell r="H1557">
            <v>33</v>
          </cell>
        </row>
        <row r="1558">
          <cell r="A1558">
            <v>46142</v>
          </cell>
          <cell r="C1558" t="str">
            <v xml:space="preserve">Bela Vista </v>
          </cell>
          <cell r="H1558">
            <v>33.64</v>
          </cell>
        </row>
        <row r="1559">
          <cell r="A1559">
            <v>46142</v>
          </cell>
          <cell r="C1559" t="str">
            <v xml:space="preserve">Bela Vista </v>
          </cell>
          <cell r="H1559">
            <v>30.52</v>
          </cell>
        </row>
        <row r="1560">
          <cell r="A1560">
            <v>46142</v>
          </cell>
          <cell r="C1560" t="str">
            <v xml:space="preserve">Bela Vista </v>
          </cell>
          <cell r="H1560">
            <v>35.58</v>
          </cell>
        </row>
        <row r="1561">
          <cell r="A1561">
            <v>46142</v>
          </cell>
          <cell r="C1561" t="str">
            <v xml:space="preserve">Bela Vista </v>
          </cell>
          <cell r="H1561">
            <v>34.04</v>
          </cell>
        </row>
        <row r="1562">
          <cell r="A1562">
            <v>46142</v>
          </cell>
          <cell r="C1562" t="str">
            <v xml:space="preserve">Bela Vista </v>
          </cell>
          <cell r="H1562">
            <v>35.74</v>
          </cell>
        </row>
        <row r="1563">
          <cell r="A1563">
            <v>46142</v>
          </cell>
          <cell r="C1563" t="str">
            <v xml:space="preserve">Bela Vista </v>
          </cell>
          <cell r="H1563">
            <v>34.96</v>
          </cell>
        </row>
        <row r="1564">
          <cell r="A1564">
            <v>46142</v>
          </cell>
          <cell r="C1564" t="str">
            <v xml:space="preserve">Bela Vista </v>
          </cell>
          <cell r="H1564">
            <v>34.42</v>
          </cell>
        </row>
        <row r="1565">
          <cell r="A1565">
            <v>46146</v>
          </cell>
          <cell r="C1565" t="str">
            <v xml:space="preserve">Bela Vista </v>
          </cell>
          <cell r="H1565">
            <v>30.06</v>
          </cell>
        </row>
        <row r="1566">
          <cell r="A1566">
            <v>46146</v>
          </cell>
          <cell r="C1566" t="str">
            <v xml:space="preserve">Bela Vista </v>
          </cell>
          <cell r="H1566">
            <v>35.520000000000003</v>
          </cell>
        </row>
        <row r="1567">
          <cell r="A1567">
            <v>46144</v>
          </cell>
          <cell r="C1567" t="str">
            <v xml:space="preserve">Bela Vista </v>
          </cell>
          <cell r="H1567">
            <v>37.479999999999997</v>
          </cell>
        </row>
        <row r="1568">
          <cell r="A1568">
            <v>46144</v>
          </cell>
          <cell r="C1568" t="str">
            <v xml:space="preserve">Bela Vista </v>
          </cell>
          <cell r="H1568">
            <v>30.72</v>
          </cell>
        </row>
        <row r="1569">
          <cell r="A1569">
            <v>46144</v>
          </cell>
          <cell r="C1569" t="str">
            <v xml:space="preserve">Itapaci </v>
          </cell>
          <cell r="H1569">
            <v>49.78</v>
          </cell>
        </row>
        <row r="1570">
          <cell r="A1570">
            <v>46144</v>
          </cell>
          <cell r="C1570" t="str">
            <v xml:space="preserve">Itapaci </v>
          </cell>
          <cell r="H1570">
            <v>45.52</v>
          </cell>
        </row>
        <row r="1571">
          <cell r="A1571">
            <v>46144</v>
          </cell>
          <cell r="C1571" t="str">
            <v xml:space="preserve">Itapaci </v>
          </cell>
          <cell r="H1571">
            <v>45.12</v>
          </cell>
        </row>
        <row r="1572">
          <cell r="A1572">
            <v>46144</v>
          </cell>
          <cell r="C1572" t="str">
            <v xml:space="preserve">Itapaci </v>
          </cell>
          <cell r="H1572">
            <v>46.66</v>
          </cell>
        </row>
        <row r="1573">
          <cell r="A1573">
            <v>46144</v>
          </cell>
          <cell r="C1573" t="str">
            <v xml:space="preserve">Itapaci </v>
          </cell>
          <cell r="H1573">
            <v>71.02</v>
          </cell>
        </row>
        <row r="1574">
          <cell r="A1574">
            <v>46144</v>
          </cell>
          <cell r="C1574" t="str">
            <v xml:space="preserve">Itapaci </v>
          </cell>
          <cell r="H1574">
            <v>67.38</v>
          </cell>
        </row>
        <row r="1575">
          <cell r="A1575">
            <v>46144</v>
          </cell>
          <cell r="C1575" t="str">
            <v xml:space="preserve">Itapaci </v>
          </cell>
          <cell r="H1575">
            <v>50.36</v>
          </cell>
        </row>
        <row r="1576">
          <cell r="A1576">
            <v>46144</v>
          </cell>
          <cell r="C1576" t="str">
            <v xml:space="preserve">Itapaci </v>
          </cell>
          <cell r="H1576">
            <v>42.46</v>
          </cell>
        </row>
        <row r="1577">
          <cell r="A1577">
            <v>46144</v>
          </cell>
          <cell r="C1577" t="str">
            <v xml:space="preserve">Itapaci </v>
          </cell>
          <cell r="H1577">
            <v>34.78</v>
          </cell>
        </row>
        <row r="1578">
          <cell r="A1578">
            <v>46144</v>
          </cell>
          <cell r="C1578" t="str">
            <v xml:space="preserve">Bela Vista </v>
          </cell>
          <cell r="H1578">
            <v>34.06</v>
          </cell>
        </row>
        <row r="1579">
          <cell r="A1579">
            <v>46144</v>
          </cell>
          <cell r="C1579" t="str">
            <v xml:space="preserve">Itapaci </v>
          </cell>
          <cell r="H1579">
            <v>70.959999999999994</v>
          </cell>
        </row>
        <row r="1580">
          <cell r="A1580">
            <v>46144</v>
          </cell>
          <cell r="C1580" t="str">
            <v xml:space="preserve">Itapaci </v>
          </cell>
          <cell r="H1580">
            <v>45.72</v>
          </cell>
        </row>
        <row r="1581">
          <cell r="A1581">
            <v>46144</v>
          </cell>
          <cell r="C1581" t="str">
            <v xml:space="preserve">Itapaci </v>
          </cell>
          <cell r="H1581">
            <v>45.52</v>
          </cell>
        </row>
        <row r="1582">
          <cell r="A1582">
            <v>46144</v>
          </cell>
          <cell r="C1582" t="str">
            <v xml:space="preserve">Itapaci </v>
          </cell>
          <cell r="H1582">
            <v>45.54</v>
          </cell>
        </row>
        <row r="1583">
          <cell r="A1583">
            <v>46144</v>
          </cell>
          <cell r="C1583" t="str">
            <v xml:space="preserve">Itapaci </v>
          </cell>
          <cell r="H1583">
            <v>34.700000000000003</v>
          </cell>
        </row>
        <row r="1584">
          <cell r="A1584">
            <v>46144</v>
          </cell>
          <cell r="C1584" t="str">
            <v xml:space="preserve">Itapaci </v>
          </cell>
          <cell r="H1584">
            <v>37.26</v>
          </cell>
        </row>
        <row r="1585">
          <cell r="A1585">
            <v>46150</v>
          </cell>
          <cell r="C1585" t="str">
            <v xml:space="preserve">Itapaci </v>
          </cell>
          <cell r="H1585">
            <v>50.84</v>
          </cell>
        </row>
        <row r="1586">
          <cell r="A1586">
            <v>46150</v>
          </cell>
          <cell r="C1586" t="str">
            <v xml:space="preserve">Itapaci </v>
          </cell>
          <cell r="H1586">
            <v>35.200000000000003</v>
          </cell>
        </row>
        <row r="1587">
          <cell r="A1587">
            <v>46146</v>
          </cell>
          <cell r="C1587" t="str">
            <v xml:space="preserve">Itapaci </v>
          </cell>
          <cell r="H1587">
            <v>46.34</v>
          </cell>
        </row>
        <row r="1588">
          <cell r="A1588">
            <v>46146</v>
          </cell>
          <cell r="C1588" t="str">
            <v xml:space="preserve">Itapaci </v>
          </cell>
          <cell r="H1588">
            <v>45.54</v>
          </cell>
        </row>
        <row r="1589">
          <cell r="A1589">
            <v>46146</v>
          </cell>
          <cell r="C1589" t="str">
            <v xml:space="preserve">Itapaci </v>
          </cell>
          <cell r="H1589">
            <v>46.8</v>
          </cell>
        </row>
        <row r="1590">
          <cell r="A1590">
            <v>46146</v>
          </cell>
          <cell r="C1590" t="str">
            <v xml:space="preserve">Itapaci </v>
          </cell>
          <cell r="H1590">
            <v>62.18</v>
          </cell>
        </row>
        <row r="1591">
          <cell r="A1591">
            <v>46146</v>
          </cell>
          <cell r="C1591" t="str">
            <v xml:space="preserve">Itapaci </v>
          </cell>
          <cell r="H1591">
            <v>64.959999999999994</v>
          </cell>
        </row>
        <row r="1592">
          <cell r="A1592">
            <v>46146</v>
          </cell>
          <cell r="C1592" t="str">
            <v xml:space="preserve">Itapaci </v>
          </cell>
          <cell r="H1592">
            <v>70.66</v>
          </cell>
        </row>
        <row r="1593">
          <cell r="A1593">
            <v>46146</v>
          </cell>
          <cell r="C1593" t="str">
            <v xml:space="preserve">Itapaci </v>
          </cell>
          <cell r="H1593">
            <v>49.8</v>
          </cell>
        </row>
        <row r="1594">
          <cell r="A1594">
            <v>46146</v>
          </cell>
          <cell r="C1594" t="str">
            <v xml:space="preserve">Itapaci </v>
          </cell>
          <cell r="H1594">
            <v>42.34</v>
          </cell>
        </row>
        <row r="1595">
          <cell r="A1595">
            <v>46146</v>
          </cell>
          <cell r="C1595" t="str">
            <v xml:space="preserve">Itapaci </v>
          </cell>
          <cell r="H1595">
            <v>71.2</v>
          </cell>
        </row>
        <row r="1596">
          <cell r="A1596">
            <v>46149</v>
          </cell>
          <cell r="C1596" t="str">
            <v xml:space="preserve">Itapaci </v>
          </cell>
          <cell r="H1596">
            <v>28.82</v>
          </cell>
        </row>
        <row r="1597">
          <cell r="A1597">
            <v>46146</v>
          </cell>
          <cell r="C1597" t="str">
            <v xml:space="preserve">Itapaci </v>
          </cell>
          <cell r="H1597">
            <v>34.28</v>
          </cell>
        </row>
        <row r="1598">
          <cell r="A1598">
            <v>46146</v>
          </cell>
          <cell r="C1598" t="str">
            <v xml:space="preserve">Itapaci </v>
          </cell>
          <cell r="H1598">
            <v>34.86</v>
          </cell>
        </row>
        <row r="1599">
          <cell r="A1599">
            <v>46146</v>
          </cell>
          <cell r="C1599" t="str">
            <v xml:space="preserve">Itapaci </v>
          </cell>
          <cell r="H1599">
            <v>49.18</v>
          </cell>
        </row>
        <row r="1600">
          <cell r="A1600">
            <v>46146</v>
          </cell>
          <cell r="C1600" t="str">
            <v xml:space="preserve">Itapaci </v>
          </cell>
          <cell r="H1600">
            <v>33.659999999999997</v>
          </cell>
        </row>
        <row r="1601">
          <cell r="A1601">
            <v>46146</v>
          </cell>
          <cell r="C1601" t="str">
            <v xml:space="preserve">Itapaci </v>
          </cell>
          <cell r="H1601">
            <v>42.82</v>
          </cell>
        </row>
        <row r="1602">
          <cell r="A1602">
            <v>46146</v>
          </cell>
          <cell r="C1602" t="str">
            <v xml:space="preserve">Itapaci </v>
          </cell>
          <cell r="H1602">
            <v>44.98</v>
          </cell>
        </row>
        <row r="1603">
          <cell r="A1603">
            <v>46147</v>
          </cell>
          <cell r="C1603" t="str">
            <v xml:space="preserve">Itapaci </v>
          </cell>
          <cell r="H1603">
            <v>34.880000000000003</v>
          </cell>
        </row>
        <row r="1604">
          <cell r="A1604">
            <v>46147</v>
          </cell>
          <cell r="C1604" t="str">
            <v xml:space="preserve">Itapaci </v>
          </cell>
          <cell r="H1604">
            <v>34.94</v>
          </cell>
        </row>
        <row r="1605">
          <cell r="A1605">
            <v>46147</v>
          </cell>
          <cell r="C1605" t="str">
            <v xml:space="preserve">Itapaci </v>
          </cell>
          <cell r="H1605">
            <v>46.14</v>
          </cell>
        </row>
        <row r="1606">
          <cell r="A1606">
            <v>46147</v>
          </cell>
          <cell r="C1606" t="str">
            <v xml:space="preserve">Itapaci </v>
          </cell>
          <cell r="H1606">
            <v>69.739999999999995</v>
          </cell>
        </row>
        <row r="1607">
          <cell r="A1607">
            <v>46147</v>
          </cell>
          <cell r="C1607" t="str">
            <v xml:space="preserve">Itapaci </v>
          </cell>
          <cell r="H1607">
            <v>31.66</v>
          </cell>
        </row>
        <row r="1608">
          <cell r="A1608">
            <v>46147</v>
          </cell>
          <cell r="C1608" t="str">
            <v xml:space="preserve">Itapaci </v>
          </cell>
          <cell r="H1608">
            <v>42.18</v>
          </cell>
        </row>
        <row r="1609">
          <cell r="A1609">
            <v>46147</v>
          </cell>
          <cell r="C1609" t="str">
            <v xml:space="preserve">Itapaci </v>
          </cell>
          <cell r="H1609">
            <v>55.04</v>
          </cell>
        </row>
        <row r="1610">
          <cell r="A1610">
            <v>46147</v>
          </cell>
          <cell r="C1610" t="str">
            <v xml:space="preserve">Itapaci </v>
          </cell>
          <cell r="H1610">
            <v>70.72</v>
          </cell>
        </row>
        <row r="1611">
          <cell r="A1611">
            <v>46147</v>
          </cell>
          <cell r="C1611" t="str">
            <v xml:space="preserve">Itapaci </v>
          </cell>
          <cell r="H1611">
            <v>62.92</v>
          </cell>
        </row>
        <row r="1612">
          <cell r="A1612">
            <v>46147</v>
          </cell>
          <cell r="C1612" t="str">
            <v xml:space="preserve">Itapaci </v>
          </cell>
          <cell r="H1612">
            <v>61.48</v>
          </cell>
        </row>
        <row r="1613">
          <cell r="A1613">
            <v>46147</v>
          </cell>
          <cell r="C1613" t="str">
            <v xml:space="preserve">Itapaci </v>
          </cell>
          <cell r="H1613">
            <v>48.06</v>
          </cell>
        </row>
        <row r="1614">
          <cell r="A1614">
            <v>46147</v>
          </cell>
          <cell r="C1614" t="str">
            <v xml:space="preserve">Itapaci </v>
          </cell>
          <cell r="H1614">
            <v>35.28</v>
          </cell>
        </row>
        <row r="1615">
          <cell r="A1615">
            <v>46146</v>
          </cell>
          <cell r="C1615" t="str">
            <v xml:space="preserve">Bela Vista </v>
          </cell>
          <cell r="H1615">
            <v>31.36</v>
          </cell>
        </row>
        <row r="1616">
          <cell r="A1616">
            <v>46146</v>
          </cell>
          <cell r="C1616" t="str">
            <v xml:space="preserve">Bela Vista </v>
          </cell>
          <cell r="H1616">
            <v>35.1</v>
          </cell>
        </row>
        <row r="1617">
          <cell r="A1617">
            <v>46147</v>
          </cell>
          <cell r="C1617" t="str">
            <v xml:space="preserve">Itapaci </v>
          </cell>
          <cell r="H1617">
            <v>46.14</v>
          </cell>
        </row>
        <row r="1618">
          <cell r="A1618">
            <v>46147</v>
          </cell>
          <cell r="C1618" t="str">
            <v xml:space="preserve">Itapaci </v>
          </cell>
          <cell r="H1618">
            <v>45.6</v>
          </cell>
        </row>
        <row r="1619">
          <cell r="A1619">
            <v>46147</v>
          </cell>
          <cell r="C1619" t="str">
            <v xml:space="preserve">Itapaci </v>
          </cell>
          <cell r="H1619">
            <v>65.599999999999994</v>
          </cell>
        </row>
        <row r="1620">
          <cell r="A1620">
            <v>46147</v>
          </cell>
          <cell r="C1620" t="str">
            <v xml:space="preserve">Itapaci </v>
          </cell>
          <cell r="H1620">
            <v>50.48</v>
          </cell>
        </row>
        <row r="1621">
          <cell r="A1621">
            <v>46147</v>
          </cell>
          <cell r="C1621" t="str">
            <v xml:space="preserve">Itapaci </v>
          </cell>
          <cell r="H1621">
            <v>35.72</v>
          </cell>
        </row>
        <row r="1622">
          <cell r="A1622">
            <v>46147</v>
          </cell>
          <cell r="C1622" t="str">
            <v xml:space="preserve">Itapaci </v>
          </cell>
          <cell r="H1622">
            <v>33.76</v>
          </cell>
        </row>
        <row r="1623">
          <cell r="A1623">
            <v>46147</v>
          </cell>
          <cell r="C1623" t="str">
            <v xml:space="preserve">Itapaci </v>
          </cell>
          <cell r="H1623">
            <v>34.72</v>
          </cell>
        </row>
        <row r="1624">
          <cell r="A1624">
            <v>46147</v>
          </cell>
          <cell r="C1624" t="str">
            <v xml:space="preserve">Itapaci </v>
          </cell>
          <cell r="H1624">
            <v>71.16</v>
          </cell>
        </row>
        <row r="1625">
          <cell r="A1625">
            <v>46147</v>
          </cell>
          <cell r="C1625" t="str">
            <v xml:space="preserve">Itapaci </v>
          </cell>
          <cell r="H1625">
            <v>55.46</v>
          </cell>
        </row>
        <row r="1626">
          <cell r="A1626">
            <v>46147</v>
          </cell>
          <cell r="C1626" t="str">
            <v xml:space="preserve">Itapaci </v>
          </cell>
          <cell r="H1626">
            <v>70.5</v>
          </cell>
        </row>
        <row r="1627">
          <cell r="A1627">
            <v>46147</v>
          </cell>
          <cell r="C1627" t="str">
            <v xml:space="preserve">Itapaci </v>
          </cell>
          <cell r="H1627">
            <v>42.16</v>
          </cell>
        </row>
        <row r="1628">
          <cell r="A1628">
            <v>46147</v>
          </cell>
          <cell r="C1628" t="str">
            <v xml:space="preserve">Itapaci </v>
          </cell>
          <cell r="H1628">
            <v>65.48</v>
          </cell>
        </row>
        <row r="1629">
          <cell r="A1629">
            <v>46147</v>
          </cell>
          <cell r="C1629" t="str">
            <v xml:space="preserve">Itapaci </v>
          </cell>
          <cell r="H1629">
            <v>34.880000000000003</v>
          </cell>
        </row>
        <row r="1630">
          <cell r="A1630">
            <v>46147</v>
          </cell>
          <cell r="C1630" t="str">
            <v xml:space="preserve">Itapaci </v>
          </cell>
          <cell r="H1630">
            <v>52.12</v>
          </cell>
        </row>
        <row r="1631">
          <cell r="A1631">
            <v>46147</v>
          </cell>
          <cell r="C1631" t="str">
            <v xml:space="preserve">Itapaci </v>
          </cell>
          <cell r="H1631">
            <v>45.8</v>
          </cell>
        </row>
        <row r="1632">
          <cell r="A1632">
            <v>46149</v>
          </cell>
          <cell r="C1632" t="str">
            <v xml:space="preserve">Itapaci </v>
          </cell>
          <cell r="H1632">
            <v>48.26</v>
          </cell>
        </row>
        <row r="1633">
          <cell r="A1633">
            <v>46147</v>
          </cell>
          <cell r="C1633" t="str">
            <v xml:space="preserve">Itapaci </v>
          </cell>
          <cell r="H1633">
            <v>45.36</v>
          </cell>
        </row>
        <row r="1634">
          <cell r="A1634">
            <v>46148</v>
          </cell>
          <cell r="C1634" t="str">
            <v xml:space="preserve">Itapaci </v>
          </cell>
          <cell r="H1634">
            <v>33.18</v>
          </cell>
        </row>
        <row r="1635">
          <cell r="A1635">
            <v>46148</v>
          </cell>
          <cell r="C1635" t="str">
            <v xml:space="preserve">Itapaci </v>
          </cell>
          <cell r="H1635">
            <v>46.36</v>
          </cell>
        </row>
        <row r="1636">
          <cell r="A1636">
            <v>46148</v>
          </cell>
          <cell r="C1636" t="str">
            <v xml:space="preserve">Itapaci </v>
          </cell>
          <cell r="H1636">
            <v>35.68</v>
          </cell>
        </row>
        <row r="1637">
          <cell r="A1637">
            <v>46148</v>
          </cell>
          <cell r="C1637" t="str">
            <v xml:space="preserve">Itapaci </v>
          </cell>
          <cell r="H1637">
            <v>35.619999999999997</v>
          </cell>
        </row>
        <row r="1638">
          <cell r="A1638">
            <v>46148</v>
          </cell>
          <cell r="C1638" t="str">
            <v xml:space="preserve">Itapaci </v>
          </cell>
          <cell r="H1638">
            <v>33.14</v>
          </cell>
        </row>
        <row r="1639">
          <cell r="A1639">
            <v>46148</v>
          </cell>
          <cell r="C1639" t="str">
            <v xml:space="preserve">Itapaci </v>
          </cell>
          <cell r="H1639">
            <v>33.78</v>
          </cell>
        </row>
        <row r="1640">
          <cell r="A1640">
            <v>46147</v>
          </cell>
          <cell r="C1640" t="str">
            <v xml:space="preserve">Bela Vista </v>
          </cell>
          <cell r="H1640">
            <v>34.74</v>
          </cell>
        </row>
        <row r="1641">
          <cell r="A1641">
            <v>46147</v>
          </cell>
          <cell r="C1641" t="str">
            <v xml:space="preserve">Bela Vista </v>
          </cell>
          <cell r="H1641">
            <v>33.979999999999997</v>
          </cell>
        </row>
        <row r="1642">
          <cell r="A1642">
            <v>46147</v>
          </cell>
          <cell r="C1642" t="str">
            <v xml:space="preserve">Bela Vista </v>
          </cell>
          <cell r="H1642">
            <v>35.119999999999997</v>
          </cell>
        </row>
        <row r="1643">
          <cell r="A1643">
            <v>46147</v>
          </cell>
          <cell r="C1643" t="str">
            <v xml:space="preserve">Bela Vista </v>
          </cell>
          <cell r="H1643">
            <v>34.24</v>
          </cell>
        </row>
        <row r="1644">
          <cell r="A1644">
            <v>46147</v>
          </cell>
          <cell r="C1644" t="str">
            <v xml:space="preserve">Bela Vista </v>
          </cell>
          <cell r="H1644">
            <v>34.700000000000003</v>
          </cell>
        </row>
        <row r="1645">
          <cell r="A1645">
            <v>46147</v>
          </cell>
          <cell r="C1645" t="str">
            <v xml:space="preserve">Bela Vista </v>
          </cell>
          <cell r="H1645">
            <v>34.9</v>
          </cell>
        </row>
        <row r="1646">
          <cell r="A1646">
            <v>46147</v>
          </cell>
          <cell r="C1646" t="str">
            <v xml:space="preserve">Bela Vista </v>
          </cell>
          <cell r="H1646">
            <v>34.659999999999997</v>
          </cell>
        </row>
        <row r="1647">
          <cell r="A1647">
            <v>46147</v>
          </cell>
          <cell r="C1647" t="str">
            <v xml:space="preserve">Bela Vista </v>
          </cell>
          <cell r="H1647">
            <v>34.840000000000003</v>
          </cell>
        </row>
        <row r="1648">
          <cell r="A1648">
            <v>46147</v>
          </cell>
          <cell r="C1648" t="str">
            <v xml:space="preserve">Bela Vista </v>
          </cell>
          <cell r="H1648">
            <v>36.799999999999997</v>
          </cell>
        </row>
        <row r="1649">
          <cell r="A1649">
            <v>46148</v>
          </cell>
          <cell r="C1649" t="str">
            <v xml:space="preserve">Bela Vista </v>
          </cell>
          <cell r="H1649">
            <v>34.46</v>
          </cell>
        </row>
        <row r="1650">
          <cell r="A1650">
            <v>46148</v>
          </cell>
          <cell r="C1650" t="str">
            <v xml:space="preserve">Bela Vista </v>
          </cell>
          <cell r="H1650">
            <v>48.24</v>
          </cell>
        </row>
        <row r="1651">
          <cell r="A1651">
            <v>46148</v>
          </cell>
          <cell r="C1651" t="str">
            <v xml:space="preserve">Itapaci </v>
          </cell>
          <cell r="H1651">
            <v>35.46</v>
          </cell>
        </row>
        <row r="1652">
          <cell r="A1652">
            <v>46148</v>
          </cell>
          <cell r="C1652" t="str">
            <v xml:space="preserve">Itapaci </v>
          </cell>
          <cell r="H1652">
            <v>35.22</v>
          </cell>
        </row>
        <row r="1653">
          <cell r="A1653">
            <v>46148</v>
          </cell>
          <cell r="C1653" t="str">
            <v xml:space="preserve">Itapaci </v>
          </cell>
          <cell r="H1653">
            <v>32.200000000000003</v>
          </cell>
        </row>
        <row r="1654">
          <cell r="A1654">
            <v>46148</v>
          </cell>
          <cell r="C1654" t="str">
            <v xml:space="preserve">Itapaci </v>
          </cell>
          <cell r="H1654">
            <v>71.02</v>
          </cell>
        </row>
        <row r="1655">
          <cell r="A1655">
            <v>46148</v>
          </cell>
          <cell r="C1655" t="str">
            <v xml:space="preserve">Itapaci </v>
          </cell>
          <cell r="H1655">
            <v>65.06</v>
          </cell>
        </row>
        <row r="1656">
          <cell r="A1656">
            <v>46148</v>
          </cell>
          <cell r="C1656" t="str">
            <v xml:space="preserve">Itapaci </v>
          </cell>
          <cell r="H1656">
            <v>64.400000000000006</v>
          </cell>
        </row>
        <row r="1657">
          <cell r="A1657">
            <v>46148</v>
          </cell>
          <cell r="C1657" t="str">
            <v xml:space="preserve">Itapaci </v>
          </cell>
          <cell r="H1657">
            <v>71.38</v>
          </cell>
        </row>
        <row r="1658">
          <cell r="A1658">
            <v>46148</v>
          </cell>
          <cell r="C1658" t="str">
            <v xml:space="preserve">Itapaci </v>
          </cell>
          <cell r="H1658">
            <v>71.680000000000007</v>
          </cell>
        </row>
        <row r="1659">
          <cell r="A1659">
            <v>46148</v>
          </cell>
          <cell r="C1659" t="str">
            <v xml:space="preserve">Itapaci </v>
          </cell>
          <cell r="H1659">
            <v>34.76</v>
          </cell>
        </row>
        <row r="1660">
          <cell r="A1660">
            <v>46148</v>
          </cell>
          <cell r="C1660" t="str">
            <v xml:space="preserve">Itapaci </v>
          </cell>
          <cell r="H1660">
            <v>33.28</v>
          </cell>
        </row>
        <row r="1661">
          <cell r="A1661">
            <v>46148</v>
          </cell>
          <cell r="C1661" t="str">
            <v xml:space="preserve">Itapaci </v>
          </cell>
          <cell r="H1661">
            <v>62.42</v>
          </cell>
        </row>
        <row r="1662">
          <cell r="A1662">
            <v>46148</v>
          </cell>
          <cell r="C1662" t="str">
            <v xml:space="preserve">Itapaci </v>
          </cell>
          <cell r="H1662">
            <v>42.68</v>
          </cell>
        </row>
        <row r="1663">
          <cell r="A1663">
            <v>46148</v>
          </cell>
          <cell r="C1663" t="str">
            <v xml:space="preserve">Itapaci </v>
          </cell>
          <cell r="H1663">
            <v>33.68</v>
          </cell>
        </row>
        <row r="1664">
          <cell r="A1664">
            <v>46148</v>
          </cell>
          <cell r="C1664" t="str">
            <v xml:space="preserve">Itapaci </v>
          </cell>
          <cell r="H1664">
            <v>33.76</v>
          </cell>
        </row>
        <row r="1665">
          <cell r="A1665">
            <v>46148</v>
          </cell>
          <cell r="C1665" t="str">
            <v xml:space="preserve">Itapaci </v>
          </cell>
          <cell r="H1665">
            <v>33.6</v>
          </cell>
        </row>
        <row r="1666">
          <cell r="A1666">
            <v>46149</v>
          </cell>
          <cell r="C1666" t="str">
            <v xml:space="preserve">Itapaci </v>
          </cell>
          <cell r="H1666">
            <v>34.799999999999997</v>
          </cell>
        </row>
        <row r="1667">
          <cell r="A1667">
            <v>46149</v>
          </cell>
          <cell r="C1667" t="str">
            <v xml:space="preserve">Itapaci </v>
          </cell>
          <cell r="H1667">
            <v>35.18</v>
          </cell>
        </row>
        <row r="1668">
          <cell r="A1668">
            <v>46149</v>
          </cell>
          <cell r="C1668" t="str">
            <v xml:space="preserve">Itapaci </v>
          </cell>
          <cell r="H1668">
            <v>33.700000000000003</v>
          </cell>
        </row>
        <row r="1669">
          <cell r="A1669">
            <v>46149</v>
          </cell>
          <cell r="C1669" t="str">
            <v xml:space="preserve">Itapaci </v>
          </cell>
          <cell r="H1669">
            <v>33.520000000000003</v>
          </cell>
        </row>
        <row r="1670">
          <cell r="A1670">
            <v>46149</v>
          </cell>
          <cell r="C1670" t="str">
            <v xml:space="preserve">Itapaci </v>
          </cell>
          <cell r="H1670">
            <v>34.56</v>
          </cell>
        </row>
        <row r="1671">
          <cell r="A1671">
            <v>46150</v>
          </cell>
          <cell r="C1671" t="str">
            <v xml:space="preserve">Itapaci </v>
          </cell>
          <cell r="H1671">
            <v>35.4</v>
          </cell>
        </row>
        <row r="1672">
          <cell r="A1672">
            <v>46149</v>
          </cell>
          <cell r="C1672" t="str">
            <v xml:space="preserve">Itapaci </v>
          </cell>
          <cell r="H1672">
            <v>30.42</v>
          </cell>
        </row>
        <row r="1673">
          <cell r="A1673">
            <v>46149</v>
          </cell>
          <cell r="C1673" t="str">
            <v xml:space="preserve">Itapaci </v>
          </cell>
          <cell r="H1673">
            <v>34.54</v>
          </cell>
        </row>
        <row r="1674">
          <cell r="A1674">
            <v>46149</v>
          </cell>
          <cell r="C1674" t="str">
            <v xml:space="preserve">Itapaci </v>
          </cell>
          <cell r="H1674">
            <v>34.619999999999997</v>
          </cell>
        </row>
        <row r="1675">
          <cell r="A1675">
            <v>46149</v>
          </cell>
          <cell r="C1675" t="str">
            <v xml:space="preserve">Itapaci </v>
          </cell>
          <cell r="H1675">
            <v>70.760000000000005</v>
          </cell>
        </row>
        <row r="1676">
          <cell r="A1676">
            <v>46149</v>
          </cell>
          <cell r="C1676" t="str">
            <v xml:space="preserve">Itapaci </v>
          </cell>
          <cell r="H1676">
            <v>70.900000000000006</v>
          </cell>
        </row>
        <row r="1677">
          <cell r="A1677">
            <v>46149</v>
          </cell>
          <cell r="C1677" t="str">
            <v xml:space="preserve">Itapaci </v>
          </cell>
          <cell r="H1677">
            <v>68.2</v>
          </cell>
        </row>
        <row r="1678">
          <cell r="A1678">
            <v>46149</v>
          </cell>
          <cell r="C1678" t="str">
            <v xml:space="preserve">Itapaci </v>
          </cell>
          <cell r="H1678">
            <v>33.04</v>
          </cell>
        </row>
        <row r="1679">
          <cell r="A1679">
            <v>46149</v>
          </cell>
          <cell r="C1679" t="str">
            <v xml:space="preserve">Itapaci </v>
          </cell>
          <cell r="H1679">
            <v>64.58</v>
          </cell>
        </row>
        <row r="1680">
          <cell r="A1680">
            <v>46149</v>
          </cell>
          <cell r="C1680" t="str">
            <v xml:space="preserve">Itapaci </v>
          </cell>
          <cell r="H1680">
            <v>42.52</v>
          </cell>
        </row>
        <row r="1681">
          <cell r="A1681">
            <v>46148</v>
          </cell>
          <cell r="C1681" t="str">
            <v xml:space="preserve">Bela Vista </v>
          </cell>
          <cell r="H1681">
            <v>43.92</v>
          </cell>
        </row>
        <row r="1682">
          <cell r="A1682">
            <v>46148</v>
          </cell>
          <cell r="C1682" t="str">
            <v xml:space="preserve">Bela Vista </v>
          </cell>
          <cell r="H1682">
            <v>35.82</v>
          </cell>
        </row>
        <row r="1683">
          <cell r="A1683">
            <v>46148</v>
          </cell>
          <cell r="C1683" t="str">
            <v xml:space="preserve">Bela Vista </v>
          </cell>
          <cell r="H1683">
            <v>40.520000000000003</v>
          </cell>
        </row>
        <row r="1684">
          <cell r="A1684">
            <v>46148</v>
          </cell>
          <cell r="C1684" t="str">
            <v xml:space="preserve">Bela Vista </v>
          </cell>
          <cell r="H1684">
            <v>39.58</v>
          </cell>
        </row>
        <row r="1685">
          <cell r="A1685">
            <v>46148</v>
          </cell>
          <cell r="C1685" t="str">
            <v xml:space="preserve">Bela Vista </v>
          </cell>
          <cell r="H1685">
            <v>39.159999999999997</v>
          </cell>
        </row>
        <row r="1686">
          <cell r="A1686">
            <v>46148</v>
          </cell>
          <cell r="C1686" t="str">
            <v xml:space="preserve">Bela Vista </v>
          </cell>
          <cell r="H1686">
            <v>35.5</v>
          </cell>
        </row>
        <row r="1687">
          <cell r="A1687">
            <v>46148</v>
          </cell>
          <cell r="C1687" t="str">
            <v xml:space="preserve">Bela Vista </v>
          </cell>
          <cell r="H1687">
            <v>33.700000000000003</v>
          </cell>
        </row>
        <row r="1688">
          <cell r="A1688">
            <v>46148</v>
          </cell>
          <cell r="C1688" t="str">
            <v xml:space="preserve">Bela Vista </v>
          </cell>
          <cell r="H1688">
            <v>47.54</v>
          </cell>
        </row>
        <row r="1689">
          <cell r="A1689">
            <v>46148</v>
          </cell>
          <cell r="C1689" t="str">
            <v xml:space="preserve">Bela Vista </v>
          </cell>
          <cell r="H1689">
            <v>50.2</v>
          </cell>
        </row>
        <row r="1690">
          <cell r="A1690">
            <v>46148</v>
          </cell>
          <cell r="C1690" t="str">
            <v xml:space="preserve">Bela Vista </v>
          </cell>
          <cell r="H1690">
            <v>35.6</v>
          </cell>
        </row>
        <row r="1691">
          <cell r="A1691">
            <v>46148</v>
          </cell>
          <cell r="C1691" t="str">
            <v xml:space="preserve">Bela Vista </v>
          </cell>
          <cell r="H1691">
            <v>43.66</v>
          </cell>
        </row>
        <row r="1692">
          <cell r="A1692">
            <v>46148</v>
          </cell>
          <cell r="C1692" t="str">
            <v xml:space="preserve">Bela Vista </v>
          </cell>
          <cell r="H1692">
            <v>34.86</v>
          </cell>
        </row>
        <row r="1693">
          <cell r="A1693">
            <v>46148</v>
          </cell>
          <cell r="C1693" t="str">
            <v xml:space="preserve">Bela Vista </v>
          </cell>
          <cell r="H1693">
            <v>37.82</v>
          </cell>
        </row>
        <row r="1694">
          <cell r="A1694">
            <v>46148</v>
          </cell>
          <cell r="C1694" t="str">
            <v xml:space="preserve">Bela Vista </v>
          </cell>
          <cell r="H1694">
            <v>37.380000000000003</v>
          </cell>
        </row>
        <row r="1695">
          <cell r="A1695">
            <v>46148</v>
          </cell>
          <cell r="C1695" t="str">
            <v xml:space="preserve">Bela Vista </v>
          </cell>
          <cell r="H1695">
            <v>42.3</v>
          </cell>
        </row>
        <row r="1696">
          <cell r="A1696">
            <v>46148</v>
          </cell>
          <cell r="C1696" t="str">
            <v xml:space="preserve">Bela Vista </v>
          </cell>
          <cell r="H1696">
            <v>46.58</v>
          </cell>
        </row>
        <row r="1697">
          <cell r="A1697">
            <v>46148</v>
          </cell>
          <cell r="C1697" t="str">
            <v xml:space="preserve">Bela Vista </v>
          </cell>
          <cell r="H1697">
            <v>49.34</v>
          </cell>
        </row>
        <row r="1698">
          <cell r="A1698">
            <v>46149</v>
          </cell>
          <cell r="C1698" t="str">
            <v xml:space="preserve">Bela Vista </v>
          </cell>
          <cell r="H1698">
            <v>44.58</v>
          </cell>
        </row>
        <row r="1699">
          <cell r="A1699">
            <v>46148</v>
          </cell>
          <cell r="C1699" t="str">
            <v xml:space="preserve">Bela Vista </v>
          </cell>
          <cell r="H1699">
            <v>39.64</v>
          </cell>
        </row>
        <row r="1700">
          <cell r="A1700">
            <v>46149</v>
          </cell>
          <cell r="C1700" t="str">
            <v xml:space="preserve">Bela Vista </v>
          </cell>
          <cell r="H1700">
            <v>39.18</v>
          </cell>
        </row>
        <row r="1701">
          <cell r="A1701">
            <v>46149</v>
          </cell>
          <cell r="C1701" t="str">
            <v xml:space="preserve">Bela Vista </v>
          </cell>
          <cell r="H1701">
            <v>44.94</v>
          </cell>
        </row>
        <row r="1702">
          <cell r="A1702">
            <v>46149</v>
          </cell>
          <cell r="C1702" t="str">
            <v xml:space="preserve">Bela Vista </v>
          </cell>
          <cell r="H1702">
            <v>38</v>
          </cell>
        </row>
        <row r="1703">
          <cell r="A1703">
            <v>46149</v>
          </cell>
          <cell r="C1703" t="str">
            <v xml:space="preserve">Bela Vista </v>
          </cell>
          <cell r="H1703">
            <v>44.06</v>
          </cell>
        </row>
        <row r="1704">
          <cell r="A1704">
            <v>46149</v>
          </cell>
          <cell r="C1704" t="str">
            <v xml:space="preserve">Bela Vista </v>
          </cell>
          <cell r="H1704">
            <v>45.5</v>
          </cell>
        </row>
        <row r="1705">
          <cell r="A1705">
            <v>46149</v>
          </cell>
          <cell r="C1705" t="str">
            <v xml:space="preserve">Bela Vista </v>
          </cell>
          <cell r="H1705">
            <v>42.74</v>
          </cell>
        </row>
        <row r="1706">
          <cell r="A1706">
            <v>46149</v>
          </cell>
          <cell r="C1706" t="str">
            <v xml:space="preserve">Bela Vista </v>
          </cell>
          <cell r="H1706">
            <v>44.12</v>
          </cell>
        </row>
        <row r="1707">
          <cell r="A1707">
            <v>46149</v>
          </cell>
          <cell r="C1707" t="str">
            <v xml:space="preserve">Bela Vista </v>
          </cell>
          <cell r="H1707">
            <v>50.9</v>
          </cell>
        </row>
        <row r="1708">
          <cell r="A1708">
            <v>46149</v>
          </cell>
          <cell r="C1708" t="str">
            <v xml:space="preserve">Bela Vista </v>
          </cell>
          <cell r="H1708">
            <v>57.26</v>
          </cell>
        </row>
        <row r="1709">
          <cell r="A1709">
            <v>46149</v>
          </cell>
          <cell r="C1709" t="str">
            <v xml:space="preserve">Itapaci </v>
          </cell>
          <cell r="H1709">
            <v>73.52</v>
          </cell>
        </row>
        <row r="1710">
          <cell r="A1710">
            <v>46149</v>
          </cell>
          <cell r="C1710" t="str">
            <v xml:space="preserve">Itapaci </v>
          </cell>
          <cell r="H1710">
            <v>35.24</v>
          </cell>
        </row>
        <row r="1711">
          <cell r="A1711">
            <v>46149</v>
          </cell>
          <cell r="C1711" t="str">
            <v xml:space="preserve">Itapaci </v>
          </cell>
          <cell r="H1711">
            <v>34.26</v>
          </cell>
        </row>
        <row r="1712">
          <cell r="A1712">
            <v>46149</v>
          </cell>
          <cell r="C1712" t="str">
            <v xml:space="preserve">Itapaci </v>
          </cell>
          <cell r="H1712">
            <v>33.64</v>
          </cell>
        </row>
        <row r="1713">
          <cell r="A1713">
            <v>46149</v>
          </cell>
          <cell r="C1713" t="str">
            <v xml:space="preserve">Itapaci </v>
          </cell>
          <cell r="H1713">
            <v>34.28</v>
          </cell>
        </row>
        <row r="1714">
          <cell r="A1714">
            <v>46149</v>
          </cell>
          <cell r="C1714" t="str">
            <v xml:space="preserve">Itapaci </v>
          </cell>
          <cell r="H1714">
            <v>41.74</v>
          </cell>
        </row>
        <row r="1715">
          <cell r="A1715">
            <v>46149</v>
          </cell>
          <cell r="C1715" t="str">
            <v xml:space="preserve">Itapaci </v>
          </cell>
          <cell r="H1715">
            <v>64.88</v>
          </cell>
        </row>
        <row r="1716">
          <cell r="A1716">
            <v>46149</v>
          </cell>
          <cell r="C1716" t="str">
            <v xml:space="preserve">Itapaci </v>
          </cell>
          <cell r="H1716">
            <v>36.5</v>
          </cell>
        </row>
        <row r="1717">
          <cell r="A1717">
            <v>46149</v>
          </cell>
          <cell r="C1717" t="str">
            <v xml:space="preserve">Itapaci </v>
          </cell>
          <cell r="H1717">
            <v>34.92</v>
          </cell>
        </row>
        <row r="1718">
          <cell r="A1718">
            <v>46149</v>
          </cell>
          <cell r="C1718" t="str">
            <v xml:space="preserve">Itapaci </v>
          </cell>
          <cell r="H1718">
            <v>62.66</v>
          </cell>
        </row>
        <row r="1719">
          <cell r="A1719">
            <v>46151</v>
          </cell>
          <cell r="C1719" t="str">
            <v xml:space="preserve">Itapaci </v>
          </cell>
          <cell r="H1719">
            <v>71.28</v>
          </cell>
        </row>
        <row r="1720">
          <cell r="A1720">
            <v>46149</v>
          </cell>
          <cell r="C1720" t="str">
            <v xml:space="preserve">Itapaci </v>
          </cell>
          <cell r="H1720">
            <v>71.28</v>
          </cell>
        </row>
        <row r="1721">
          <cell r="A1721">
            <v>46150</v>
          </cell>
          <cell r="C1721" t="str">
            <v xml:space="preserve">Itapaci </v>
          </cell>
          <cell r="H1721">
            <v>34.119999999999997</v>
          </cell>
        </row>
        <row r="1722">
          <cell r="A1722">
            <v>46150</v>
          </cell>
          <cell r="C1722" t="str">
            <v xml:space="preserve">Itapaci </v>
          </cell>
          <cell r="H1722">
            <v>43.54</v>
          </cell>
        </row>
        <row r="1723">
          <cell r="A1723">
            <v>46150</v>
          </cell>
          <cell r="C1723" t="str">
            <v xml:space="preserve">Itapaci </v>
          </cell>
          <cell r="H1723">
            <v>71.94</v>
          </cell>
        </row>
        <row r="1724">
          <cell r="A1724">
            <v>46149</v>
          </cell>
          <cell r="C1724" t="str">
            <v xml:space="preserve">Bela Vista </v>
          </cell>
          <cell r="H1724">
            <v>37.76</v>
          </cell>
        </row>
        <row r="1725">
          <cell r="A1725">
            <v>46149</v>
          </cell>
          <cell r="C1725" t="str">
            <v xml:space="preserve">Bela Vista </v>
          </cell>
          <cell r="H1725">
            <v>43.84</v>
          </cell>
        </row>
        <row r="1726">
          <cell r="A1726">
            <v>46149</v>
          </cell>
          <cell r="C1726" t="str">
            <v xml:space="preserve">Bela Vista </v>
          </cell>
          <cell r="H1726">
            <v>38.6</v>
          </cell>
        </row>
        <row r="1727">
          <cell r="A1727">
            <v>46149</v>
          </cell>
          <cell r="C1727" t="str">
            <v xml:space="preserve">Bela Vista </v>
          </cell>
          <cell r="H1727">
            <v>50.48</v>
          </cell>
        </row>
        <row r="1728">
          <cell r="A1728">
            <v>46149</v>
          </cell>
          <cell r="C1728" t="str">
            <v xml:space="preserve">Bela Vista </v>
          </cell>
          <cell r="H1728">
            <v>54.4</v>
          </cell>
        </row>
        <row r="1729">
          <cell r="A1729">
            <v>46149</v>
          </cell>
          <cell r="C1729" t="str">
            <v xml:space="preserve">Bela Vista </v>
          </cell>
          <cell r="H1729">
            <v>41.42</v>
          </cell>
        </row>
        <row r="1730">
          <cell r="A1730">
            <v>46149</v>
          </cell>
          <cell r="C1730" t="str">
            <v xml:space="preserve">Bela Vista </v>
          </cell>
          <cell r="H1730">
            <v>41.82</v>
          </cell>
        </row>
        <row r="1731">
          <cell r="A1731">
            <v>46149</v>
          </cell>
          <cell r="C1731" t="str">
            <v xml:space="preserve">Bela Vista </v>
          </cell>
          <cell r="H1731">
            <v>41.48</v>
          </cell>
        </row>
        <row r="1732">
          <cell r="A1732">
            <v>46149</v>
          </cell>
          <cell r="C1732" t="str">
            <v xml:space="preserve">Bela Vista </v>
          </cell>
          <cell r="H1732">
            <v>42.92</v>
          </cell>
        </row>
        <row r="1733">
          <cell r="A1733">
            <v>46149</v>
          </cell>
          <cell r="C1733" t="str">
            <v xml:space="preserve">Bela Vista </v>
          </cell>
          <cell r="H1733">
            <v>42.74</v>
          </cell>
        </row>
        <row r="1734">
          <cell r="A1734">
            <v>46149</v>
          </cell>
          <cell r="C1734" t="str">
            <v xml:space="preserve">Bela Vista </v>
          </cell>
          <cell r="H1734">
            <v>37</v>
          </cell>
        </row>
        <row r="1735">
          <cell r="A1735">
            <v>46149</v>
          </cell>
          <cell r="C1735" t="str">
            <v xml:space="preserve">Bela Vista </v>
          </cell>
          <cell r="H1735">
            <v>42.66</v>
          </cell>
        </row>
        <row r="1736">
          <cell r="A1736">
            <v>46149</v>
          </cell>
          <cell r="C1736" t="str">
            <v xml:space="preserve">Bela Vista </v>
          </cell>
          <cell r="H1736">
            <v>36.76</v>
          </cell>
        </row>
        <row r="1737">
          <cell r="A1737">
            <v>46149</v>
          </cell>
          <cell r="C1737" t="str">
            <v xml:space="preserve">Bela Vista </v>
          </cell>
          <cell r="H1737">
            <v>44.94</v>
          </cell>
        </row>
        <row r="1738">
          <cell r="A1738">
            <v>46149</v>
          </cell>
          <cell r="C1738" t="str">
            <v xml:space="preserve">Bela Vista </v>
          </cell>
          <cell r="H1738">
            <v>39.1</v>
          </cell>
        </row>
        <row r="1739">
          <cell r="A1739">
            <v>46149</v>
          </cell>
          <cell r="C1739" t="str">
            <v xml:space="preserve">Bela Vista </v>
          </cell>
          <cell r="H1739">
            <v>48.1</v>
          </cell>
        </row>
        <row r="1740">
          <cell r="A1740">
            <v>46149</v>
          </cell>
          <cell r="C1740" t="str">
            <v xml:space="preserve">Bela Vista </v>
          </cell>
          <cell r="H1740">
            <v>56.72</v>
          </cell>
        </row>
        <row r="1741">
          <cell r="A1741">
            <v>46149</v>
          </cell>
          <cell r="C1741" t="str">
            <v xml:space="preserve">Bela Vista </v>
          </cell>
          <cell r="H1741">
            <v>41.24</v>
          </cell>
        </row>
        <row r="1742">
          <cell r="A1742">
            <v>46151</v>
          </cell>
          <cell r="C1742" t="str">
            <v xml:space="preserve">Bela Vista </v>
          </cell>
          <cell r="H1742">
            <v>38.4</v>
          </cell>
        </row>
        <row r="1743">
          <cell r="A1743">
            <v>46150</v>
          </cell>
          <cell r="C1743" t="str">
            <v xml:space="preserve">Bela Vista </v>
          </cell>
          <cell r="H1743">
            <v>44.56</v>
          </cell>
        </row>
        <row r="1744">
          <cell r="A1744">
            <v>46150</v>
          </cell>
          <cell r="C1744" t="str">
            <v xml:space="preserve">Bela Vista </v>
          </cell>
          <cell r="H1744">
            <v>37.659999999999997</v>
          </cell>
        </row>
        <row r="1745">
          <cell r="A1745">
            <v>46150</v>
          </cell>
          <cell r="C1745" t="str">
            <v xml:space="preserve">Bela Vista </v>
          </cell>
          <cell r="H1745">
            <v>41.78</v>
          </cell>
        </row>
        <row r="1746">
          <cell r="A1746">
            <v>46150</v>
          </cell>
          <cell r="C1746" t="str">
            <v xml:space="preserve">Bela Vista </v>
          </cell>
          <cell r="H1746">
            <v>43.34</v>
          </cell>
        </row>
        <row r="1747">
          <cell r="A1747">
            <v>46150</v>
          </cell>
          <cell r="C1747" t="str">
            <v xml:space="preserve">Bela Vista </v>
          </cell>
          <cell r="H1747">
            <v>45.4</v>
          </cell>
        </row>
        <row r="1748">
          <cell r="A1748">
            <v>46150</v>
          </cell>
          <cell r="C1748" t="str">
            <v xml:space="preserve">Bela Vista </v>
          </cell>
          <cell r="H1748">
            <v>29.54</v>
          </cell>
        </row>
        <row r="1749">
          <cell r="A1749">
            <v>46150</v>
          </cell>
          <cell r="C1749" t="str">
            <v xml:space="preserve">Bela Vista </v>
          </cell>
          <cell r="H1749">
            <v>34.58</v>
          </cell>
        </row>
        <row r="1750">
          <cell r="A1750">
            <v>46150</v>
          </cell>
          <cell r="C1750" t="str">
            <v xml:space="preserve">Bela Vista </v>
          </cell>
          <cell r="H1750">
            <v>50.16</v>
          </cell>
        </row>
        <row r="1751">
          <cell r="A1751">
            <v>46150</v>
          </cell>
          <cell r="C1751" t="str">
            <v xml:space="preserve">Bela Vista </v>
          </cell>
          <cell r="H1751">
            <v>53.28</v>
          </cell>
        </row>
        <row r="1752">
          <cell r="A1752">
            <v>46150</v>
          </cell>
          <cell r="C1752" t="str">
            <v xml:space="preserve">Bela Vista </v>
          </cell>
          <cell r="H1752">
            <v>33.9</v>
          </cell>
        </row>
        <row r="1753">
          <cell r="A1753">
            <v>46150</v>
          </cell>
          <cell r="C1753" t="str">
            <v xml:space="preserve">Bela Vista </v>
          </cell>
          <cell r="H1753">
            <v>44.34</v>
          </cell>
        </row>
        <row r="1754">
          <cell r="A1754">
            <v>46150</v>
          </cell>
          <cell r="C1754" t="str">
            <v xml:space="preserve">Itapaci </v>
          </cell>
          <cell r="H1754">
            <v>66</v>
          </cell>
        </row>
        <row r="1755">
          <cell r="A1755">
            <v>46150</v>
          </cell>
          <cell r="C1755" t="str">
            <v xml:space="preserve">Itapaci </v>
          </cell>
          <cell r="H1755">
            <v>65.36</v>
          </cell>
        </row>
        <row r="1756">
          <cell r="A1756">
            <v>46150</v>
          </cell>
          <cell r="C1756" t="str">
            <v xml:space="preserve">Itapaci </v>
          </cell>
          <cell r="H1756">
            <v>71.819999999999993</v>
          </cell>
        </row>
        <row r="1757">
          <cell r="A1757">
            <v>46154</v>
          </cell>
          <cell r="C1757" t="str">
            <v xml:space="preserve">Itapaci </v>
          </cell>
          <cell r="H1757">
            <v>35.119999999999997</v>
          </cell>
        </row>
        <row r="1758">
          <cell r="A1758">
            <v>46150</v>
          </cell>
          <cell r="C1758" t="str">
            <v xml:space="preserve">Itapaci </v>
          </cell>
          <cell r="H1758">
            <v>34.54</v>
          </cell>
        </row>
        <row r="1759">
          <cell r="A1759">
            <v>46150</v>
          </cell>
          <cell r="C1759" t="str">
            <v xml:space="preserve">Itapaci </v>
          </cell>
          <cell r="H1759">
            <v>33.86</v>
          </cell>
        </row>
        <row r="1760">
          <cell r="A1760">
            <v>46150</v>
          </cell>
          <cell r="C1760" t="str">
            <v xml:space="preserve">Itapaci </v>
          </cell>
          <cell r="H1760">
            <v>36.979999999999997</v>
          </cell>
        </row>
        <row r="1761">
          <cell r="A1761">
            <v>46150</v>
          </cell>
          <cell r="C1761" t="str">
            <v xml:space="preserve">Itapaci </v>
          </cell>
          <cell r="H1761">
            <v>43.04</v>
          </cell>
        </row>
        <row r="1762">
          <cell r="A1762">
            <v>46151</v>
          </cell>
          <cell r="C1762" t="str">
            <v xml:space="preserve">Itapaci </v>
          </cell>
          <cell r="H1762">
            <v>72.06</v>
          </cell>
        </row>
        <row r="1763">
          <cell r="A1763">
            <v>46151</v>
          </cell>
          <cell r="C1763" t="str">
            <v xml:space="preserve">Itapaci </v>
          </cell>
          <cell r="H1763">
            <v>33.4</v>
          </cell>
        </row>
        <row r="1764">
          <cell r="A1764">
            <v>46153</v>
          </cell>
          <cell r="C1764" t="str">
            <v xml:space="preserve">Itapaci </v>
          </cell>
          <cell r="H1764">
            <v>33.299999999999997</v>
          </cell>
        </row>
        <row r="1765">
          <cell r="A1765">
            <v>46151</v>
          </cell>
          <cell r="C1765" t="str">
            <v xml:space="preserve">Itapaci </v>
          </cell>
          <cell r="H1765">
            <v>34.619999999999997</v>
          </cell>
        </row>
        <row r="1766">
          <cell r="A1766">
            <v>46151</v>
          </cell>
          <cell r="C1766" t="str">
            <v xml:space="preserve">Itapaci </v>
          </cell>
          <cell r="H1766">
            <v>34.979999999999997</v>
          </cell>
        </row>
        <row r="1767">
          <cell r="A1767">
            <v>46151</v>
          </cell>
          <cell r="C1767" t="str">
            <v xml:space="preserve">Itapaci </v>
          </cell>
          <cell r="H1767">
            <v>67.7</v>
          </cell>
        </row>
        <row r="1768">
          <cell r="A1768">
            <v>46151</v>
          </cell>
          <cell r="C1768" t="str">
            <v xml:space="preserve">Itapaci </v>
          </cell>
          <cell r="H1768">
            <v>72</v>
          </cell>
        </row>
        <row r="1769">
          <cell r="A1769">
            <v>46153</v>
          </cell>
          <cell r="C1769" t="str">
            <v xml:space="preserve">Itapaci </v>
          </cell>
          <cell r="H1769">
            <v>34.28</v>
          </cell>
        </row>
        <row r="1770">
          <cell r="A1770">
            <v>46151</v>
          </cell>
          <cell r="C1770" t="str">
            <v xml:space="preserve">Itapaci </v>
          </cell>
          <cell r="H1770">
            <v>71.12</v>
          </cell>
        </row>
        <row r="1771">
          <cell r="A1771">
            <v>46151</v>
          </cell>
          <cell r="C1771" t="str">
            <v xml:space="preserve">Itapaci </v>
          </cell>
          <cell r="H1771">
            <v>34.22</v>
          </cell>
        </row>
        <row r="1772">
          <cell r="A1772">
            <v>46153</v>
          </cell>
          <cell r="C1772" t="str">
            <v xml:space="preserve">Itapaci </v>
          </cell>
          <cell r="H1772">
            <v>34.340000000000003</v>
          </cell>
        </row>
        <row r="1773">
          <cell r="A1773">
            <v>46151</v>
          </cell>
          <cell r="C1773" t="str">
            <v xml:space="preserve">Itapaci </v>
          </cell>
          <cell r="H1773">
            <v>36.26</v>
          </cell>
        </row>
        <row r="1774">
          <cell r="A1774">
            <v>46151</v>
          </cell>
          <cell r="C1774" t="str">
            <v xml:space="preserve">Itapaci </v>
          </cell>
          <cell r="H1774">
            <v>37.64</v>
          </cell>
        </row>
        <row r="1775">
          <cell r="A1775">
            <v>46150</v>
          </cell>
          <cell r="C1775" t="str">
            <v xml:space="preserve">Bela Vista </v>
          </cell>
          <cell r="H1775">
            <v>36.520000000000003</v>
          </cell>
        </row>
        <row r="1776">
          <cell r="A1776">
            <v>46150</v>
          </cell>
          <cell r="C1776" t="str">
            <v xml:space="preserve">Bela Vista </v>
          </cell>
          <cell r="H1776">
            <v>37.24</v>
          </cell>
        </row>
        <row r="1777">
          <cell r="A1777">
            <v>46150</v>
          </cell>
          <cell r="C1777" t="str">
            <v xml:space="preserve">Bela Vista </v>
          </cell>
          <cell r="H1777">
            <v>52.32</v>
          </cell>
        </row>
        <row r="1778">
          <cell r="A1778">
            <v>46150</v>
          </cell>
          <cell r="C1778" t="str">
            <v xml:space="preserve">Bela Vista </v>
          </cell>
          <cell r="H1778">
            <v>55.26</v>
          </cell>
        </row>
        <row r="1779">
          <cell r="A1779">
            <v>46150</v>
          </cell>
          <cell r="C1779" t="str">
            <v xml:space="preserve">Bela Vista </v>
          </cell>
          <cell r="H1779">
            <v>45.48</v>
          </cell>
        </row>
        <row r="1780">
          <cell r="A1780">
            <v>46150</v>
          </cell>
          <cell r="C1780" t="str">
            <v xml:space="preserve">Bela Vista </v>
          </cell>
          <cell r="H1780">
            <v>46.1</v>
          </cell>
        </row>
        <row r="1781">
          <cell r="A1781">
            <v>46150</v>
          </cell>
          <cell r="C1781" t="str">
            <v xml:space="preserve">Bela Vista </v>
          </cell>
          <cell r="H1781">
            <v>45.58</v>
          </cell>
        </row>
        <row r="1782">
          <cell r="A1782">
            <v>46150</v>
          </cell>
          <cell r="C1782" t="str">
            <v xml:space="preserve">Bela Vista </v>
          </cell>
          <cell r="H1782">
            <v>44.88</v>
          </cell>
        </row>
        <row r="1783">
          <cell r="A1783">
            <v>46150</v>
          </cell>
          <cell r="C1783" t="str">
            <v xml:space="preserve">Bela Vista </v>
          </cell>
          <cell r="H1783">
            <v>29.56</v>
          </cell>
        </row>
        <row r="1784">
          <cell r="A1784">
            <v>46150</v>
          </cell>
          <cell r="C1784" t="str">
            <v xml:space="preserve">Bela Vista </v>
          </cell>
          <cell r="H1784">
            <v>46.82</v>
          </cell>
        </row>
        <row r="1785">
          <cell r="A1785">
            <v>46150</v>
          </cell>
          <cell r="C1785" t="str">
            <v xml:space="preserve">Bela Vista </v>
          </cell>
          <cell r="H1785">
            <v>45.54</v>
          </cell>
        </row>
        <row r="1786">
          <cell r="A1786">
            <v>46150</v>
          </cell>
          <cell r="C1786" t="str">
            <v xml:space="preserve">Bela Vista </v>
          </cell>
          <cell r="H1786">
            <v>38.64</v>
          </cell>
        </row>
        <row r="1787">
          <cell r="A1787">
            <v>46151</v>
          </cell>
          <cell r="C1787" t="str">
            <v xml:space="preserve">Bela Vista </v>
          </cell>
          <cell r="H1787">
            <v>44.98</v>
          </cell>
        </row>
        <row r="1788">
          <cell r="A1788">
            <v>46151</v>
          </cell>
          <cell r="C1788" t="str">
            <v xml:space="preserve">Bela Vista </v>
          </cell>
          <cell r="H1788">
            <v>52.54</v>
          </cell>
        </row>
        <row r="1789">
          <cell r="A1789">
            <v>46151</v>
          </cell>
          <cell r="C1789" t="str">
            <v xml:space="preserve">Bela Vista </v>
          </cell>
          <cell r="H1789">
            <v>46.64</v>
          </cell>
        </row>
        <row r="1790">
          <cell r="A1790">
            <v>46151</v>
          </cell>
          <cell r="C1790" t="str">
            <v xml:space="preserve">Bela Vista </v>
          </cell>
          <cell r="H1790">
            <v>47.02</v>
          </cell>
        </row>
        <row r="1791">
          <cell r="A1791">
            <v>46151</v>
          </cell>
          <cell r="C1791" t="str">
            <v xml:space="preserve">Bela Vista </v>
          </cell>
          <cell r="H1791">
            <v>45.36</v>
          </cell>
        </row>
        <row r="1792">
          <cell r="A1792">
            <v>46151</v>
          </cell>
          <cell r="C1792" t="str">
            <v xml:space="preserve">Bela Vista </v>
          </cell>
          <cell r="H1792">
            <v>30.08</v>
          </cell>
        </row>
        <row r="1793">
          <cell r="A1793">
            <v>46151</v>
          </cell>
          <cell r="C1793" t="str">
            <v xml:space="preserve">Bela Vista </v>
          </cell>
          <cell r="H1793">
            <v>46.6</v>
          </cell>
        </row>
        <row r="1794">
          <cell r="A1794">
            <v>46151</v>
          </cell>
          <cell r="C1794" t="str">
            <v xml:space="preserve">Bela Vista </v>
          </cell>
          <cell r="H1794">
            <v>37.74</v>
          </cell>
        </row>
        <row r="1795">
          <cell r="A1795">
            <v>46151</v>
          </cell>
          <cell r="C1795" t="str">
            <v xml:space="preserve">Bela Vista </v>
          </cell>
          <cell r="H1795">
            <v>45.52</v>
          </cell>
        </row>
        <row r="1796">
          <cell r="A1796">
            <v>46151</v>
          </cell>
          <cell r="C1796" t="str">
            <v xml:space="preserve">Bela Vista </v>
          </cell>
          <cell r="H1796">
            <v>45.9</v>
          </cell>
        </row>
        <row r="1797">
          <cell r="A1797">
            <v>46151</v>
          </cell>
          <cell r="C1797" t="str">
            <v xml:space="preserve">Itapaci </v>
          </cell>
          <cell r="H1797">
            <v>42.14</v>
          </cell>
        </row>
        <row r="1798">
          <cell r="A1798">
            <v>46153</v>
          </cell>
          <cell r="C1798" t="str">
            <v xml:space="preserve">Itapaci </v>
          </cell>
          <cell r="H1798">
            <v>34.9</v>
          </cell>
        </row>
        <row r="1799">
          <cell r="A1799">
            <v>46153</v>
          </cell>
          <cell r="C1799" t="str">
            <v xml:space="preserve">Itapaci </v>
          </cell>
          <cell r="H1799">
            <v>34.24</v>
          </cell>
        </row>
        <row r="1800">
          <cell r="A1800">
            <v>46153</v>
          </cell>
          <cell r="C1800" t="str">
            <v xml:space="preserve">Itapaci </v>
          </cell>
          <cell r="H1800">
            <v>32.72</v>
          </cell>
        </row>
        <row r="1801">
          <cell r="A1801">
            <v>46153</v>
          </cell>
          <cell r="C1801" t="str">
            <v xml:space="preserve">Itapaci </v>
          </cell>
          <cell r="H1801">
            <v>36.96</v>
          </cell>
        </row>
        <row r="1802">
          <cell r="A1802">
            <v>46153</v>
          </cell>
          <cell r="C1802" t="str">
            <v xml:space="preserve">Itapaci </v>
          </cell>
          <cell r="H1802">
            <v>35.64</v>
          </cell>
        </row>
        <row r="1803">
          <cell r="A1803">
            <v>46153</v>
          </cell>
          <cell r="C1803" t="str">
            <v xml:space="preserve">Bela Vista </v>
          </cell>
          <cell r="H1803">
            <v>37.119999999999997</v>
          </cell>
        </row>
        <row r="1804">
          <cell r="A1804">
            <v>46153</v>
          </cell>
          <cell r="C1804" t="str">
            <v xml:space="preserve">Bela Vista </v>
          </cell>
          <cell r="H1804">
            <v>37.5</v>
          </cell>
        </row>
        <row r="1805">
          <cell r="A1805">
            <v>46153</v>
          </cell>
          <cell r="C1805" t="str">
            <v xml:space="preserve">Bela Vista </v>
          </cell>
          <cell r="H1805">
            <v>29.24</v>
          </cell>
        </row>
        <row r="1806">
          <cell r="A1806">
            <v>46153</v>
          </cell>
          <cell r="C1806" t="str">
            <v xml:space="preserve">Bela Vista </v>
          </cell>
          <cell r="H1806">
            <v>45.36</v>
          </cell>
        </row>
        <row r="1807">
          <cell r="A1807">
            <v>46153</v>
          </cell>
          <cell r="C1807" t="str">
            <v xml:space="preserve">Bela Vista </v>
          </cell>
          <cell r="H1807">
            <v>44.82</v>
          </cell>
        </row>
        <row r="1808">
          <cell r="A1808">
            <v>46153</v>
          </cell>
          <cell r="C1808" t="str">
            <v xml:space="preserve">Bela Vista </v>
          </cell>
          <cell r="H1808">
            <v>43.72</v>
          </cell>
        </row>
        <row r="1809">
          <cell r="A1809">
            <v>46153</v>
          </cell>
          <cell r="C1809" t="str">
            <v xml:space="preserve">Itapaci </v>
          </cell>
          <cell r="H1809">
            <v>69.3</v>
          </cell>
        </row>
        <row r="1810">
          <cell r="A1810">
            <v>46153</v>
          </cell>
          <cell r="C1810" t="str">
            <v xml:space="preserve">Itapaci </v>
          </cell>
          <cell r="H1810">
            <v>64.28</v>
          </cell>
        </row>
        <row r="1811">
          <cell r="A1811">
            <v>46153</v>
          </cell>
          <cell r="C1811" t="str">
            <v xml:space="preserve">Itapaci </v>
          </cell>
          <cell r="H1811">
            <v>68.06</v>
          </cell>
        </row>
        <row r="1812">
          <cell r="A1812">
            <v>46153</v>
          </cell>
          <cell r="C1812" t="str">
            <v xml:space="preserve">Itapaci </v>
          </cell>
          <cell r="H1812">
            <v>33.08</v>
          </cell>
        </row>
        <row r="1813">
          <cell r="A1813">
            <v>46153</v>
          </cell>
          <cell r="C1813" t="str">
            <v xml:space="preserve">Itapaci </v>
          </cell>
          <cell r="H1813">
            <v>65.680000000000007</v>
          </cell>
        </row>
        <row r="1814">
          <cell r="A1814">
            <v>46153</v>
          </cell>
          <cell r="C1814" t="str">
            <v xml:space="preserve">Itapaci </v>
          </cell>
          <cell r="H1814">
            <v>71.819999999999993</v>
          </cell>
        </row>
        <row r="1815">
          <cell r="A1815">
            <v>46153</v>
          </cell>
          <cell r="C1815" t="str">
            <v xml:space="preserve">Itapaci </v>
          </cell>
          <cell r="H1815">
            <v>71.540000000000006</v>
          </cell>
        </row>
        <row r="1816">
          <cell r="A1816">
            <v>46153</v>
          </cell>
          <cell r="C1816" t="str">
            <v xml:space="preserve">Itapaci </v>
          </cell>
          <cell r="H1816">
            <v>33.64</v>
          </cell>
        </row>
        <row r="1817">
          <cell r="A1817">
            <v>46154</v>
          </cell>
          <cell r="C1817" t="str">
            <v xml:space="preserve">Itapaci </v>
          </cell>
          <cell r="H1817">
            <v>32.74</v>
          </cell>
        </row>
        <row r="1818">
          <cell r="A1818">
            <v>46153</v>
          </cell>
          <cell r="C1818" t="str">
            <v xml:space="preserve">Itapaci </v>
          </cell>
          <cell r="H1818">
            <v>38.92</v>
          </cell>
        </row>
        <row r="1819">
          <cell r="A1819">
            <v>46153</v>
          </cell>
          <cell r="C1819" t="str">
            <v xml:space="preserve">Itapaci </v>
          </cell>
          <cell r="H1819">
            <v>72.66</v>
          </cell>
        </row>
        <row r="1820">
          <cell r="A1820">
            <v>46153</v>
          </cell>
          <cell r="C1820" t="str">
            <v xml:space="preserve">Itapaci </v>
          </cell>
          <cell r="H1820">
            <v>34.119999999999997</v>
          </cell>
        </row>
        <row r="1821">
          <cell r="A1821">
            <v>46153</v>
          </cell>
          <cell r="C1821" t="str">
            <v xml:space="preserve">Itapaci </v>
          </cell>
          <cell r="H1821">
            <v>32.72</v>
          </cell>
        </row>
        <row r="1822">
          <cell r="A1822">
            <v>46153</v>
          </cell>
          <cell r="C1822" t="str">
            <v xml:space="preserve">Itapaci </v>
          </cell>
          <cell r="H1822">
            <v>70.599999999999994</v>
          </cell>
        </row>
        <row r="1823">
          <cell r="A1823">
            <v>46153</v>
          </cell>
          <cell r="C1823" t="str">
            <v xml:space="preserve">Itapaci </v>
          </cell>
          <cell r="H1823">
            <v>34.159999999999997</v>
          </cell>
        </row>
        <row r="1824">
          <cell r="A1824">
            <v>46153</v>
          </cell>
          <cell r="C1824" t="str">
            <v xml:space="preserve">Itapaci </v>
          </cell>
          <cell r="H1824">
            <v>34.06</v>
          </cell>
        </row>
        <row r="1825">
          <cell r="A1825">
            <v>46153</v>
          </cell>
          <cell r="C1825" t="str">
            <v xml:space="preserve">Itapaci </v>
          </cell>
          <cell r="H1825">
            <v>34</v>
          </cell>
        </row>
        <row r="1826">
          <cell r="A1826">
            <v>46154</v>
          </cell>
          <cell r="C1826" t="str">
            <v xml:space="preserve">Itapaci </v>
          </cell>
          <cell r="H1826">
            <v>34.380000000000003</v>
          </cell>
        </row>
        <row r="1827">
          <cell r="A1827">
            <v>46154</v>
          </cell>
          <cell r="C1827" t="str">
            <v xml:space="preserve">Itapaci </v>
          </cell>
          <cell r="H1827">
            <v>70.14</v>
          </cell>
        </row>
        <row r="1828">
          <cell r="A1828">
            <v>46154</v>
          </cell>
          <cell r="C1828" t="str">
            <v xml:space="preserve">Itapaci </v>
          </cell>
          <cell r="H1828">
            <v>36.32</v>
          </cell>
        </row>
        <row r="1829">
          <cell r="A1829">
            <v>46154</v>
          </cell>
          <cell r="C1829" t="str">
            <v xml:space="preserve">Itapaci </v>
          </cell>
          <cell r="H1829">
            <v>35.44</v>
          </cell>
        </row>
        <row r="1830">
          <cell r="A1830">
            <v>46154</v>
          </cell>
          <cell r="C1830" t="str">
            <v xml:space="preserve">Itapaci </v>
          </cell>
          <cell r="H1830">
            <v>36.22</v>
          </cell>
        </row>
        <row r="1831">
          <cell r="A1831">
            <v>46154</v>
          </cell>
          <cell r="C1831" t="str">
            <v xml:space="preserve">Itapaci </v>
          </cell>
          <cell r="H1831">
            <v>69.06</v>
          </cell>
        </row>
        <row r="1832">
          <cell r="A1832">
            <v>46154</v>
          </cell>
          <cell r="C1832" t="str">
            <v xml:space="preserve">Itapaci </v>
          </cell>
          <cell r="H1832">
            <v>35.479999999999997</v>
          </cell>
        </row>
        <row r="1833">
          <cell r="A1833">
            <v>46154</v>
          </cell>
          <cell r="C1833" t="str">
            <v xml:space="preserve">Itapaci </v>
          </cell>
          <cell r="H1833">
            <v>32.08</v>
          </cell>
        </row>
        <row r="1834">
          <cell r="A1834">
            <v>46154</v>
          </cell>
          <cell r="C1834" t="str">
            <v xml:space="preserve">Itapaci </v>
          </cell>
          <cell r="H1834">
            <v>34.4</v>
          </cell>
        </row>
        <row r="1835">
          <cell r="A1835">
            <v>46154</v>
          </cell>
          <cell r="C1835" t="str">
            <v xml:space="preserve">Itapaci </v>
          </cell>
          <cell r="H1835">
            <v>73.12</v>
          </cell>
        </row>
        <row r="1836">
          <cell r="A1836">
            <v>46154</v>
          </cell>
          <cell r="C1836" t="str">
            <v xml:space="preserve">Itapaci </v>
          </cell>
          <cell r="H1836">
            <v>71.62</v>
          </cell>
        </row>
        <row r="1837">
          <cell r="A1837">
            <v>46153</v>
          </cell>
          <cell r="C1837" t="str">
            <v xml:space="preserve">Bela Vista </v>
          </cell>
          <cell r="H1837">
            <v>49.56</v>
          </cell>
        </row>
        <row r="1838">
          <cell r="A1838">
            <v>46153</v>
          </cell>
          <cell r="C1838" t="str">
            <v xml:space="preserve">Bela Vista </v>
          </cell>
          <cell r="H1838">
            <v>47.06</v>
          </cell>
        </row>
        <row r="1839">
          <cell r="A1839">
            <v>46153</v>
          </cell>
          <cell r="C1839" t="str">
            <v xml:space="preserve">Bela Vista </v>
          </cell>
          <cell r="H1839">
            <v>53.48</v>
          </cell>
        </row>
        <row r="1840">
          <cell r="A1840">
            <v>46153</v>
          </cell>
          <cell r="C1840" t="str">
            <v xml:space="preserve">Bela Vista </v>
          </cell>
          <cell r="H1840">
            <v>46.88</v>
          </cell>
        </row>
        <row r="1841">
          <cell r="A1841">
            <v>46153</v>
          </cell>
          <cell r="C1841" t="str">
            <v xml:space="preserve">Bela Vista </v>
          </cell>
          <cell r="H1841">
            <v>43.12</v>
          </cell>
        </row>
        <row r="1842">
          <cell r="A1842">
            <v>46153</v>
          </cell>
          <cell r="C1842" t="str">
            <v xml:space="preserve">Bela Vista </v>
          </cell>
          <cell r="H1842">
            <v>46.44</v>
          </cell>
        </row>
        <row r="1843">
          <cell r="A1843">
            <v>46153</v>
          </cell>
          <cell r="C1843" t="str">
            <v xml:space="preserve">Bela Vista </v>
          </cell>
          <cell r="H1843">
            <v>45.76</v>
          </cell>
        </row>
        <row r="1844">
          <cell r="A1844">
            <v>46153</v>
          </cell>
          <cell r="C1844" t="str">
            <v xml:space="preserve">Bela Vista </v>
          </cell>
          <cell r="H1844">
            <v>47</v>
          </cell>
        </row>
        <row r="1845">
          <cell r="A1845">
            <v>46153</v>
          </cell>
          <cell r="C1845" t="str">
            <v xml:space="preserve">Bela Vista </v>
          </cell>
          <cell r="H1845">
            <v>48.42</v>
          </cell>
        </row>
        <row r="1846">
          <cell r="A1846">
            <v>46153</v>
          </cell>
          <cell r="C1846" t="str">
            <v xml:space="preserve">Bela Vista </v>
          </cell>
          <cell r="H1846">
            <v>32.479999999999997</v>
          </cell>
        </row>
        <row r="1847">
          <cell r="A1847">
            <v>46153</v>
          </cell>
          <cell r="C1847" t="str">
            <v xml:space="preserve">Bela Vista </v>
          </cell>
          <cell r="H1847">
            <v>47.66</v>
          </cell>
        </row>
        <row r="1848">
          <cell r="A1848">
            <v>46153</v>
          </cell>
          <cell r="C1848" t="str">
            <v xml:space="preserve">Bela Vista </v>
          </cell>
          <cell r="H1848">
            <v>31.56</v>
          </cell>
        </row>
        <row r="1849">
          <cell r="A1849">
            <v>46153</v>
          </cell>
          <cell r="C1849" t="str">
            <v xml:space="preserve">Bela Vista </v>
          </cell>
          <cell r="H1849">
            <v>43.82</v>
          </cell>
        </row>
        <row r="1850">
          <cell r="A1850">
            <v>46153</v>
          </cell>
          <cell r="C1850" t="str">
            <v xml:space="preserve">Bela Vista </v>
          </cell>
          <cell r="H1850">
            <v>43.72</v>
          </cell>
        </row>
        <row r="1851">
          <cell r="A1851">
            <v>46153</v>
          </cell>
          <cell r="C1851" t="str">
            <v xml:space="preserve">Bela Vista </v>
          </cell>
          <cell r="H1851">
            <v>45.98</v>
          </cell>
        </row>
        <row r="1852">
          <cell r="A1852">
            <v>46153</v>
          </cell>
          <cell r="C1852" t="str">
            <v xml:space="preserve">Bela Vista </v>
          </cell>
          <cell r="H1852">
            <v>51.26</v>
          </cell>
        </row>
        <row r="1853">
          <cell r="A1853">
            <v>46153</v>
          </cell>
          <cell r="C1853" t="str">
            <v xml:space="preserve">Bela Vista </v>
          </cell>
          <cell r="H1853">
            <v>49.34</v>
          </cell>
        </row>
        <row r="1854">
          <cell r="A1854">
            <v>46153</v>
          </cell>
          <cell r="C1854" t="str">
            <v xml:space="preserve">Bela Vista </v>
          </cell>
          <cell r="H1854">
            <v>47.78</v>
          </cell>
        </row>
        <row r="1855">
          <cell r="A1855">
            <v>46153</v>
          </cell>
          <cell r="C1855" t="str">
            <v xml:space="preserve">Bela Vista </v>
          </cell>
          <cell r="H1855">
            <v>48.08</v>
          </cell>
        </row>
        <row r="1856">
          <cell r="A1856">
            <v>46154</v>
          </cell>
          <cell r="C1856" t="str">
            <v xml:space="preserve">Bela Vista </v>
          </cell>
          <cell r="H1856">
            <v>47.3</v>
          </cell>
        </row>
        <row r="1857">
          <cell r="A1857">
            <v>46154</v>
          </cell>
          <cell r="C1857" t="str">
            <v xml:space="preserve">Bela Vista </v>
          </cell>
          <cell r="H1857">
            <v>47.86</v>
          </cell>
        </row>
        <row r="1858">
          <cell r="A1858">
            <v>46154</v>
          </cell>
          <cell r="C1858" t="str">
            <v xml:space="preserve">Bela Vista </v>
          </cell>
          <cell r="H1858">
            <v>40.74</v>
          </cell>
        </row>
        <row r="1859">
          <cell r="A1859">
            <v>46154</v>
          </cell>
          <cell r="C1859" t="str">
            <v xml:space="preserve">Bela Vista </v>
          </cell>
          <cell r="H1859">
            <v>32.020000000000003</v>
          </cell>
        </row>
        <row r="1860">
          <cell r="A1860">
            <v>46154</v>
          </cell>
          <cell r="C1860" t="str">
            <v xml:space="preserve">Bela Vista </v>
          </cell>
          <cell r="H1860">
            <v>47.02</v>
          </cell>
        </row>
        <row r="1861">
          <cell r="A1861">
            <v>46154</v>
          </cell>
          <cell r="C1861" t="str">
            <v xml:space="preserve">Bela Vista </v>
          </cell>
          <cell r="H1861">
            <v>36.4</v>
          </cell>
        </row>
        <row r="1862">
          <cell r="A1862">
            <v>46154</v>
          </cell>
          <cell r="C1862" t="str">
            <v xml:space="preserve">Bela Vista </v>
          </cell>
          <cell r="H1862">
            <v>44.5</v>
          </cell>
        </row>
        <row r="1863">
          <cell r="A1863">
            <v>46154</v>
          </cell>
          <cell r="C1863" t="str">
            <v xml:space="preserve">Bela Vista </v>
          </cell>
          <cell r="H1863">
            <v>49.02</v>
          </cell>
        </row>
        <row r="1864">
          <cell r="A1864">
            <v>46154</v>
          </cell>
          <cell r="C1864" t="str">
            <v xml:space="preserve">Bela Vista </v>
          </cell>
          <cell r="H1864">
            <v>47.7</v>
          </cell>
        </row>
        <row r="1865">
          <cell r="A1865">
            <v>46154</v>
          </cell>
          <cell r="C1865" t="str">
            <v xml:space="preserve">Bela Vista </v>
          </cell>
          <cell r="H1865">
            <v>48.08</v>
          </cell>
        </row>
        <row r="1866">
          <cell r="A1866">
            <v>46154</v>
          </cell>
          <cell r="C1866" t="str">
            <v xml:space="preserve">Bela Vista </v>
          </cell>
          <cell r="H1866">
            <v>48.5</v>
          </cell>
        </row>
        <row r="1867">
          <cell r="A1867">
            <v>46154</v>
          </cell>
          <cell r="C1867" t="str">
            <v xml:space="preserve">Itapaci </v>
          </cell>
          <cell r="H1867">
            <v>67.22</v>
          </cell>
        </row>
        <row r="1868">
          <cell r="A1868">
            <v>46154</v>
          </cell>
          <cell r="C1868" t="str">
            <v xml:space="preserve">Itapaci </v>
          </cell>
          <cell r="H1868">
            <v>55.14</v>
          </cell>
        </row>
        <row r="1869">
          <cell r="A1869">
            <v>46154</v>
          </cell>
          <cell r="C1869" t="str">
            <v xml:space="preserve">Itapaci </v>
          </cell>
          <cell r="H1869">
            <v>35.200000000000003</v>
          </cell>
        </row>
        <row r="1870">
          <cell r="A1870">
            <v>46154</v>
          </cell>
          <cell r="C1870" t="str">
            <v xml:space="preserve">Itapaci </v>
          </cell>
          <cell r="H1870">
            <v>73.14</v>
          </cell>
        </row>
        <row r="1871">
          <cell r="A1871">
            <v>46154</v>
          </cell>
          <cell r="C1871" t="str">
            <v xml:space="preserve">Itapaci </v>
          </cell>
          <cell r="H1871">
            <v>64.16</v>
          </cell>
        </row>
        <row r="1872">
          <cell r="A1872">
            <v>46154</v>
          </cell>
          <cell r="C1872" t="str">
            <v xml:space="preserve">Itapaci </v>
          </cell>
          <cell r="H1872">
            <v>34.44</v>
          </cell>
        </row>
        <row r="1873">
          <cell r="A1873">
            <v>46154</v>
          </cell>
          <cell r="C1873" t="str">
            <v xml:space="preserve">Itapaci </v>
          </cell>
          <cell r="H1873">
            <v>33.5</v>
          </cell>
        </row>
        <row r="1874">
          <cell r="A1874">
            <v>46154</v>
          </cell>
          <cell r="C1874" t="str">
            <v xml:space="preserve">Itapaci </v>
          </cell>
          <cell r="H1874">
            <v>35.96</v>
          </cell>
        </row>
        <row r="1875">
          <cell r="A1875">
            <v>46154</v>
          </cell>
          <cell r="C1875" t="str">
            <v xml:space="preserve">Itapaci </v>
          </cell>
          <cell r="H1875">
            <v>72.319999999999993</v>
          </cell>
        </row>
        <row r="1876">
          <cell r="A1876">
            <v>46154</v>
          </cell>
          <cell r="C1876" t="str">
            <v xml:space="preserve">Itapaci </v>
          </cell>
          <cell r="H1876">
            <v>72.2</v>
          </cell>
        </row>
        <row r="1877">
          <cell r="A1877">
            <v>46154</v>
          </cell>
          <cell r="C1877" t="str">
            <v xml:space="preserve">Itapaci </v>
          </cell>
          <cell r="H1877">
            <v>33.04</v>
          </cell>
        </row>
        <row r="1878">
          <cell r="A1878">
            <v>46155</v>
          </cell>
          <cell r="C1878" t="str">
            <v xml:space="preserve">Itapaci </v>
          </cell>
          <cell r="H1878">
            <v>72.14</v>
          </cell>
        </row>
        <row r="1879">
          <cell r="A1879">
            <v>46155</v>
          </cell>
          <cell r="C1879" t="str">
            <v xml:space="preserve">Itapaci </v>
          </cell>
          <cell r="H1879">
            <v>34.4</v>
          </cell>
        </row>
        <row r="1880">
          <cell r="A1880">
            <v>46155</v>
          </cell>
          <cell r="C1880" t="str">
            <v xml:space="preserve">Itapaci </v>
          </cell>
          <cell r="H1880">
            <v>35.18</v>
          </cell>
        </row>
        <row r="1881">
          <cell r="A1881">
            <v>46155</v>
          </cell>
          <cell r="C1881" t="str">
            <v xml:space="preserve">Itapaci </v>
          </cell>
          <cell r="H1881">
            <v>66.680000000000007</v>
          </cell>
        </row>
        <row r="1882">
          <cell r="A1882">
            <v>46155</v>
          </cell>
          <cell r="C1882" t="str">
            <v xml:space="preserve">Itapaci </v>
          </cell>
          <cell r="H1882">
            <v>36.1</v>
          </cell>
        </row>
        <row r="1883">
          <cell r="A1883">
            <v>46155</v>
          </cell>
          <cell r="C1883" t="str">
            <v xml:space="preserve">Itapaci </v>
          </cell>
          <cell r="H1883">
            <v>34.24</v>
          </cell>
        </row>
        <row r="1884">
          <cell r="A1884">
            <v>46155</v>
          </cell>
          <cell r="C1884" t="str">
            <v xml:space="preserve">Itapaci </v>
          </cell>
          <cell r="H1884">
            <v>57.14</v>
          </cell>
        </row>
        <row r="1885">
          <cell r="A1885">
            <v>46155</v>
          </cell>
          <cell r="C1885" t="str">
            <v xml:space="preserve">Itapaci </v>
          </cell>
          <cell r="H1885">
            <v>34.4</v>
          </cell>
        </row>
        <row r="1886">
          <cell r="A1886">
            <v>46155</v>
          </cell>
          <cell r="C1886" t="str">
            <v xml:space="preserve">Itapaci </v>
          </cell>
          <cell r="H1886">
            <v>71.28</v>
          </cell>
        </row>
        <row r="1887">
          <cell r="A1887">
            <v>46154</v>
          </cell>
          <cell r="C1887" t="str">
            <v xml:space="preserve">Bela Vista </v>
          </cell>
          <cell r="H1887">
            <v>47.46</v>
          </cell>
        </row>
        <row r="1888">
          <cell r="A1888">
            <v>46154</v>
          </cell>
          <cell r="C1888" t="str">
            <v xml:space="preserve">Bela Vista </v>
          </cell>
          <cell r="H1888">
            <v>47.36</v>
          </cell>
        </row>
        <row r="1889">
          <cell r="A1889">
            <v>46154</v>
          </cell>
          <cell r="C1889" t="str">
            <v xml:space="preserve">Bela Vista </v>
          </cell>
          <cell r="H1889">
            <v>46.64</v>
          </cell>
        </row>
        <row r="1890">
          <cell r="A1890">
            <v>46154</v>
          </cell>
          <cell r="C1890" t="str">
            <v xml:space="preserve">Bela Vista </v>
          </cell>
          <cell r="H1890">
            <v>46.36</v>
          </cell>
        </row>
        <row r="1891">
          <cell r="A1891">
            <v>46154</v>
          </cell>
          <cell r="C1891" t="str">
            <v xml:space="preserve">Bela Vista </v>
          </cell>
          <cell r="H1891">
            <v>46.68</v>
          </cell>
        </row>
        <row r="1892">
          <cell r="A1892">
            <v>46154</v>
          </cell>
          <cell r="C1892" t="str">
            <v xml:space="preserve">Bela Vista </v>
          </cell>
          <cell r="H1892">
            <v>35.64</v>
          </cell>
        </row>
        <row r="1893">
          <cell r="A1893">
            <v>46154</v>
          </cell>
          <cell r="C1893" t="str">
            <v xml:space="preserve">Bela Vista </v>
          </cell>
          <cell r="H1893">
            <v>40.119999999999997</v>
          </cell>
        </row>
        <row r="1894">
          <cell r="A1894">
            <v>46154</v>
          </cell>
          <cell r="C1894" t="str">
            <v xml:space="preserve">Bela Vista </v>
          </cell>
          <cell r="H1894">
            <v>48.46</v>
          </cell>
        </row>
        <row r="1895">
          <cell r="A1895">
            <v>46154</v>
          </cell>
          <cell r="C1895" t="str">
            <v xml:space="preserve">Bela Vista </v>
          </cell>
          <cell r="H1895">
            <v>40.32</v>
          </cell>
        </row>
        <row r="1896">
          <cell r="A1896">
            <v>46154</v>
          </cell>
          <cell r="C1896" t="str">
            <v xml:space="preserve">Bela Vista </v>
          </cell>
          <cell r="H1896">
            <v>48.12</v>
          </cell>
        </row>
        <row r="1897">
          <cell r="A1897">
            <v>46154</v>
          </cell>
          <cell r="C1897" t="str">
            <v xml:space="preserve">Bela Vista </v>
          </cell>
          <cell r="H1897">
            <v>46.34</v>
          </cell>
        </row>
        <row r="1898">
          <cell r="A1898">
            <v>46154</v>
          </cell>
          <cell r="C1898" t="str">
            <v xml:space="preserve">Bela Vista </v>
          </cell>
          <cell r="H1898">
            <v>44.46</v>
          </cell>
        </row>
        <row r="1899">
          <cell r="A1899">
            <v>46154</v>
          </cell>
          <cell r="C1899" t="str">
            <v xml:space="preserve">Bela Vista </v>
          </cell>
          <cell r="H1899">
            <v>46.16</v>
          </cell>
        </row>
        <row r="1900">
          <cell r="A1900">
            <v>46154</v>
          </cell>
          <cell r="C1900" t="str">
            <v xml:space="preserve">Bela Vista </v>
          </cell>
          <cell r="H1900">
            <v>45.84</v>
          </cell>
        </row>
        <row r="1901">
          <cell r="A1901">
            <v>46154</v>
          </cell>
          <cell r="C1901" t="str">
            <v xml:space="preserve">Bela Vista </v>
          </cell>
          <cell r="H1901">
            <v>30.96</v>
          </cell>
        </row>
        <row r="1902">
          <cell r="A1902">
            <v>46154</v>
          </cell>
          <cell r="C1902" t="str">
            <v xml:space="preserve">Bela Vista </v>
          </cell>
          <cell r="H1902">
            <v>48.44</v>
          </cell>
        </row>
        <row r="1903">
          <cell r="A1903">
            <v>46155</v>
          </cell>
          <cell r="C1903" t="str">
            <v xml:space="preserve">Bela Vista </v>
          </cell>
          <cell r="H1903">
            <v>47.2</v>
          </cell>
        </row>
        <row r="1904">
          <cell r="A1904">
            <v>46154</v>
          </cell>
          <cell r="C1904" t="str">
            <v xml:space="preserve">Bela Vista </v>
          </cell>
          <cell r="H1904">
            <v>47.42</v>
          </cell>
        </row>
        <row r="1905">
          <cell r="A1905">
            <v>46155</v>
          </cell>
          <cell r="C1905" t="str">
            <v xml:space="preserve">Bela Vista </v>
          </cell>
          <cell r="H1905">
            <v>43.88</v>
          </cell>
        </row>
        <row r="1906">
          <cell r="A1906">
            <v>46155</v>
          </cell>
          <cell r="C1906" t="str">
            <v xml:space="preserve">Bela Vista </v>
          </cell>
          <cell r="H1906">
            <v>38.520000000000003</v>
          </cell>
        </row>
        <row r="1907">
          <cell r="A1907">
            <v>46155</v>
          </cell>
          <cell r="C1907" t="str">
            <v xml:space="preserve">Bela Vista </v>
          </cell>
          <cell r="H1907">
            <v>49.08</v>
          </cell>
        </row>
        <row r="1908">
          <cell r="A1908">
            <v>46155</v>
          </cell>
          <cell r="C1908" t="str">
            <v xml:space="preserve">Bela Vista </v>
          </cell>
          <cell r="H1908">
            <v>46.26</v>
          </cell>
        </row>
        <row r="1909">
          <cell r="A1909">
            <v>46155</v>
          </cell>
          <cell r="C1909" t="str">
            <v xml:space="preserve">Bela Vista </v>
          </cell>
          <cell r="H1909">
            <v>48.44</v>
          </cell>
        </row>
        <row r="1910">
          <cell r="A1910">
            <v>46155</v>
          </cell>
          <cell r="C1910" t="str">
            <v xml:space="preserve">Bela Vista </v>
          </cell>
          <cell r="H1910">
            <v>46.36</v>
          </cell>
        </row>
        <row r="1911">
          <cell r="A1911">
            <v>46155</v>
          </cell>
          <cell r="C1911" t="str">
            <v xml:space="preserve">Bela Vista </v>
          </cell>
          <cell r="H1911">
            <v>47.64</v>
          </cell>
        </row>
        <row r="1912">
          <cell r="A1912">
            <v>46155</v>
          </cell>
          <cell r="C1912" t="str">
            <v xml:space="preserve">Bela Vista </v>
          </cell>
          <cell r="H1912">
            <v>48.66</v>
          </cell>
        </row>
        <row r="1913">
          <cell r="A1913">
            <v>46155</v>
          </cell>
          <cell r="C1913" t="str">
            <v xml:space="preserve">Bela Vista </v>
          </cell>
          <cell r="H1913">
            <v>30.44</v>
          </cell>
        </row>
        <row r="1914">
          <cell r="A1914">
            <v>46155</v>
          </cell>
          <cell r="C1914" t="str">
            <v xml:space="preserve">Bela Vista </v>
          </cell>
          <cell r="H1914">
            <v>46.46</v>
          </cell>
        </row>
        <row r="1915">
          <cell r="A1915">
            <v>46155</v>
          </cell>
          <cell r="C1915" t="str">
            <v xml:space="preserve">Itapaci </v>
          </cell>
          <cell r="H1915">
            <v>68.760000000000005</v>
          </cell>
        </row>
        <row r="1916">
          <cell r="A1916">
            <v>46155</v>
          </cell>
          <cell r="C1916" t="str">
            <v xml:space="preserve">Itapaci </v>
          </cell>
          <cell r="H1916">
            <v>70.459999999999994</v>
          </cell>
        </row>
        <row r="1917">
          <cell r="A1917">
            <v>46155</v>
          </cell>
          <cell r="C1917" t="str">
            <v xml:space="preserve">Itapaci </v>
          </cell>
          <cell r="H1917">
            <v>75.84</v>
          </cell>
        </row>
        <row r="1918">
          <cell r="A1918">
            <v>46155</v>
          </cell>
          <cell r="C1918" t="str">
            <v xml:space="preserve">Itapaci </v>
          </cell>
          <cell r="H1918">
            <v>77.02</v>
          </cell>
        </row>
        <row r="1919">
          <cell r="A1919">
            <v>46155</v>
          </cell>
          <cell r="C1919" t="str">
            <v xml:space="preserve">Itapaci </v>
          </cell>
          <cell r="H1919">
            <v>66.739999999999995</v>
          </cell>
        </row>
        <row r="1920">
          <cell r="A1920">
            <v>46155</v>
          </cell>
          <cell r="C1920" t="str">
            <v xml:space="preserve">Itapaci </v>
          </cell>
          <cell r="H1920">
            <v>67.62</v>
          </cell>
        </row>
        <row r="1921">
          <cell r="A1921">
            <v>46155</v>
          </cell>
          <cell r="C1921" t="str">
            <v xml:space="preserve">Itapaci </v>
          </cell>
          <cell r="H1921">
            <v>32.159999999999997</v>
          </cell>
        </row>
        <row r="1922">
          <cell r="A1922">
            <v>46155</v>
          </cell>
          <cell r="C1922" t="str">
            <v xml:space="preserve">Itapaci </v>
          </cell>
          <cell r="H1922">
            <v>57.1</v>
          </cell>
        </row>
        <row r="1923">
          <cell r="A1923">
            <v>46155</v>
          </cell>
          <cell r="C1923" t="str">
            <v xml:space="preserve">Itapaci </v>
          </cell>
          <cell r="H1923">
            <v>69</v>
          </cell>
        </row>
        <row r="1924">
          <cell r="A1924">
            <v>46156</v>
          </cell>
          <cell r="C1924" t="str">
            <v xml:space="preserve">Itapaci </v>
          </cell>
          <cell r="H1924">
            <v>73.760000000000005</v>
          </cell>
        </row>
        <row r="1925">
          <cell r="A1925">
            <v>46156</v>
          </cell>
          <cell r="C1925" t="str">
            <v xml:space="preserve">Itapaci </v>
          </cell>
          <cell r="H1925">
            <v>36.1</v>
          </cell>
        </row>
        <row r="1926">
          <cell r="A1926">
            <v>46156</v>
          </cell>
          <cell r="C1926" t="str">
            <v xml:space="preserve">Itapaci </v>
          </cell>
          <cell r="H1926">
            <v>33.880000000000003</v>
          </cell>
        </row>
        <row r="1927">
          <cell r="A1927">
            <v>46156</v>
          </cell>
          <cell r="C1927" t="str">
            <v xml:space="preserve">Itapaci </v>
          </cell>
          <cell r="H1927">
            <v>31.8</v>
          </cell>
        </row>
        <row r="1928">
          <cell r="A1928">
            <v>46156</v>
          </cell>
          <cell r="C1928" t="str">
            <v xml:space="preserve">Itapaci </v>
          </cell>
          <cell r="H1928">
            <v>71.739999999999995</v>
          </cell>
        </row>
        <row r="1929">
          <cell r="A1929">
            <v>46156</v>
          </cell>
          <cell r="C1929" t="str">
            <v xml:space="preserve">Itapaci </v>
          </cell>
          <cell r="H1929">
            <v>73.14</v>
          </cell>
        </row>
        <row r="1930">
          <cell r="A1930">
            <v>46155</v>
          </cell>
          <cell r="C1930" t="str">
            <v xml:space="preserve">Bela Vista </v>
          </cell>
          <cell r="H1930">
            <v>49</v>
          </cell>
        </row>
        <row r="1931">
          <cell r="A1931">
            <v>46155</v>
          </cell>
          <cell r="C1931" t="str">
            <v xml:space="preserve">Bela Vista </v>
          </cell>
          <cell r="H1931">
            <v>48.1</v>
          </cell>
        </row>
        <row r="1932">
          <cell r="A1932">
            <v>46155</v>
          </cell>
          <cell r="C1932" t="str">
            <v xml:space="preserve">Bela Vista </v>
          </cell>
          <cell r="H1932">
            <v>54.8</v>
          </cell>
        </row>
        <row r="1933">
          <cell r="A1933">
            <v>46155</v>
          </cell>
          <cell r="C1933" t="str">
            <v xml:space="preserve">Bela Vista </v>
          </cell>
          <cell r="H1933">
            <v>47.64</v>
          </cell>
        </row>
        <row r="1934">
          <cell r="A1934">
            <v>46155</v>
          </cell>
          <cell r="C1934" t="str">
            <v xml:space="preserve">Bela Vista </v>
          </cell>
          <cell r="H1934">
            <v>41</v>
          </cell>
        </row>
        <row r="1935">
          <cell r="A1935">
            <v>46155</v>
          </cell>
          <cell r="C1935" t="str">
            <v xml:space="preserve">Bela Vista </v>
          </cell>
          <cell r="H1935">
            <v>45.04</v>
          </cell>
        </row>
        <row r="1936">
          <cell r="A1936">
            <v>46155</v>
          </cell>
          <cell r="C1936" t="str">
            <v xml:space="preserve">Bela Vista </v>
          </cell>
          <cell r="H1936">
            <v>45.66</v>
          </cell>
        </row>
        <row r="1937">
          <cell r="A1937">
            <v>46155</v>
          </cell>
          <cell r="C1937" t="str">
            <v xml:space="preserve">Bela Vista </v>
          </cell>
          <cell r="H1937">
            <v>45.98</v>
          </cell>
        </row>
        <row r="1938">
          <cell r="A1938">
            <v>46155</v>
          </cell>
          <cell r="C1938" t="str">
            <v xml:space="preserve">Bela Vista </v>
          </cell>
          <cell r="H1938">
            <v>45.68</v>
          </cell>
        </row>
        <row r="1939">
          <cell r="A1939">
            <v>46155</v>
          </cell>
          <cell r="C1939" t="str">
            <v xml:space="preserve">Bela Vista </v>
          </cell>
          <cell r="H1939">
            <v>45.78</v>
          </cell>
        </row>
        <row r="1940">
          <cell r="A1940">
            <v>46155</v>
          </cell>
          <cell r="C1940" t="str">
            <v xml:space="preserve">Bela Vista </v>
          </cell>
          <cell r="H1940">
            <v>31.7</v>
          </cell>
        </row>
        <row r="1941">
          <cell r="A1941">
            <v>46155</v>
          </cell>
          <cell r="C1941" t="str">
            <v xml:space="preserve">Bela Vista </v>
          </cell>
          <cell r="H1941">
            <v>48.48</v>
          </cell>
        </row>
        <row r="1942">
          <cell r="A1942">
            <v>46155</v>
          </cell>
          <cell r="C1942" t="str">
            <v xml:space="preserve">Bela Vista </v>
          </cell>
          <cell r="H1942">
            <v>46.58</v>
          </cell>
        </row>
        <row r="1943">
          <cell r="A1943">
            <v>46155</v>
          </cell>
          <cell r="C1943" t="str">
            <v xml:space="preserve">Bela Vista </v>
          </cell>
          <cell r="H1943">
            <v>45.8</v>
          </cell>
        </row>
        <row r="1944">
          <cell r="A1944">
            <v>46155</v>
          </cell>
          <cell r="C1944" t="str">
            <v xml:space="preserve">Bela Vista </v>
          </cell>
          <cell r="H1944">
            <v>46.66</v>
          </cell>
        </row>
        <row r="1945">
          <cell r="A1945">
            <v>46155</v>
          </cell>
          <cell r="C1945" t="str">
            <v xml:space="preserve">Bela Vista </v>
          </cell>
          <cell r="H1945">
            <v>56.24</v>
          </cell>
        </row>
        <row r="1946">
          <cell r="A1946">
            <v>46155</v>
          </cell>
          <cell r="C1946" t="str">
            <v xml:space="preserve">Bela Vista </v>
          </cell>
          <cell r="H1946">
            <v>36.5</v>
          </cell>
        </row>
        <row r="1947">
          <cell r="A1947">
            <v>46155</v>
          </cell>
          <cell r="C1947" t="str">
            <v xml:space="preserve">Bela Vista </v>
          </cell>
          <cell r="H1947">
            <v>37.020000000000003</v>
          </cell>
        </row>
        <row r="1948">
          <cell r="A1948">
            <v>46155</v>
          </cell>
          <cell r="C1948" t="str">
            <v xml:space="preserve">Bela Vista </v>
          </cell>
          <cell r="H1948">
            <v>47.04</v>
          </cell>
        </row>
        <row r="1949">
          <cell r="A1949">
            <v>46155</v>
          </cell>
          <cell r="C1949" t="str">
            <v xml:space="preserve">Bela Vista </v>
          </cell>
          <cell r="H1949">
            <v>46.86</v>
          </cell>
        </row>
        <row r="1950">
          <cell r="A1950">
            <v>46155</v>
          </cell>
          <cell r="C1950" t="str">
            <v xml:space="preserve">Bela Vista </v>
          </cell>
          <cell r="H1950">
            <v>47.54</v>
          </cell>
        </row>
        <row r="1951">
          <cell r="A1951">
            <v>46156</v>
          </cell>
          <cell r="C1951" t="str">
            <v xml:space="preserve">Bela Vista </v>
          </cell>
          <cell r="H1951">
            <v>46.66</v>
          </cell>
        </row>
        <row r="1952">
          <cell r="A1952">
            <v>46156</v>
          </cell>
          <cell r="C1952" t="str">
            <v xml:space="preserve">Bela Vista </v>
          </cell>
          <cell r="H1952">
            <v>31.74</v>
          </cell>
        </row>
        <row r="1953">
          <cell r="A1953">
            <v>46156</v>
          </cell>
          <cell r="C1953" t="str">
            <v xml:space="preserve">Bela Vista </v>
          </cell>
          <cell r="H1953">
            <v>48.4</v>
          </cell>
        </row>
        <row r="1954">
          <cell r="A1954">
            <v>46156</v>
          </cell>
          <cell r="C1954" t="str">
            <v xml:space="preserve">Bela Vista </v>
          </cell>
          <cell r="H1954">
            <v>49.22</v>
          </cell>
        </row>
        <row r="1955">
          <cell r="A1955">
            <v>46156</v>
          </cell>
          <cell r="C1955" t="str">
            <v xml:space="preserve">Bela Vista </v>
          </cell>
          <cell r="H1955">
            <v>57.34</v>
          </cell>
        </row>
        <row r="1956">
          <cell r="A1956">
            <v>46156</v>
          </cell>
          <cell r="C1956" t="str">
            <v xml:space="preserve">Bela Vista </v>
          </cell>
          <cell r="H1956">
            <v>47.14</v>
          </cell>
        </row>
        <row r="1957">
          <cell r="A1957">
            <v>46156</v>
          </cell>
          <cell r="C1957" t="str">
            <v xml:space="preserve">Bela Vista </v>
          </cell>
          <cell r="H1957">
            <v>46.7</v>
          </cell>
        </row>
        <row r="1958">
          <cell r="A1958">
            <v>46156</v>
          </cell>
          <cell r="C1958" t="str">
            <v xml:space="preserve">Bela Vista </v>
          </cell>
          <cell r="H1958">
            <v>45.5</v>
          </cell>
        </row>
        <row r="1959">
          <cell r="A1959">
            <v>46156</v>
          </cell>
          <cell r="C1959" t="str">
            <v xml:space="preserve">Bela Vista </v>
          </cell>
          <cell r="H1959">
            <v>46.14</v>
          </cell>
        </row>
        <row r="1960">
          <cell r="A1960">
            <v>46156</v>
          </cell>
          <cell r="C1960" t="str">
            <v xml:space="preserve">Bela Vista </v>
          </cell>
          <cell r="H1960">
            <v>44.88</v>
          </cell>
        </row>
        <row r="1961">
          <cell r="A1961">
            <v>46156</v>
          </cell>
          <cell r="C1961" t="str">
            <v xml:space="preserve">Bela Vista </v>
          </cell>
          <cell r="H1961">
            <v>48.66</v>
          </cell>
        </row>
        <row r="1962">
          <cell r="A1962">
            <v>46156</v>
          </cell>
          <cell r="C1962" t="str">
            <v xml:space="preserve">Bela Vista </v>
          </cell>
          <cell r="H1962">
            <v>48.42</v>
          </cell>
        </row>
        <row r="1963">
          <cell r="A1963">
            <v>46156</v>
          </cell>
          <cell r="C1963" t="str">
            <v xml:space="preserve">Bela Vista </v>
          </cell>
          <cell r="H1963">
            <v>55.86</v>
          </cell>
        </row>
        <row r="1964">
          <cell r="A1964">
            <v>46156</v>
          </cell>
          <cell r="C1964" t="str">
            <v xml:space="preserve">Bela Vista </v>
          </cell>
          <cell r="H1964">
            <v>58.46</v>
          </cell>
        </row>
        <row r="1965">
          <cell r="A1965">
            <v>46156</v>
          </cell>
          <cell r="C1965" t="str">
            <v xml:space="preserve">Bela Vista </v>
          </cell>
          <cell r="H1965">
            <v>44.72</v>
          </cell>
        </row>
        <row r="1966">
          <cell r="A1966">
            <v>46156</v>
          </cell>
          <cell r="C1966" t="str">
            <v xml:space="preserve">Bela Vista </v>
          </cell>
          <cell r="H1966">
            <v>56.12</v>
          </cell>
        </row>
        <row r="1967">
          <cell r="A1967">
            <v>46156</v>
          </cell>
          <cell r="C1967" t="str">
            <v xml:space="preserve">Bela Vista </v>
          </cell>
          <cell r="H1967">
            <v>31.36</v>
          </cell>
        </row>
        <row r="1968">
          <cell r="A1968">
            <v>46156</v>
          </cell>
          <cell r="C1968" t="str">
            <v xml:space="preserve">Bela Vista </v>
          </cell>
          <cell r="H1968">
            <v>45.36</v>
          </cell>
        </row>
        <row r="1969">
          <cell r="A1969">
            <v>46156</v>
          </cell>
          <cell r="C1969" t="str">
            <v xml:space="preserve">Bela Vista </v>
          </cell>
          <cell r="H1969">
            <v>45.54</v>
          </cell>
        </row>
        <row r="1970">
          <cell r="A1970">
            <v>46156</v>
          </cell>
          <cell r="C1970" t="str">
            <v xml:space="preserve">Itapaci </v>
          </cell>
          <cell r="H1970">
            <v>76.16</v>
          </cell>
        </row>
        <row r="1971">
          <cell r="A1971">
            <v>46156</v>
          </cell>
          <cell r="C1971" t="str">
            <v xml:space="preserve">Itapaci </v>
          </cell>
          <cell r="H1971">
            <v>74.06</v>
          </cell>
        </row>
        <row r="1972">
          <cell r="A1972">
            <v>46157</v>
          </cell>
          <cell r="C1972" t="str">
            <v xml:space="preserve">Bela Vista </v>
          </cell>
          <cell r="H1972">
            <v>37.42</v>
          </cell>
        </row>
        <row r="1973">
          <cell r="A1973">
            <v>46157</v>
          </cell>
          <cell r="C1973" t="str">
            <v xml:space="preserve">Bela Vista </v>
          </cell>
          <cell r="H1973">
            <v>38.380000000000003</v>
          </cell>
        </row>
        <row r="1974">
          <cell r="A1974">
            <v>46157</v>
          </cell>
          <cell r="C1974" t="str">
            <v xml:space="preserve">Bela Vista </v>
          </cell>
          <cell r="H1974">
            <v>37.799999999999997</v>
          </cell>
        </row>
        <row r="1975">
          <cell r="A1975">
            <v>46157</v>
          </cell>
          <cell r="C1975" t="str">
            <v xml:space="preserve">Bela Vista </v>
          </cell>
          <cell r="H1975">
            <v>37.26</v>
          </cell>
        </row>
        <row r="1976">
          <cell r="A1976">
            <v>46157</v>
          </cell>
          <cell r="C1976" t="str">
            <v xml:space="preserve">Bela Vista </v>
          </cell>
          <cell r="H1976">
            <v>37.1</v>
          </cell>
        </row>
        <row r="1977">
          <cell r="A1977">
            <v>46158</v>
          </cell>
          <cell r="C1977" t="str">
            <v xml:space="preserve">Bela Vista </v>
          </cell>
          <cell r="H1977">
            <v>36.06</v>
          </cell>
        </row>
        <row r="1978">
          <cell r="A1978">
            <v>46157</v>
          </cell>
          <cell r="C1978" t="str">
            <v xml:space="preserve">Bela Vista </v>
          </cell>
          <cell r="H1978">
            <v>28.88</v>
          </cell>
        </row>
        <row r="1979">
          <cell r="A1979">
            <v>46157</v>
          </cell>
          <cell r="C1979" t="str">
            <v xml:space="preserve">Bela Vista </v>
          </cell>
          <cell r="H1979">
            <v>36.9</v>
          </cell>
        </row>
        <row r="1980">
          <cell r="A1980">
            <v>46157</v>
          </cell>
          <cell r="C1980" t="str">
            <v xml:space="preserve">Bela Vista </v>
          </cell>
          <cell r="H1980">
            <v>36.880000000000003</v>
          </cell>
        </row>
        <row r="1981">
          <cell r="A1981">
            <v>46158</v>
          </cell>
          <cell r="C1981" t="str">
            <v xml:space="preserve">Bela Vista </v>
          </cell>
          <cell r="H1981">
            <v>46.62</v>
          </cell>
        </row>
        <row r="1982">
          <cell r="A1982">
            <v>46158</v>
          </cell>
          <cell r="C1982" t="str">
            <v xml:space="preserve">Bela Vista </v>
          </cell>
          <cell r="H1982">
            <v>49.72</v>
          </cell>
        </row>
        <row r="1983">
          <cell r="A1983">
            <v>46158</v>
          </cell>
          <cell r="C1983" t="str">
            <v xml:space="preserve">Bela Vista </v>
          </cell>
          <cell r="H1983">
            <v>35.76</v>
          </cell>
        </row>
        <row r="1984">
          <cell r="A1984">
            <v>46158</v>
          </cell>
          <cell r="C1984" t="str">
            <v xml:space="preserve">Bela Vista </v>
          </cell>
          <cell r="H1984">
            <v>36.4</v>
          </cell>
        </row>
        <row r="1985">
          <cell r="A1985">
            <v>46158</v>
          </cell>
          <cell r="C1985" t="str">
            <v xml:space="preserve">Bela Vista </v>
          </cell>
          <cell r="H1985">
            <v>31.26</v>
          </cell>
        </row>
        <row r="1986">
          <cell r="A1986">
            <v>46158</v>
          </cell>
          <cell r="C1986" t="str">
            <v xml:space="preserve">Bela Vista </v>
          </cell>
          <cell r="H1986">
            <v>36</v>
          </cell>
        </row>
        <row r="1987">
          <cell r="A1987">
            <v>46158</v>
          </cell>
          <cell r="C1987" t="str">
            <v xml:space="preserve">Itapaci </v>
          </cell>
          <cell r="H1987">
            <v>73.42</v>
          </cell>
        </row>
        <row r="1988">
          <cell r="A1988">
            <v>46158</v>
          </cell>
          <cell r="C1988" t="str">
            <v xml:space="preserve">Itapaci </v>
          </cell>
          <cell r="H1988">
            <v>71.040000000000006</v>
          </cell>
        </row>
        <row r="1989">
          <cell r="A1989">
            <v>46158</v>
          </cell>
          <cell r="C1989" t="str">
            <v xml:space="preserve">Itapaci </v>
          </cell>
          <cell r="H1989">
            <v>72.8</v>
          </cell>
        </row>
        <row r="1990">
          <cell r="A1990">
            <v>46158</v>
          </cell>
          <cell r="C1990" t="str">
            <v xml:space="preserve">Itapaci </v>
          </cell>
          <cell r="H1990">
            <v>70.34</v>
          </cell>
        </row>
        <row r="1991">
          <cell r="A1991">
            <v>46158</v>
          </cell>
          <cell r="C1991" t="str">
            <v xml:space="preserve">Bela Vista </v>
          </cell>
          <cell r="H1991">
            <v>37.04</v>
          </cell>
        </row>
        <row r="1992">
          <cell r="A1992">
            <v>46158</v>
          </cell>
          <cell r="C1992" t="str">
            <v xml:space="preserve">Bela Vista </v>
          </cell>
          <cell r="H1992">
            <v>48.68</v>
          </cell>
        </row>
        <row r="1993">
          <cell r="A1993">
            <v>46158</v>
          </cell>
          <cell r="C1993" t="str">
            <v xml:space="preserve">Bela Vista </v>
          </cell>
          <cell r="H1993">
            <v>48.42</v>
          </cell>
        </row>
        <row r="1994">
          <cell r="A1994">
            <v>46158</v>
          </cell>
          <cell r="C1994" t="str">
            <v xml:space="preserve">Bela Vista </v>
          </cell>
          <cell r="H1994">
            <v>36.56</v>
          </cell>
        </row>
        <row r="1995">
          <cell r="A1995">
            <v>46158</v>
          </cell>
          <cell r="C1995" t="str">
            <v xml:space="preserve">Bela Vista </v>
          </cell>
          <cell r="H1995">
            <v>36.46</v>
          </cell>
        </row>
        <row r="1996">
          <cell r="A1996">
            <v>46158</v>
          </cell>
          <cell r="C1996" t="str">
            <v xml:space="preserve">Bela Vista </v>
          </cell>
          <cell r="H1996">
            <v>29.92</v>
          </cell>
        </row>
        <row r="1997">
          <cell r="A1997">
            <v>46158</v>
          </cell>
          <cell r="C1997" t="str">
            <v xml:space="preserve">Bela Vista </v>
          </cell>
          <cell r="H1997">
            <v>37.08</v>
          </cell>
        </row>
        <row r="1998">
          <cell r="A1998">
            <v>46158</v>
          </cell>
          <cell r="C1998" t="str">
            <v xml:space="preserve">Bela Vista </v>
          </cell>
          <cell r="H1998">
            <v>36</v>
          </cell>
        </row>
        <row r="1999">
          <cell r="A1999">
            <v>46158</v>
          </cell>
          <cell r="C1999" t="str">
            <v xml:space="preserve">Bela Vista </v>
          </cell>
          <cell r="H1999">
            <v>36.58</v>
          </cell>
        </row>
        <row r="2000">
          <cell r="A2000">
            <v>46158</v>
          </cell>
          <cell r="C2000" t="str">
            <v xml:space="preserve">Bela Vista </v>
          </cell>
          <cell r="H2000">
            <v>48.82</v>
          </cell>
        </row>
        <row r="2001">
          <cell r="A2001">
            <v>46158</v>
          </cell>
          <cell r="C2001" t="str">
            <v xml:space="preserve">Bela Vista </v>
          </cell>
          <cell r="H2001">
            <v>38</v>
          </cell>
        </row>
        <row r="2002">
          <cell r="A2002">
            <v>46158</v>
          </cell>
          <cell r="C2002" t="str">
            <v xml:space="preserve">Bela Vista </v>
          </cell>
          <cell r="H2002">
            <v>48.32</v>
          </cell>
        </row>
        <row r="2003">
          <cell r="A2003">
            <v>46158</v>
          </cell>
          <cell r="C2003" t="str">
            <v xml:space="preserve">Bela Vista </v>
          </cell>
          <cell r="H2003">
            <v>36.299999999999997</v>
          </cell>
        </row>
        <row r="2004">
          <cell r="A2004">
            <v>46158</v>
          </cell>
          <cell r="C2004" t="str">
            <v xml:space="preserve">Bela Vista </v>
          </cell>
          <cell r="H2004">
            <v>36.799999999999997</v>
          </cell>
        </row>
        <row r="2005">
          <cell r="A2005">
            <v>46158</v>
          </cell>
          <cell r="C2005" t="str">
            <v xml:space="preserve">Bela Vista </v>
          </cell>
          <cell r="H2005">
            <v>29.74</v>
          </cell>
        </row>
        <row r="2006">
          <cell r="A2006">
            <v>46158</v>
          </cell>
          <cell r="C2006" t="str">
            <v xml:space="preserve">Bela Vista </v>
          </cell>
          <cell r="H2006">
            <v>35.72</v>
          </cell>
        </row>
        <row r="2007">
          <cell r="A2007">
            <v>46158</v>
          </cell>
          <cell r="C2007" t="str">
            <v xml:space="preserve">Bela Vista </v>
          </cell>
          <cell r="H2007">
            <v>36.74</v>
          </cell>
        </row>
        <row r="2008">
          <cell r="A2008">
            <v>46158</v>
          </cell>
          <cell r="C2008" t="str">
            <v xml:space="preserve">Bela Vista </v>
          </cell>
          <cell r="H2008">
            <v>35.840000000000003</v>
          </cell>
        </row>
        <row r="2009">
          <cell r="A2009">
            <v>46158</v>
          </cell>
          <cell r="C2009" t="str">
            <v xml:space="preserve">Bela Vista </v>
          </cell>
          <cell r="H2009">
            <v>37.36</v>
          </cell>
        </row>
        <row r="2010">
          <cell r="A2010">
            <v>46158</v>
          </cell>
          <cell r="C2010" t="str">
            <v xml:space="preserve">Bela Vista </v>
          </cell>
          <cell r="H2010">
            <v>48.32</v>
          </cell>
        </row>
        <row r="2011">
          <cell r="A2011">
            <v>46158</v>
          </cell>
          <cell r="C2011" t="str">
            <v xml:space="preserve">Bela Vista </v>
          </cell>
          <cell r="H2011">
            <v>48.5</v>
          </cell>
        </row>
        <row r="2012">
          <cell r="A2012">
            <v>46158</v>
          </cell>
          <cell r="C2012" t="str">
            <v xml:space="preserve">Bela Vista </v>
          </cell>
          <cell r="H2012">
            <v>37.06</v>
          </cell>
        </row>
        <row r="2013">
          <cell r="A2013">
            <v>46158</v>
          </cell>
          <cell r="C2013" t="str">
            <v xml:space="preserve">Bela Vista </v>
          </cell>
          <cell r="H2013">
            <v>31.02</v>
          </cell>
        </row>
        <row r="2014">
          <cell r="A2014">
            <v>46158</v>
          </cell>
          <cell r="C2014" t="str">
            <v xml:space="preserve">Bela Vista </v>
          </cell>
          <cell r="H2014">
            <v>36.6</v>
          </cell>
        </row>
        <row r="2015">
          <cell r="A2015">
            <v>46158</v>
          </cell>
          <cell r="C2015" t="str">
            <v xml:space="preserve">Bela Vista </v>
          </cell>
          <cell r="H2015">
            <v>36.880000000000003</v>
          </cell>
        </row>
        <row r="2016">
          <cell r="A2016">
            <v>46158</v>
          </cell>
          <cell r="C2016" t="str">
            <v xml:space="preserve">Itapaci </v>
          </cell>
          <cell r="H2016">
            <v>71.040000000000006</v>
          </cell>
        </row>
        <row r="2017">
          <cell r="A2017">
            <v>46158</v>
          </cell>
          <cell r="C2017" t="str">
            <v xml:space="preserve">Itapaci </v>
          </cell>
          <cell r="H2017">
            <v>71.72</v>
          </cell>
        </row>
        <row r="2018">
          <cell r="A2018">
            <v>46160</v>
          </cell>
          <cell r="C2018" t="str">
            <v xml:space="preserve">Itapaci </v>
          </cell>
          <cell r="H2018">
            <v>75.2</v>
          </cell>
        </row>
        <row r="2019">
          <cell r="A2019">
            <v>46160</v>
          </cell>
          <cell r="C2019" t="str">
            <v xml:space="preserve">Bela Vista </v>
          </cell>
          <cell r="H2019">
            <v>31</v>
          </cell>
        </row>
        <row r="2020">
          <cell r="A2020">
            <v>46160</v>
          </cell>
          <cell r="C2020" t="str">
            <v xml:space="preserve">Bela Vista </v>
          </cell>
          <cell r="H2020">
            <v>36.1</v>
          </cell>
        </row>
        <row r="2021">
          <cell r="A2021">
            <v>46160</v>
          </cell>
          <cell r="C2021" t="str">
            <v xml:space="preserve">Bela Vista </v>
          </cell>
          <cell r="H2021">
            <v>38.479999999999997</v>
          </cell>
        </row>
        <row r="2022">
          <cell r="A2022">
            <v>46160</v>
          </cell>
          <cell r="C2022" t="str">
            <v xml:space="preserve">Bela Vista </v>
          </cell>
          <cell r="H2022">
            <v>36.840000000000003</v>
          </cell>
        </row>
        <row r="2023">
          <cell r="A2023">
            <v>46160</v>
          </cell>
          <cell r="C2023" t="str">
            <v xml:space="preserve">Bela Vista </v>
          </cell>
          <cell r="H2023">
            <v>37.020000000000003</v>
          </cell>
        </row>
        <row r="2024">
          <cell r="A2024">
            <v>46160</v>
          </cell>
          <cell r="C2024" t="str">
            <v xml:space="preserve">Bela Vista </v>
          </cell>
          <cell r="H2024">
            <v>48.06</v>
          </cell>
        </row>
        <row r="2025">
          <cell r="A2025">
            <v>46160</v>
          </cell>
          <cell r="C2025" t="str">
            <v xml:space="preserve">Bela Vista </v>
          </cell>
          <cell r="H2025">
            <v>43.14</v>
          </cell>
        </row>
        <row r="2026">
          <cell r="A2026">
            <v>46160</v>
          </cell>
          <cell r="C2026" t="str">
            <v xml:space="preserve">Bela Vista </v>
          </cell>
          <cell r="H2026">
            <v>47.9</v>
          </cell>
        </row>
        <row r="2027">
          <cell r="A2027">
            <v>46160</v>
          </cell>
          <cell r="C2027" t="str">
            <v xml:space="preserve">Bela Vista </v>
          </cell>
          <cell r="H2027">
            <v>48.58</v>
          </cell>
        </row>
        <row r="2028">
          <cell r="A2028">
            <v>46160</v>
          </cell>
          <cell r="C2028" t="str">
            <v xml:space="preserve">Bela Vista </v>
          </cell>
          <cell r="H2028">
            <v>37.28</v>
          </cell>
        </row>
        <row r="2029">
          <cell r="A2029">
            <v>46160</v>
          </cell>
          <cell r="C2029" t="str">
            <v xml:space="preserve">Bela Vista </v>
          </cell>
          <cell r="H2029">
            <v>35.72</v>
          </cell>
        </row>
        <row r="2030">
          <cell r="A2030">
            <v>46160</v>
          </cell>
          <cell r="C2030" t="str">
            <v xml:space="preserve">Bela Vista </v>
          </cell>
          <cell r="H2030">
            <v>29.58</v>
          </cell>
        </row>
        <row r="2031">
          <cell r="A2031">
            <v>46160</v>
          </cell>
          <cell r="C2031" t="str">
            <v xml:space="preserve">Bela Vista </v>
          </cell>
          <cell r="H2031">
            <v>35.4</v>
          </cell>
        </row>
        <row r="2032">
          <cell r="A2032">
            <v>46160</v>
          </cell>
          <cell r="C2032" t="str">
            <v xml:space="preserve">Bela Vista </v>
          </cell>
          <cell r="H2032">
            <v>35.18</v>
          </cell>
        </row>
        <row r="2033">
          <cell r="A2033">
            <v>46160</v>
          </cell>
          <cell r="C2033" t="str">
            <v xml:space="preserve">Bela Vista </v>
          </cell>
          <cell r="H2033">
            <v>38.32</v>
          </cell>
        </row>
        <row r="2034">
          <cell r="A2034">
            <v>46160</v>
          </cell>
          <cell r="C2034" t="str">
            <v xml:space="preserve">Bela Vista </v>
          </cell>
          <cell r="H2034">
            <v>35.840000000000003</v>
          </cell>
        </row>
        <row r="2035">
          <cell r="A2035">
            <v>46160</v>
          </cell>
          <cell r="C2035" t="str">
            <v xml:space="preserve">Bela Vista </v>
          </cell>
          <cell r="H2035">
            <v>48.16</v>
          </cell>
        </row>
        <row r="2036">
          <cell r="A2036">
            <v>46160</v>
          </cell>
          <cell r="C2036" t="str">
            <v xml:space="preserve">Bela Vista </v>
          </cell>
          <cell r="H2036">
            <v>45.02</v>
          </cell>
        </row>
        <row r="2037">
          <cell r="A2037">
            <v>46160</v>
          </cell>
          <cell r="C2037" t="str">
            <v xml:space="preserve">Bela Vista </v>
          </cell>
          <cell r="H2037">
            <v>52.02</v>
          </cell>
        </row>
        <row r="2038">
          <cell r="A2038">
            <v>46160</v>
          </cell>
          <cell r="C2038" t="str">
            <v xml:space="preserve">Bela Vista </v>
          </cell>
          <cell r="H2038">
            <v>49.18</v>
          </cell>
        </row>
        <row r="2039">
          <cell r="A2039">
            <v>46161</v>
          </cell>
          <cell r="C2039" t="str">
            <v xml:space="preserve">Bela Vista </v>
          </cell>
          <cell r="H2039">
            <v>38.22</v>
          </cell>
        </row>
        <row r="2040">
          <cell r="A2040">
            <v>46160</v>
          </cell>
          <cell r="C2040" t="str">
            <v xml:space="preserve">Bela Vista </v>
          </cell>
          <cell r="H2040">
            <v>37.54</v>
          </cell>
        </row>
        <row r="2041">
          <cell r="A2041">
            <v>46161</v>
          </cell>
          <cell r="C2041" t="str">
            <v xml:space="preserve">Bela Vista </v>
          </cell>
          <cell r="H2041">
            <v>36.54</v>
          </cell>
        </row>
        <row r="2042">
          <cell r="A2042">
            <v>46161</v>
          </cell>
          <cell r="C2042" t="str">
            <v xml:space="preserve">Bela Vista </v>
          </cell>
          <cell r="H2042">
            <v>32</v>
          </cell>
        </row>
        <row r="2043">
          <cell r="A2043">
            <v>46161</v>
          </cell>
          <cell r="C2043" t="str">
            <v xml:space="preserve">Bela Vista </v>
          </cell>
          <cell r="H2043">
            <v>38.299999999999997</v>
          </cell>
        </row>
        <row r="2044">
          <cell r="A2044">
            <v>46161</v>
          </cell>
          <cell r="C2044" t="str">
            <v xml:space="preserve">Bela Vista </v>
          </cell>
          <cell r="H2044">
            <v>36</v>
          </cell>
        </row>
        <row r="2045">
          <cell r="A2045">
            <v>46161</v>
          </cell>
          <cell r="C2045" t="str">
            <v xml:space="preserve">Bela Vista </v>
          </cell>
          <cell r="H2045">
            <v>37.479999999999997</v>
          </cell>
        </row>
        <row r="2046">
          <cell r="A2046">
            <v>46161</v>
          </cell>
          <cell r="C2046" t="str">
            <v xml:space="preserve">Bela Vista </v>
          </cell>
          <cell r="H2046">
            <v>48.42</v>
          </cell>
        </row>
        <row r="2047">
          <cell r="A2047">
            <v>46161</v>
          </cell>
          <cell r="C2047" t="str">
            <v xml:space="preserve">Bela Vista </v>
          </cell>
          <cell r="H2047">
            <v>45.82</v>
          </cell>
        </row>
        <row r="2048">
          <cell r="A2048">
            <v>46161</v>
          </cell>
          <cell r="C2048" t="str">
            <v xml:space="preserve">Bela Vista </v>
          </cell>
          <cell r="H2048">
            <v>40.42</v>
          </cell>
        </row>
        <row r="2049">
          <cell r="A2049">
            <v>46161</v>
          </cell>
          <cell r="C2049" t="str">
            <v xml:space="preserve">Bela Vista </v>
          </cell>
          <cell r="H2049">
            <v>47.78</v>
          </cell>
        </row>
        <row r="2050">
          <cell r="A2050">
            <v>46161</v>
          </cell>
          <cell r="C2050" t="str">
            <v xml:space="preserve">Bela Vista </v>
          </cell>
          <cell r="H2050">
            <v>47.86</v>
          </cell>
        </row>
        <row r="2051">
          <cell r="A2051">
            <v>46160</v>
          </cell>
          <cell r="C2051" t="str">
            <v xml:space="preserve">Itapaci </v>
          </cell>
          <cell r="H2051">
            <v>70.900000000000006</v>
          </cell>
        </row>
        <row r="2052">
          <cell r="A2052">
            <v>46160</v>
          </cell>
          <cell r="C2052" t="str">
            <v xml:space="preserve">Itapaci </v>
          </cell>
          <cell r="H2052">
            <v>74.180000000000007</v>
          </cell>
        </row>
        <row r="2053">
          <cell r="A2053">
            <v>46160</v>
          </cell>
          <cell r="C2053" t="str">
            <v xml:space="preserve">Itapaci </v>
          </cell>
          <cell r="H2053">
            <v>70.58</v>
          </cell>
        </row>
        <row r="2054">
          <cell r="A2054">
            <v>46160</v>
          </cell>
          <cell r="C2054" t="str">
            <v xml:space="preserve">Itapaci </v>
          </cell>
          <cell r="H2054">
            <v>39.700000000000003</v>
          </cell>
        </row>
        <row r="2055">
          <cell r="A2055">
            <v>46160</v>
          </cell>
          <cell r="C2055" t="str">
            <v xml:space="preserve">Itapaci </v>
          </cell>
          <cell r="H2055">
            <v>72.319999999999993</v>
          </cell>
        </row>
        <row r="2056">
          <cell r="A2056">
            <v>46161</v>
          </cell>
          <cell r="C2056" t="str">
            <v xml:space="preserve">Itapaci </v>
          </cell>
          <cell r="H2056">
            <v>73.44</v>
          </cell>
        </row>
        <row r="2057">
          <cell r="A2057">
            <v>46161</v>
          </cell>
          <cell r="C2057" t="str">
            <v xml:space="preserve">Itapaci </v>
          </cell>
          <cell r="H2057">
            <v>73.319999999999993</v>
          </cell>
        </row>
        <row r="2058">
          <cell r="A2058">
            <v>46161</v>
          </cell>
          <cell r="C2058" t="str">
            <v xml:space="preserve">Itapaci </v>
          </cell>
          <cell r="H2058">
            <v>71.180000000000007</v>
          </cell>
        </row>
        <row r="2059">
          <cell r="A2059">
            <v>46161</v>
          </cell>
          <cell r="C2059" t="str">
            <v xml:space="preserve">Itapaci </v>
          </cell>
          <cell r="H2059">
            <v>35.92</v>
          </cell>
        </row>
        <row r="2060">
          <cell r="A2060">
            <v>46161</v>
          </cell>
          <cell r="C2060" t="str">
            <v xml:space="preserve">Itapaci </v>
          </cell>
          <cell r="H2060">
            <v>74.34</v>
          </cell>
        </row>
        <row r="2061">
          <cell r="A2061">
            <v>46161</v>
          </cell>
          <cell r="C2061" t="str">
            <v xml:space="preserve">Bela Vista </v>
          </cell>
          <cell r="H2061">
            <v>37.58</v>
          </cell>
        </row>
        <row r="2062">
          <cell r="A2062">
            <v>46161</v>
          </cell>
          <cell r="C2062" t="str">
            <v xml:space="preserve">Bela Vista </v>
          </cell>
          <cell r="H2062">
            <v>36.479999999999997</v>
          </cell>
        </row>
        <row r="2063">
          <cell r="A2063">
            <v>46161</v>
          </cell>
          <cell r="C2063" t="str">
            <v xml:space="preserve">Bela Vista </v>
          </cell>
          <cell r="H2063">
            <v>41.38</v>
          </cell>
        </row>
        <row r="2064">
          <cell r="A2064">
            <v>46161</v>
          </cell>
          <cell r="C2064" t="str">
            <v xml:space="preserve">Bela Vista </v>
          </cell>
          <cell r="H2064">
            <v>36.58</v>
          </cell>
        </row>
        <row r="2065">
          <cell r="A2065">
            <v>46161</v>
          </cell>
          <cell r="C2065" t="str">
            <v xml:space="preserve">Bela Vista </v>
          </cell>
          <cell r="H2065">
            <v>49.72</v>
          </cell>
        </row>
        <row r="2066">
          <cell r="A2066">
            <v>46161</v>
          </cell>
          <cell r="C2066" t="str">
            <v xml:space="preserve">Bela Vista </v>
          </cell>
          <cell r="H2066">
            <v>35.24</v>
          </cell>
        </row>
        <row r="2067">
          <cell r="A2067">
            <v>46161</v>
          </cell>
          <cell r="C2067" t="str">
            <v xml:space="preserve">Bela Vista </v>
          </cell>
          <cell r="H2067">
            <v>35.58</v>
          </cell>
        </row>
        <row r="2068">
          <cell r="A2068">
            <v>46161</v>
          </cell>
          <cell r="C2068" t="str">
            <v xml:space="preserve">Bela Vista </v>
          </cell>
          <cell r="H2068">
            <v>46.62</v>
          </cell>
        </row>
        <row r="2069">
          <cell r="A2069">
            <v>46161</v>
          </cell>
          <cell r="C2069" t="str">
            <v xml:space="preserve">Bela Vista </v>
          </cell>
          <cell r="H2069">
            <v>49.12</v>
          </cell>
        </row>
        <row r="2070">
          <cell r="A2070">
            <v>46161</v>
          </cell>
          <cell r="C2070" t="str">
            <v xml:space="preserve">Bela Vista </v>
          </cell>
          <cell r="H2070">
            <v>36.64</v>
          </cell>
        </row>
        <row r="2071">
          <cell r="A2071">
            <v>46161</v>
          </cell>
          <cell r="C2071" t="str">
            <v xml:space="preserve">Bela Vista </v>
          </cell>
          <cell r="H2071">
            <v>37.659999999999997</v>
          </cell>
        </row>
        <row r="2072">
          <cell r="A2072">
            <v>46161</v>
          </cell>
          <cell r="C2072" t="str">
            <v xml:space="preserve">Bela Vista </v>
          </cell>
          <cell r="H2072">
            <v>30.02</v>
          </cell>
        </row>
        <row r="2073">
          <cell r="A2073">
            <v>46161</v>
          </cell>
          <cell r="C2073" t="str">
            <v xml:space="preserve">Bela Vista </v>
          </cell>
          <cell r="H2073">
            <v>35.22</v>
          </cell>
        </row>
        <row r="2074">
          <cell r="A2074">
            <v>46161</v>
          </cell>
          <cell r="C2074" t="str">
            <v xml:space="preserve">Bela Vista </v>
          </cell>
          <cell r="H2074">
            <v>50.74</v>
          </cell>
        </row>
        <row r="2075">
          <cell r="A2075">
            <v>46162</v>
          </cell>
          <cell r="C2075" t="str">
            <v xml:space="preserve">Bela Vista </v>
          </cell>
          <cell r="H2075">
            <v>38.979999999999997</v>
          </cell>
        </row>
        <row r="2076">
          <cell r="A2076">
            <v>46162</v>
          </cell>
          <cell r="C2076" t="str">
            <v xml:space="preserve">Bela Vista </v>
          </cell>
          <cell r="H2076">
            <v>41.78</v>
          </cell>
        </row>
        <row r="2077">
          <cell r="A2077">
            <v>46162</v>
          </cell>
          <cell r="C2077" t="str">
            <v xml:space="preserve">Bela Vista </v>
          </cell>
          <cell r="H2077">
            <v>35.96</v>
          </cell>
        </row>
        <row r="2078">
          <cell r="A2078">
            <v>46162</v>
          </cell>
          <cell r="C2078" t="str">
            <v xml:space="preserve">Bela Vista </v>
          </cell>
          <cell r="H2078">
            <v>36.74</v>
          </cell>
        </row>
        <row r="2079">
          <cell r="A2079">
            <v>46162</v>
          </cell>
          <cell r="C2079" t="str">
            <v xml:space="preserve">Bela Vista </v>
          </cell>
          <cell r="H2079">
            <v>49.52</v>
          </cell>
        </row>
        <row r="2080">
          <cell r="A2080">
            <v>46162</v>
          </cell>
          <cell r="C2080" t="str">
            <v xml:space="preserve">Bela Vista </v>
          </cell>
          <cell r="H2080">
            <v>35.22</v>
          </cell>
        </row>
        <row r="2081">
          <cell r="A2081">
            <v>46162</v>
          </cell>
          <cell r="C2081" t="str">
            <v xml:space="preserve">Bela Vista </v>
          </cell>
          <cell r="H2081">
            <v>50.04</v>
          </cell>
        </row>
        <row r="2082">
          <cell r="A2082">
            <v>46162</v>
          </cell>
          <cell r="C2082" t="str">
            <v xml:space="preserve">Bela Vista </v>
          </cell>
          <cell r="H2082">
            <v>36.86</v>
          </cell>
        </row>
        <row r="2083">
          <cell r="A2083">
            <v>46162</v>
          </cell>
          <cell r="C2083" t="str">
            <v xml:space="preserve">Bela Vista </v>
          </cell>
          <cell r="H2083">
            <v>35.619999999999997</v>
          </cell>
        </row>
        <row r="2084">
          <cell r="A2084">
            <v>46161</v>
          </cell>
          <cell r="C2084" t="str">
            <v xml:space="preserve">Itapaci </v>
          </cell>
          <cell r="H2084">
            <v>61.66</v>
          </cell>
        </row>
        <row r="2085">
          <cell r="A2085">
            <v>46161</v>
          </cell>
          <cell r="C2085" t="str">
            <v xml:space="preserve">Itapaci </v>
          </cell>
          <cell r="H2085">
            <v>72.459999999999994</v>
          </cell>
        </row>
        <row r="2086">
          <cell r="A2086">
            <v>46162</v>
          </cell>
          <cell r="C2086" t="str">
            <v xml:space="preserve">Itapaci </v>
          </cell>
          <cell r="H2086">
            <v>35.840000000000003</v>
          </cell>
        </row>
        <row r="2087">
          <cell r="A2087">
            <v>46161</v>
          </cell>
          <cell r="C2087" t="str">
            <v xml:space="preserve">Itapaci </v>
          </cell>
          <cell r="H2087">
            <v>42.26</v>
          </cell>
        </row>
        <row r="2088">
          <cell r="A2088">
            <v>46162</v>
          </cell>
          <cell r="C2088" t="str">
            <v xml:space="preserve">Itapaci </v>
          </cell>
          <cell r="H2088">
            <v>72.040000000000006</v>
          </cell>
        </row>
        <row r="2089">
          <cell r="A2089">
            <v>46162</v>
          </cell>
          <cell r="C2089" t="str">
            <v xml:space="preserve">Itapaci </v>
          </cell>
          <cell r="H2089">
            <v>76.34</v>
          </cell>
        </row>
        <row r="2090">
          <cell r="A2090">
            <v>46162</v>
          </cell>
          <cell r="C2090" t="str">
            <v xml:space="preserve">Bela Vista </v>
          </cell>
          <cell r="H2090">
            <v>50.66</v>
          </cell>
        </row>
        <row r="2091">
          <cell r="A2091">
            <v>46162</v>
          </cell>
          <cell r="C2091" t="str">
            <v xml:space="preserve">Bela Vista </v>
          </cell>
          <cell r="H2091">
            <v>35.94</v>
          </cell>
        </row>
        <row r="2092">
          <cell r="A2092">
            <v>46162</v>
          </cell>
          <cell r="C2092" t="str">
            <v xml:space="preserve">Bela Vista </v>
          </cell>
          <cell r="H2092">
            <v>30.66</v>
          </cell>
        </row>
        <row r="2093">
          <cell r="A2093">
            <v>46162</v>
          </cell>
          <cell r="C2093" t="str">
            <v xml:space="preserve">Bela Vista </v>
          </cell>
          <cell r="H2093">
            <v>49.22</v>
          </cell>
        </row>
        <row r="2094">
          <cell r="A2094">
            <v>46162</v>
          </cell>
          <cell r="C2094" t="str">
            <v xml:space="preserve">Bela Vista </v>
          </cell>
          <cell r="H2094">
            <v>34.92</v>
          </cell>
        </row>
        <row r="2095">
          <cell r="A2095">
            <v>46162</v>
          </cell>
          <cell r="C2095" t="str">
            <v xml:space="preserve">Bela Vista </v>
          </cell>
          <cell r="H2095">
            <v>36.68</v>
          </cell>
        </row>
        <row r="2096">
          <cell r="A2096">
            <v>46162</v>
          </cell>
          <cell r="C2096" t="str">
            <v xml:space="preserve">Bela Vista </v>
          </cell>
          <cell r="H2096">
            <v>45.76</v>
          </cell>
        </row>
        <row r="2097">
          <cell r="A2097">
            <v>46162</v>
          </cell>
          <cell r="C2097" t="str">
            <v xml:space="preserve">Bela Vista </v>
          </cell>
          <cell r="H2097">
            <v>34.42</v>
          </cell>
        </row>
        <row r="2098">
          <cell r="A2098">
            <v>46162</v>
          </cell>
          <cell r="C2098" t="str">
            <v xml:space="preserve">Bela Vista </v>
          </cell>
          <cell r="H2098">
            <v>38.4</v>
          </cell>
        </row>
        <row r="2099">
          <cell r="A2099">
            <v>46162</v>
          </cell>
          <cell r="C2099" t="str">
            <v xml:space="preserve">Bela Vista </v>
          </cell>
          <cell r="H2099">
            <v>39.979999999999997</v>
          </cell>
        </row>
        <row r="2100">
          <cell r="A2100">
            <v>46162</v>
          </cell>
          <cell r="C2100" t="str">
            <v xml:space="preserve">Bela Vista </v>
          </cell>
          <cell r="H2100">
            <v>49.24</v>
          </cell>
        </row>
        <row r="2101">
          <cell r="A2101">
            <v>46162</v>
          </cell>
          <cell r="C2101" t="str">
            <v xml:space="preserve">Bela Vista </v>
          </cell>
          <cell r="H2101">
            <v>35.36</v>
          </cell>
        </row>
        <row r="2102">
          <cell r="A2102">
            <v>46162</v>
          </cell>
          <cell r="C2102" t="str">
            <v xml:space="preserve">Bela Vista </v>
          </cell>
          <cell r="H2102">
            <v>36.9</v>
          </cell>
        </row>
        <row r="2103">
          <cell r="A2103">
            <v>46162</v>
          </cell>
          <cell r="C2103" t="str">
            <v xml:space="preserve">Bela Vista </v>
          </cell>
          <cell r="H2103">
            <v>49.26</v>
          </cell>
        </row>
        <row r="2104">
          <cell r="A2104">
            <v>46162</v>
          </cell>
          <cell r="C2104" t="str">
            <v xml:space="preserve">Bela Vista </v>
          </cell>
          <cell r="H2104">
            <v>50</v>
          </cell>
        </row>
        <row r="2105">
          <cell r="A2105">
            <v>46162</v>
          </cell>
          <cell r="C2105" t="str">
            <v xml:space="preserve">Bela Vista </v>
          </cell>
          <cell r="H2105">
            <v>35.96</v>
          </cell>
        </row>
        <row r="2106">
          <cell r="A2106">
            <v>46162</v>
          </cell>
          <cell r="C2106" t="str">
            <v xml:space="preserve">Bela Vista </v>
          </cell>
          <cell r="H2106">
            <v>35.58</v>
          </cell>
        </row>
        <row r="2107">
          <cell r="A2107">
            <v>46162</v>
          </cell>
          <cell r="C2107" t="str">
            <v xml:space="preserve">Bela Vista </v>
          </cell>
          <cell r="H2107">
            <v>36.56</v>
          </cell>
        </row>
        <row r="2108">
          <cell r="A2108">
            <v>46162</v>
          </cell>
          <cell r="C2108" t="str">
            <v xml:space="preserve">Bela Vista </v>
          </cell>
          <cell r="H2108">
            <v>46.02</v>
          </cell>
        </row>
        <row r="2109">
          <cell r="A2109">
            <v>46163</v>
          </cell>
          <cell r="C2109" t="str">
            <v xml:space="preserve">Bela Vista </v>
          </cell>
          <cell r="H2109">
            <v>38.6</v>
          </cell>
        </row>
        <row r="2110">
          <cell r="A2110">
            <v>46163</v>
          </cell>
          <cell r="C2110" t="str">
            <v xml:space="preserve">Bela Vista </v>
          </cell>
          <cell r="H2110">
            <v>35.44</v>
          </cell>
        </row>
        <row r="2111">
          <cell r="A2111">
            <v>46163</v>
          </cell>
          <cell r="C2111" t="str">
            <v xml:space="preserve">Bela Vista </v>
          </cell>
          <cell r="H2111">
            <v>50.5</v>
          </cell>
        </row>
        <row r="2112">
          <cell r="A2112">
            <v>46163</v>
          </cell>
          <cell r="C2112" t="str">
            <v xml:space="preserve">Bela Vista </v>
          </cell>
          <cell r="H2112">
            <v>36.340000000000003</v>
          </cell>
        </row>
        <row r="2113">
          <cell r="A2113">
            <v>46163</v>
          </cell>
          <cell r="C2113" t="str">
            <v xml:space="preserve">Bela Vista </v>
          </cell>
          <cell r="H2113">
            <v>39.9</v>
          </cell>
        </row>
        <row r="2114">
          <cell r="A2114">
            <v>46162</v>
          </cell>
          <cell r="C2114" t="str">
            <v xml:space="preserve">Itapaci </v>
          </cell>
          <cell r="H2114">
            <v>71.319999999999993</v>
          </cell>
        </row>
        <row r="2115">
          <cell r="A2115">
            <v>46162</v>
          </cell>
          <cell r="C2115" t="str">
            <v xml:space="preserve">Itapaci </v>
          </cell>
          <cell r="H2115">
            <v>41.88</v>
          </cell>
        </row>
        <row r="2116">
          <cell r="A2116">
            <v>46162</v>
          </cell>
          <cell r="C2116" t="str">
            <v xml:space="preserve">Itapaci </v>
          </cell>
          <cell r="H2116">
            <v>56.68</v>
          </cell>
        </row>
        <row r="2117">
          <cell r="A2117">
            <v>46162</v>
          </cell>
          <cell r="C2117" t="str">
            <v xml:space="preserve">Itapaci </v>
          </cell>
          <cell r="H2117">
            <v>34.28</v>
          </cell>
        </row>
        <row r="2118">
          <cell r="A2118">
            <v>46162</v>
          </cell>
          <cell r="C2118" t="str">
            <v xml:space="preserve">Itapaci </v>
          </cell>
          <cell r="H2118">
            <v>72.28</v>
          </cell>
        </row>
        <row r="2119">
          <cell r="A2119">
            <v>46163</v>
          </cell>
          <cell r="C2119" t="str">
            <v xml:space="preserve">Itapaci </v>
          </cell>
          <cell r="H2119">
            <v>37.700000000000003</v>
          </cell>
        </row>
        <row r="2120">
          <cell r="A2120">
            <v>46162</v>
          </cell>
          <cell r="C2120" t="str">
            <v xml:space="preserve">Itapaci </v>
          </cell>
          <cell r="H2120">
            <v>74.819999999999993</v>
          </cell>
        </row>
        <row r="2121">
          <cell r="A2121">
            <v>46162</v>
          </cell>
          <cell r="C2121" t="str">
            <v xml:space="preserve">Itapaci </v>
          </cell>
          <cell r="H2121">
            <v>72.760000000000005</v>
          </cell>
        </row>
        <row r="2122">
          <cell r="A2122">
            <v>46163</v>
          </cell>
          <cell r="C2122" t="str">
            <v xml:space="preserve">Itapaci </v>
          </cell>
          <cell r="H2122">
            <v>34.880000000000003</v>
          </cell>
        </row>
        <row r="2123">
          <cell r="A2123">
            <v>46163</v>
          </cell>
          <cell r="C2123" t="str">
            <v xml:space="preserve">Itapaci </v>
          </cell>
          <cell r="H2123">
            <v>75.239999999999995</v>
          </cell>
        </row>
        <row r="2124">
          <cell r="A2124">
            <v>46163</v>
          </cell>
          <cell r="C2124" t="str">
            <v xml:space="preserve">Itapaci </v>
          </cell>
          <cell r="H2124">
            <v>70.06</v>
          </cell>
        </row>
        <row r="2125">
          <cell r="A2125">
            <v>46163</v>
          </cell>
          <cell r="C2125" t="str">
            <v xml:space="preserve">Itapaci </v>
          </cell>
          <cell r="H2125">
            <v>75.2</v>
          </cell>
        </row>
        <row r="2126">
          <cell r="A2126">
            <v>46163</v>
          </cell>
          <cell r="C2126" t="str">
            <v xml:space="preserve">Bela Vista </v>
          </cell>
          <cell r="H2126">
            <v>35.56</v>
          </cell>
        </row>
        <row r="2127">
          <cell r="A2127">
            <v>46163</v>
          </cell>
          <cell r="C2127" t="str">
            <v xml:space="preserve">Bela Vista </v>
          </cell>
          <cell r="H2127">
            <v>47.84</v>
          </cell>
        </row>
        <row r="2128">
          <cell r="A2128">
            <v>46163</v>
          </cell>
          <cell r="C2128" t="str">
            <v xml:space="preserve">Bela Vista </v>
          </cell>
          <cell r="H2128">
            <v>49.88</v>
          </cell>
        </row>
        <row r="2129">
          <cell r="A2129">
            <v>46163</v>
          </cell>
          <cell r="C2129" t="str">
            <v xml:space="preserve">Bela Vista </v>
          </cell>
          <cell r="H2129">
            <v>36.840000000000003</v>
          </cell>
        </row>
        <row r="2130">
          <cell r="A2130">
            <v>46163</v>
          </cell>
          <cell r="C2130" t="str">
            <v xml:space="preserve">Bela Vista </v>
          </cell>
          <cell r="H2130">
            <v>36.840000000000003</v>
          </cell>
        </row>
        <row r="2131">
          <cell r="A2131">
            <v>46163</v>
          </cell>
          <cell r="C2131" t="str">
            <v xml:space="preserve">Bela Vista </v>
          </cell>
          <cell r="H2131">
            <v>36.659999999999997</v>
          </cell>
        </row>
        <row r="2132">
          <cell r="A2132">
            <v>46163</v>
          </cell>
          <cell r="C2132" t="str">
            <v xml:space="preserve">Bela Vista </v>
          </cell>
          <cell r="H2132">
            <v>36.96</v>
          </cell>
        </row>
        <row r="2133">
          <cell r="A2133">
            <v>46163</v>
          </cell>
          <cell r="C2133" t="str">
            <v xml:space="preserve">Bela Vista </v>
          </cell>
          <cell r="H2133">
            <v>48.98</v>
          </cell>
        </row>
        <row r="2134">
          <cell r="A2134">
            <v>46163</v>
          </cell>
          <cell r="C2134" t="str">
            <v xml:space="preserve">Bela Vista </v>
          </cell>
          <cell r="H2134">
            <v>45.56</v>
          </cell>
        </row>
        <row r="2135">
          <cell r="A2135">
            <v>46163</v>
          </cell>
          <cell r="C2135" t="str">
            <v xml:space="preserve">Bela Vista </v>
          </cell>
          <cell r="H2135">
            <v>37.22</v>
          </cell>
        </row>
        <row r="2136">
          <cell r="A2136">
            <v>46163</v>
          </cell>
          <cell r="C2136" t="str">
            <v xml:space="preserve">Bela Vista </v>
          </cell>
          <cell r="H2136">
            <v>47.02</v>
          </cell>
        </row>
        <row r="2137">
          <cell r="A2137">
            <v>46163</v>
          </cell>
          <cell r="C2137" t="str">
            <v xml:space="preserve">Bela Vista </v>
          </cell>
          <cell r="H2137">
            <v>35.159999999999997</v>
          </cell>
        </row>
        <row r="2138">
          <cell r="A2138">
            <v>46163</v>
          </cell>
          <cell r="C2138" t="str">
            <v xml:space="preserve">Bela Vista </v>
          </cell>
          <cell r="H2138">
            <v>49.02</v>
          </cell>
        </row>
        <row r="2139">
          <cell r="A2139">
            <v>46163</v>
          </cell>
          <cell r="C2139" t="str">
            <v xml:space="preserve">Bela Vista </v>
          </cell>
          <cell r="H2139">
            <v>38.54</v>
          </cell>
        </row>
        <row r="2140">
          <cell r="A2140">
            <v>46163</v>
          </cell>
          <cell r="C2140" t="str">
            <v xml:space="preserve">Bela Vista </v>
          </cell>
          <cell r="H2140">
            <v>38.42</v>
          </cell>
        </row>
        <row r="2141">
          <cell r="A2141">
            <v>46163</v>
          </cell>
          <cell r="C2141" t="str">
            <v xml:space="preserve">Bela Vista </v>
          </cell>
          <cell r="H2141">
            <v>34.380000000000003</v>
          </cell>
        </row>
        <row r="2142">
          <cell r="A2142">
            <v>46163</v>
          </cell>
          <cell r="C2142" t="str">
            <v xml:space="preserve">Bela Vista </v>
          </cell>
          <cell r="H2142">
            <v>45.38</v>
          </cell>
        </row>
        <row r="2143">
          <cell r="A2143">
            <v>46163</v>
          </cell>
          <cell r="C2143" t="str">
            <v xml:space="preserve">Bela Vista </v>
          </cell>
          <cell r="H2143">
            <v>49.88</v>
          </cell>
        </row>
        <row r="2144">
          <cell r="A2144">
            <v>46164</v>
          </cell>
          <cell r="C2144" t="str">
            <v xml:space="preserve">Bela Vista </v>
          </cell>
          <cell r="H2144">
            <v>35.64</v>
          </cell>
        </row>
        <row r="2145">
          <cell r="A2145">
            <v>46164</v>
          </cell>
          <cell r="C2145" t="str">
            <v xml:space="preserve">Bela Vista </v>
          </cell>
          <cell r="H2145">
            <v>47.84</v>
          </cell>
        </row>
        <row r="2146">
          <cell r="A2146">
            <v>46164</v>
          </cell>
          <cell r="C2146" t="str">
            <v xml:space="preserve">Bela Vista </v>
          </cell>
          <cell r="H2146">
            <v>34.72</v>
          </cell>
        </row>
        <row r="2147">
          <cell r="A2147">
            <v>46164</v>
          </cell>
          <cell r="C2147" t="str">
            <v xml:space="preserve">Bela Vista </v>
          </cell>
          <cell r="H2147">
            <v>35.18</v>
          </cell>
        </row>
        <row r="2148">
          <cell r="A2148">
            <v>46164</v>
          </cell>
          <cell r="C2148" t="str">
            <v xml:space="preserve">Bela Vista </v>
          </cell>
          <cell r="H2148">
            <v>44.64</v>
          </cell>
        </row>
        <row r="2149">
          <cell r="A2149">
            <v>46164</v>
          </cell>
          <cell r="C2149" t="str">
            <v xml:space="preserve">Bela Vista </v>
          </cell>
          <cell r="H2149">
            <v>36.82</v>
          </cell>
        </row>
        <row r="2150">
          <cell r="A2150">
            <v>46163</v>
          </cell>
          <cell r="C2150" t="str">
            <v xml:space="preserve">Itapaci </v>
          </cell>
          <cell r="H2150">
            <v>48.1</v>
          </cell>
        </row>
        <row r="2151">
          <cell r="A2151">
            <v>46163</v>
          </cell>
          <cell r="C2151" t="str">
            <v xml:space="preserve">Itapaci </v>
          </cell>
          <cell r="H2151">
            <v>76.599999999999994</v>
          </cell>
        </row>
        <row r="2152">
          <cell r="A2152">
            <v>46163</v>
          </cell>
          <cell r="C2152" t="str">
            <v xml:space="preserve">Itapaci </v>
          </cell>
          <cell r="H2152">
            <v>74.900000000000006</v>
          </cell>
        </row>
        <row r="2153">
          <cell r="A2153">
            <v>46163</v>
          </cell>
          <cell r="C2153" t="str">
            <v xml:space="preserve">Itapaci </v>
          </cell>
          <cell r="H2153">
            <v>70.819999999999993</v>
          </cell>
        </row>
        <row r="2154">
          <cell r="A2154">
            <v>46163</v>
          </cell>
          <cell r="C2154" t="str">
            <v xml:space="preserve">Itapaci </v>
          </cell>
          <cell r="H2154">
            <v>51.8</v>
          </cell>
        </row>
        <row r="2155">
          <cell r="A2155">
            <v>46163</v>
          </cell>
          <cell r="C2155" t="str">
            <v xml:space="preserve">Itapaci </v>
          </cell>
          <cell r="H2155">
            <v>71.540000000000006</v>
          </cell>
        </row>
        <row r="2156">
          <cell r="A2156">
            <v>46163</v>
          </cell>
          <cell r="C2156" t="str">
            <v xml:space="preserve">Itapaci </v>
          </cell>
          <cell r="H2156">
            <v>64.12</v>
          </cell>
        </row>
        <row r="2157">
          <cell r="A2157">
            <v>46163</v>
          </cell>
          <cell r="C2157" t="str">
            <v xml:space="preserve">Itapaci </v>
          </cell>
          <cell r="H2157">
            <v>74.959999999999994</v>
          </cell>
        </row>
        <row r="2158">
          <cell r="A2158">
            <v>46163</v>
          </cell>
          <cell r="C2158" t="str">
            <v xml:space="preserve">Itapaci </v>
          </cell>
          <cell r="H2158">
            <v>73.36</v>
          </cell>
        </row>
        <row r="2159">
          <cell r="A2159">
            <v>46163</v>
          </cell>
          <cell r="C2159" t="str">
            <v xml:space="preserve">Itapaci </v>
          </cell>
          <cell r="H2159">
            <v>72.22</v>
          </cell>
        </row>
        <row r="2160">
          <cell r="A2160">
            <v>46164</v>
          </cell>
          <cell r="C2160" t="str">
            <v xml:space="preserve">Itapaci </v>
          </cell>
          <cell r="H2160">
            <v>73.22</v>
          </cell>
        </row>
        <row r="2161">
          <cell r="A2161">
            <v>46164</v>
          </cell>
          <cell r="C2161" t="str">
            <v xml:space="preserve">Itapaci </v>
          </cell>
          <cell r="H2161">
            <v>43.92</v>
          </cell>
        </row>
        <row r="2162">
          <cell r="A2162">
            <v>46164</v>
          </cell>
          <cell r="C2162" t="str">
            <v xml:space="preserve">Itapaci </v>
          </cell>
          <cell r="H2162">
            <v>70.5</v>
          </cell>
        </row>
        <row r="2163">
          <cell r="A2163">
            <v>46164</v>
          </cell>
          <cell r="C2163" t="str">
            <v xml:space="preserve">Itapaci </v>
          </cell>
          <cell r="H2163">
            <v>73.599999999999994</v>
          </cell>
        </row>
        <row r="2164">
          <cell r="A2164">
            <v>46164</v>
          </cell>
          <cell r="C2164" t="str">
            <v xml:space="preserve">Itapaci </v>
          </cell>
          <cell r="H2164">
            <v>45.32</v>
          </cell>
        </row>
        <row r="2165">
          <cell r="A2165">
            <v>46164</v>
          </cell>
          <cell r="C2165" t="str">
            <v xml:space="preserve">Bela Vista </v>
          </cell>
          <cell r="H2165">
            <v>52.74</v>
          </cell>
        </row>
        <row r="2166">
          <cell r="A2166">
            <v>46164</v>
          </cell>
          <cell r="C2166" t="str">
            <v xml:space="preserve">Bela Vista </v>
          </cell>
          <cell r="H2166">
            <v>53.26</v>
          </cell>
        </row>
        <row r="2167">
          <cell r="A2167">
            <v>46164</v>
          </cell>
          <cell r="C2167" t="str">
            <v xml:space="preserve">Bela Vista </v>
          </cell>
          <cell r="H2167">
            <v>50.42</v>
          </cell>
        </row>
        <row r="2168">
          <cell r="A2168">
            <v>46164</v>
          </cell>
          <cell r="C2168" t="str">
            <v xml:space="preserve">Bela Vista </v>
          </cell>
          <cell r="H2168">
            <v>36.119999999999997</v>
          </cell>
        </row>
        <row r="2169">
          <cell r="A2169">
            <v>46164</v>
          </cell>
          <cell r="C2169" t="str">
            <v xml:space="preserve">Bela Vista </v>
          </cell>
          <cell r="H2169">
            <v>49.06</v>
          </cell>
        </row>
        <row r="2170">
          <cell r="A2170">
            <v>46164</v>
          </cell>
          <cell r="C2170" t="str">
            <v xml:space="preserve">Bela Vista </v>
          </cell>
          <cell r="H2170">
            <v>36.14</v>
          </cell>
        </row>
        <row r="2171">
          <cell r="A2171">
            <v>46164</v>
          </cell>
          <cell r="C2171" t="str">
            <v xml:space="preserve">Bela Vista </v>
          </cell>
          <cell r="H2171">
            <v>35.200000000000003</v>
          </cell>
        </row>
        <row r="2172">
          <cell r="A2172">
            <v>46164</v>
          </cell>
          <cell r="C2172" t="str">
            <v xml:space="preserve">Bela Vista </v>
          </cell>
          <cell r="H2172">
            <v>44.62</v>
          </cell>
        </row>
        <row r="2173">
          <cell r="A2173">
            <v>46164</v>
          </cell>
          <cell r="C2173" t="str">
            <v xml:space="preserve">Bela Vista </v>
          </cell>
          <cell r="H2173">
            <v>36.5</v>
          </cell>
        </row>
        <row r="2174">
          <cell r="A2174">
            <v>46164</v>
          </cell>
          <cell r="C2174" t="str">
            <v xml:space="preserve">Bela Vista </v>
          </cell>
          <cell r="H2174">
            <v>36.159999999999997</v>
          </cell>
        </row>
        <row r="2175">
          <cell r="A2175">
            <v>46164</v>
          </cell>
          <cell r="C2175" t="str">
            <v xml:space="preserve">Bela Vista </v>
          </cell>
          <cell r="H2175">
            <v>36.06</v>
          </cell>
        </row>
        <row r="2176">
          <cell r="A2176">
            <v>46164</v>
          </cell>
          <cell r="C2176" t="str">
            <v xml:space="preserve">Bela Vista </v>
          </cell>
          <cell r="H2176">
            <v>50.14</v>
          </cell>
        </row>
        <row r="2177">
          <cell r="A2177">
            <v>46164</v>
          </cell>
          <cell r="C2177" t="str">
            <v xml:space="preserve">Bela Vista </v>
          </cell>
          <cell r="H2177">
            <v>36.520000000000003</v>
          </cell>
        </row>
        <row r="2178">
          <cell r="A2178">
            <v>46164</v>
          </cell>
          <cell r="C2178" t="str">
            <v xml:space="preserve">Bela Vista </v>
          </cell>
          <cell r="H2178">
            <v>37.32</v>
          </cell>
        </row>
        <row r="2179">
          <cell r="A2179">
            <v>46164</v>
          </cell>
          <cell r="C2179" t="str">
            <v xml:space="preserve">Bela Vista </v>
          </cell>
          <cell r="H2179">
            <v>50.82</v>
          </cell>
        </row>
        <row r="2180">
          <cell r="A2180">
            <v>46164</v>
          </cell>
          <cell r="C2180" t="str">
            <v xml:space="preserve">Bela Vista </v>
          </cell>
          <cell r="H2180">
            <v>50.18</v>
          </cell>
        </row>
        <row r="2181">
          <cell r="A2181">
            <v>46164</v>
          </cell>
          <cell r="C2181" t="str">
            <v xml:space="preserve">Bela Vista </v>
          </cell>
          <cell r="H2181">
            <v>52.7</v>
          </cell>
        </row>
        <row r="2182">
          <cell r="A2182">
            <v>46164</v>
          </cell>
          <cell r="C2182" t="str">
            <v xml:space="preserve">Bela Vista </v>
          </cell>
          <cell r="H2182">
            <v>36.56</v>
          </cell>
        </row>
        <row r="2183">
          <cell r="A2183">
            <v>46164</v>
          </cell>
          <cell r="C2183" t="str">
            <v xml:space="preserve">Bela Vista </v>
          </cell>
          <cell r="H2183">
            <v>48.8</v>
          </cell>
        </row>
        <row r="2184">
          <cell r="A2184">
            <v>46164</v>
          </cell>
          <cell r="C2184" t="str">
            <v xml:space="preserve">Bela Vista </v>
          </cell>
          <cell r="H2184">
            <v>35.299999999999997</v>
          </cell>
        </row>
        <row r="2185">
          <cell r="A2185">
            <v>46164</v>
          </cell>
          <cell r="C2185" t="str">
            <v xml:space="preserve">Bela Vista </v>
          </cell>
          <cell r="H2185">
            <v>45.5</v>
          </cell>
        </row>
        <row r="2186">
          <cell r="A2186">
            <v>46164</v>
          </cell>
          <cell r="C2186" t="str">
            <v xml:space="preserve">Bela Vista </v>
          </cell>
          <cell r="H2186">
            <v>34.76</v>
          </cell>
        </row>
        <row r="2187">
          <cell r="A2187">
            <v>46165</v>
          </cell>
          <cell r="C2187" t="str">
            <v xml:space="preserve">Bela Vista </v>
          </cell>
          <cell r="H2187">
            <v>49.7</v>
          </cell>
        </row>
        <row r="2188">
          <cell r="A2188">
            <v>46165</v>
          </cell>
          <cell r="C2188" t="str">
            <v xml:space="preserve">Bela Vista </v>
          </cell>
          <cell r="H2188">
            <v>36.46</v>
          </cell>
        </row>
        <row r="2189">
          <cell r="A2189">
            <v>46165</v>
          </cell>
          <cell r="C2189" t="str">
            <v xml:space="preserve">Bela Vista </v>
          </cell>
          <cell r="H2189">
            <v>36.28</v>
          </cell>
        </row>
        <row r="2190">
          <cell r="A2190">
            <v>46165</v>
          </cell>
          <cell r="C2190" t="str">
            <v xml:space="preserve">Bela Vista </v>
          </cell>
          <cell r="H2190">
            <v>35.58</v>
          </cell>
        </row>
        <row r="2191">
          <cell r="A2191">
            <v>46165</v>
          </cell>
          <cell r="C2191" t="str">
            <v xml:space="preserve">Bela Vista </v>
          </cell>
          <cell r="H2191">
            <v>50.2</v>
          </cell>
        </row>
        <row r="2192">
          <cell r="A2192">
            <v>46165</v>
          </cell>
          <cell r="C2192" t="str">
            <v xml:space="preserve">Bela Vista </v>
          </cell>
          <cell r="H2192">
            <v>38.72</v>
          </cell>
        </row>
        <row r="2193">
          <cell r="A2193">
            <v>46165</v>
          </cell>
          <cell r="C2193" t="str">
            <v xml:space="preserve">Bela Vista </v>
          </cell>
          <cell r="H2193">
            <v>51.88</v>
          </cell>
        </row>
        <row r="2194">
          <cell r="A2194">
            <v>46165</v>
          </cell>
          <cell r="C2194" t="str">
            <v xml:space="preserve">Bela Vista </v>
          </cell>
          <cell r="H2194">
            <v>35.04</v>
          </cell>
        </row>
        <row r="2195">
          <cell r="A2195">
            <v>46165</v>
          </cell>
          <cell r="C2195" t="str">
            <v xml:space="preserve">Bela Vista </v>
          </cell>
          <cell r="H2195">
            <v>50.2</v>
          </cell>
        </row>
        <row r="2196">
          <cell r="A2196">
            <v>46165</v>
          </cell>
          <cell r="C2196" t="str">
            <v xml:space="preserve">Bela Vista </v>
          </cell>
          <cell r="H2196">
            <v>49.9</v>
          </cell>
        </row>
        <row r="2197">
          <cell r="A2197">
            <v>46165</v>
          </cell>
          <cell r="C2197" t="str">
            <v xml:space="preserve">Bela Vista </v>
          </cell>
          <cell r="H2197">
            <v>50.44</v>
          </cell>
        </row>
        <row r="2198">
          <cell r="A2198">
            <v>46165</v>
          </cell>
          <cell r="C2198" t="str">
            <v xml:space="preserve">Bela Vista </v>
          </cell>
          <cell r="H2198">
            <v>48.6</v>
          </cell>
        </row>
        <row r="2199">
          <cell r="A2199">
            <v>46165</v>
          </cell>
          <cell r="C2199" t="str">
            <v xml:space="preserve">Bela Vista </v>
          </cell>
          <cell r="H2199">
            <v>36.520000000000003</v>
          </cell>
        </row>
        <row r="2200">
          <cell r="A2200">
            <v>46165</v>
          </cell>
          <cell r="C2200" t="str">
            <v xml:space="preserve">Bela Vista </v>
          </cell>
          <cell r="H2200">
            <v>38.26</v>
          </cell>
        </row>
        <row r="2201">
          <cell r="A2201">
            <v>46165</v>
          </cell>
          <cell r="C2201" t="str">
            <v xml:space="preserve">Bela Vista </v>
          </cell>
          <cell r="H2201">
            <v>35.159999999999997</v>
          </cell>
        </row>
        <row r="2202">
          <cell r="A2202">
            <v>46165</v>
          </cell>
          <cell r="C2202" t="str">
            <v xml:space="preserve">Bela Vista </v>
          </cell>
          <cell r="H2202">
            <v>38.72</v>
          </cell>
        </row>
        <row r="2203">
          <cell r="A2203">
            <v>46165</v>
          </cell>
          <cell r="C2203" t="str">
            <v xml:space="preserve">Bela Vista </v>
          </cell>
          <cell r="H2203">
            <v>36.32</v>
          </cell>
        </row>
        <row r="2204">
          <cell r="A2204">
            <v>46165</v>
          </cell>
          <cell r="C2204" t="str">
            <v xml:space="preserve">Bela Vista </v>
          </cell>
          <cell r="H2204">
            <v>38.76</v>
          </cell>
        </row>
        <row r="2205">
          <cell r="A2205">
            <v>46165</v>
          </cell>
          <cell r="C2205" t="str">
            <v xml:space="preserve">Bela Vista </v>
          </cell>
          <cell r="H2205">
            <v>49.78</v>
          </cell>
        </row>
        <row r="2206">
          <cell r="A2206">
            <v>46165</v>
          </cell>
          <cell r="C2206" t="str">
            <v xml:space="preserve">Bela Vista </v>
          </cell>
          <cell r="H2206">
            <v>35.1</v>
          </cell>
        </row>
        <row r="2207">
          <cell r="A2207">
            <v>46165</v>
          </cell>
          <cell r="C2207" t="str">
            <v xml:space="preserve">Bela Vista </v>
          </cell>
          <cell r="H2207">
            <v>37.74</v>
          </cell>
        </row>
        <row r="2208">
          <cell r="A2208">
            <v>46165</v>
          </cell>
          <cell r="C2208" t="str">
            <v xml:space="preserve">Bela Vista </v>
          </cell>
          <cell r="H2208">
            <v>34.6</v>
          </cell>
        </row>
        <row r="2209">
          <cell r="A2209">
            <v>46165</v>
          </cell>
          <cell r="C2209" t="str">
            <v xml:space="preserve">Bela Vista </v>
          </cell>
          <cell r="H2209">
            <v>36.42</v>
          </cell>
        </row>
        <row r="2210">
          <cell r="A2210">
            <v>46165</v>
          </cell>
          <cell r="C2210" t="str">
            <v xml:space="preserve">Bela Vista </v>
          </cell>
          <cell r="H2210">
            <v>39.880000000000003</v>
          </cell>
        </row>
        <row r="2211">
          <cell r="A2211">
            <v>46165</v>
          </cell>
          <cell r="C2211" t="str">
            <v xml:space="preserve">Bela Vista </v>
          </cell>
          <cell r="H2211">
            <v>50.1</v>
          </cell>
        </row>
        <row r="2212">
          <cell r="A2212">
            <v>46165</v>
          </cell>
          <cell r="C2212" t="str">
            <v xml:space="preserve">Bela Vista </v>
          </cell>
          <cell r="H2212">
            <v>40.32</v>
          </cell>
        </row>
        <row r="2213">
          <cell r="A2213">
            <v>46167</v>
          </cell>
          <cell r="C2213" t="str">
            <v xml:space="preserve">Bela Vista </v>
          </cell>
          <cell r="H2213">
            <v>36.659999999999997</v>
          </cell>
        </row>
        <row r="2214">
          <cell r="A2214">
            <v>46167</v>
          </cell>
          <cell r="C2214" t="str">
            <v xml:space="preserve">Bela Vista </v>
          </cell>
          <cell r="H2214">
            <v>50.14</v>
          </cell>
        </row>
        <row r="2215">
          <cell r="A2215">
            <v>46167</v>
          </cell>
          <cell r="C2215" t="str">
            <v xml:space="preserve">Bela Vista </v>
          </cell>
          <cell r="H2215">
            <v>36.04</v>
          </cell>
        </row>
        <row r="2216">
          <cell r="A2216">
            <v>46167</v>
          </cell>
          <cell r="C2216" t="str">
            <v xml:space="preserve">Bela Vista </v>
          </cell>
          <cell r="H2216">
            <v>48.4</v>
          </cell>
        </row>
        <row r="2217">
          <cell r="A2217">
            <v>46167</v>
          </cell>
          <cell r="C2217" t="str">
            <v xml:space="preserve">Bela Vista </v>
          </cell>
          <cell r="H2217">
            <v>36.020000000000003</v>
          </cell>
        </row>
        <row r="2218">
          <cell r="A2218">
            <v>46167</v>
          </cell>
          <cell r="C2218" t="str">
            <v xml:space="preserve">Bela Vista </v>
          </cell>
          <cell r="H2218">
            <v>38.58</v>
          </cell>
        </row>
        <row r="2219">
          <cell r="A2219">
            <v>46167</v>
          </cell>
          <cell r="C2219" t="str">
            <v xml:space="preserve">Bela Vista </v>
          </cell>
          <cell r="H2219">
            <v>36.020000000000003</v>
          </cell>
        </row>
        <row r="2220">
          <cell r="A2220">
            <v>46167</v>
          </cell>
          <cell r="C2220" t="str">
            <v xml:space="preserve">Bela Vista </v>
          </cell>
          <cell r="H2220">
            <v>36.32</v>
          </cell>
        </row>
        <row r="2221">
          <cell r="A2221">
            <v>46167</v>
          </cell>
          <cell r="C2221" t="str">
            <v xml:space="preserve">Bela Vista </v>
          </cell>
          <cell r="H2221">
            <v>36.4</v>
          </cell>
        </row>
        <row r="2222">
          <cell r="A2222">
            <v>46167</v>
          </cell>
          <cell r="C2222" t="str">
            <v xml:space="preserve">Bela Vista </v>
          </cell>
          <cell r="H2222">
            <v>36.86</v>
          </cell>
        </row>
        <row r="2223">
          <cell r="A2223">
            <v>46167</v>
          </cell>
          <cell r="C2223" t="str">
            <v xml:space="preserve">Bela Vista </v>
          </cell>
          <cell r="H2223">
            <v>35.6</v>
          </cell>
        </row>
        <row r="2224">
          <cell r="A2224">
            <v>46167</v>
          </cell>
          <cell r="C2224" t="str">
            <v xml:space="preserve">Bela Vista </v>
          </cell>
          <cell r="H2224">
            <v>49.36</v>
          </cell>
        </row>
        <row r="2225">
          <cell r="A2225">
            <v>46167</v>
          </cell>
          <cell r="C2225" t="str">
            <v xml:space="preserve">Bela Vista </v>
          </cell>
          <cell r="H2225">
            <v>50.48</v>
          </cell>
        </row>
        <row r="2226">
          <cell r="A2226">
            <v>46167</v>
          </cell>
          <cell r="C2226" t="str">
            <v xml:space="preserve">Bela Vista </v>
          </cell>
          <cell r="H2226">
            <v>46.94</v>
          </cell>
        </row>
        <row r="2227">
          <cell r="A2227">
            <v>46167</v>
          </cell>
          <cell r="C2227" t="str">
            <v xml:space="preserve">Bela Vista </v>
          </cell>
          <cell r="H2227">
            <v>47.4</v>
          </cell>
        </row>
        <row r="2228">
          <cell r="A2228">
            <v>46167</v>
          </cell>
          <cell r="C2228" t="str">
            <v xml:space="preserve">Bela Vista </v>
          </cell>
          <cell r="H2228">
            <v>49.88</v>
          </cell>
        </row>
        <row r="2229">
          <cell r="A2229">
            <v>46167</v>
          </cell>
          <cell r="C2229" t="str">
            <v xml:space="preserve">Bela Vista </v>
          </cell>
          <cell r="H2229">
            <v>51.12</v>
          </cell>
        </row>
        <row r="2230">
          <cell r="A2230">
            <v>46167</v>
          </cell>
          <cell r="C2230" t="str">
            <v xml:space="preserve">Bela Vista </v>
          </cell>
          <cell r="H2230">
            <v>42.02</v>
          </cell>
        </row>
        <row r="2231">
          <cell r="A2231">
            <v>46167</v>
          </cell>
          <cell r="C2231" t="str">
            <v xml:space="preserve">Bela Vista </v>
          </cell>
          <cell r="H2231">
            <v>35.159999999999997</v>
          </cell>
        </row>
        <row r="2232">
          <cell r="A2232">
            <v>46174</v>
          </cell>
          <cell r="C2232" t="str">
            <v xml:space="preserve">Bela Vista </v>
          </cell>
          <cell r="H2232">
            <v>32.28</v>
          </cell>
        </row>
        <row r="2233">
          <cell r="A2233">
            <v>46170</v>
          </cell>
          <cell r="C2233" t="str">
            <v xml:space="preserve">Itapaci </v>
          </cell>
          <cell r="H2233">
            <v>72.760000000000005</v>
          </cell>
        </row>
        <row r="2234">
          <cell r="A2234">
            <v>46170</v>
          </cell>
          <cell r="C2234" t="str">
            <v xml:space="preserve">Itapaci </v>
          </cell>
          <cell r="H2234">
            <v>72.239999999999995</v>
          </cell>
        </row>
        <row r="2235">
          <cell r="A2235">
            <v>46172</v>
          </cell>
          <cell r="C2235" t="str">
            <v xml:space="preserve">Bela Vista </v>
          </cell>
          <cell r="H2235">
            <v>48.72</v>
          </cell>
        </row>
        <row r="2236">
          <cell r="A2236">
            <v>46172</v>
          </cell>
          <cell r="C2236" t="str">
            <v xml:space="preserve">Bela Vista </v>
          </cell>
          <cell r="H2236">
            <v>38.68</v>
          </cell>
        </row>
        <row r="2237">
          <cell r="A2237">
            <v>46172</v>
          </cell>
          <cell r="C2237" t="str">
            <v xml:space="preserve">Bela Vista </v>
          </cell>
          <cell r="H2237">
            <v>39.840000000000003</v>
          </cell>
        </row>
        <row r="2238">
          <cell r="A2238">
            <v>46172</v>
          </cell>
          <cell r="C2238" t="str">
            <v xml:space="preserve">Bela Vista </v>
          </cell>
          <cell r="H2238">
            <v>37.5</v>
          </cell>
        </row>
        <row r="2239">
          <cell r="A2239">
            <v>46172</v>
          </cell>
          <cell r="C2239" t="str">
            <v xml:space="preserve">Bela Vista </v>
          </cell>
          <cell r="H2239">
            <v>37.92</v>
          </cell>
        </row>
        <row r="2240">
          <cell r="A2240">
            <v>46172</v>
          </cell>
          <cell r="C2240" t="str">
            <v xml:space="preserve">Bela Vista </v>
          </cell>
          <cell r="H2240">
            <v>38.76</v>
          </cell>
        </row>
        <row r="2241">
          <cell r="A2241">
            <v>46172</v>
          </cell>
          <cell r="C2241" t="str">
            <v xml:space="preserve">Bela Vista </v>
          </cell>
          <cell r="H2241">
            <v>38.299999999999997</v>
          </cell>
        </row>
        <row r="2242">
          <cell r="A2242">
            <v>46174</v>
          </cell>
          <cell r="C2242" t="str">
            <v xml:space="preserve">Bela Vista </v>
          </cell>
          <cell r="H2242">
            <v>40.36</v>
          </cell>
        </row>
        <row r="2243">
          <cell r="A2243">
            <v>46172</v>
          </cell>
          <cell r="C2243" t="str">
            <v xml:space="preserve">Itapaci </v>
          </cell>
          <cell r="H2243">
            <v>72.2</v>
          </cell>
        </row>
        <row r="2244">
          <cell r="A2244">
            <v>46172</v>
          </cell>
          <cell r="C2244" t="str">
            <v xml:space="preserve">Itapaci </v>
          </cell>
          <cell r="H2244">
            <v>71.56</v>
          </cell>
        </row>
        <row r="2245">
          <cell r="A2245">
            <v>46172</v>
          </cell>
          <cell r="C2245" t="str">
            <v xml:space="preserve">Itapaci </v>
          </cell>
          <cell r="H2245">
            <v>72.34</v>
          </cell>
        </row>
        <row r="2246">
          <cell r="A2246">
            <v>46172</v>
          </cell>
          <cell r="C2246" t="str">
            <v xml:space="preserve">Itapaci </v>
          </cell>
          <cell r="H2246">
            <v>73.94</v>
          </cell>
        </row>
        <row r="2247">
          <cell r="A2247">
            <v>46172</v>
          </cell>
          <cell r="C2247" t="str">
            <v xml:space="preserve">Bela Vista </v>
          </cell>
          <cell r="H2247">
            <v>34.96</v>
          </cell>
        </row>
        <row r="2248">
          <cell r="A2248">
            <v>46172</v>
          </cell>
          <cell r="C2248" t="str">
            <v xml:space="preserve">Bela Vista </v>
          </cell>
          <cell r="H2248">
            <v>34.86</v>
          </cell>
        </row>
        <row r="2249">
          <cell r="A2249">
            <v>46172</v>
          </cell>
          <cell r="C2249" t="str">
            <v xml:space="preserve">Bela Vista </v>
          </cell>
          <cell r="H2249">
            <v>35.22</v>
          </cell>
        </row>
        <row r="2250">
          <cell r="A2250">
            <v>46172</v>
          </cell>
          <cell r="C2250" t="str">
            <v xml:space="preserve">Bela Vista </v>
          </cell>
          <cell r="H2250">
            <v>36.56</v>
          </cell>
        </row>
        <row r="2251">
          <cell r="A2251">
            <v>46172</v>
          </cell>
          <cell r="C2251" t="str">
            <v xml:space="preserve">Bela Vista </v>
          </cell>
          <cell r="H2251">
            <v>36.020000000000003</v>
          </cell>
        </row>
        <row r="2252">
          <cell r="A2252">
            <v>46172</v>
          </cell>
          <cell r="C2252" t="str">
            <v xml:space="preserve">Bela Vista </v>
          </cell>
          <cell r="H2252">
            <v>36.4</v>
          </cell>
        </row>
        <row r="2253">
          <cell r="A2253">
            <v>46172</v>
          </cell>
          <cell r="C2253" t="str">
            <v xml:space="preserve">Bela Vista </v>
          </cell>
          <cell r="H2253">
            <v>50.58</v>
          </cell>
        </row>
        <row r="2254">
          <cell r="A2254">
            <v>46172</v>
          </cell>
          <cell r="C2254" t="str">
            <v xml:space="preserve">Bela Vista </v>
          </cell>
          <cell r="H2254">
            <v>38</v>
          </cell>
        </row>
        <row r="2255">
          <cell r="A2255">
            <v>46172</v>
          </cell>
          <cell r="C2255" t="str">
            <v xml:space="preserve">Bela Vista </v>
          </cell>
          <cell r="H2255">
            <v>37.799999999999997</v>
          </cell>
        </row>
        <row r="2256">
          <cell r="A2256">
            <v>46172</v>
          </cell>
          <cell r="C2256" t="str">
            <v xml:space="preserve">Bela Vista </v>
          </cell>
          <cell r="H2256">
            <v>35.46</v>
          </cell>
        </row>
        <row r="2257">
          <cell r="A2257">
            <v>46172</v>
          </cell>
          <cell r="C2257" t="str">
            <v xml:space="preserve">Bela Vista </v>
          </cell>
          <cell r="H2257">
            <v>35.28</v>
          </cell>
        </row>
        <row r="2258">
          <cell r="A2258">
            <v>46172</v>
          </cell>
          <cell r="C2258" t="str">
            <v xml:space="preserve">Bela Vista </v>
          </cell>
          <cell r="H2258">
            <v>36.24</v>
          </cell>
        </row>
        <row r="2259">
          <cell r="A2259">
            <v>46174</v>
          </cell>
          <cell r="C2259" t="str">
            <v xml:space="preserve">Itapaci </v>
          </cell>
          <cell r="H2259">
            <v>43.56</v>
          </cell>
        </row>
        <row r="2260">
          <cell r="A2260">
            <v>46174</v>
          </cell>
          <cell r="C2260" t="str">
            <v xml:space="preserve">Itapaci </v>
          </cell>
          <cell r="H2260">
            <v>74.739999999999995</v>
          </cell>
        </row>
        <row r="2261">
          <cell r="A2261">
            <v>46174</v>
          </cell>
          <cell r="C2261" t="str">
            <v xml:space="preserve">Bela Vista </v>
          </cell>
          <cell r="H2261">
            <v>46.4</v>
          </cell>
        </row>
        <row r="2262">
          <cell r="A2262">
            <v>46174</v>
          </cell>
          <cell r="C2262" t="str">
            <v xml:space="preserve">Bela Vista </v>
          </cell>
          <cell r="H2262">
            <v>35.1</v>
          </cell>
        </row>
        <row r="2263">
          <cell r="A2263">
            <v>46174</v>
          </cell>
          <cell r="C2263" t="str">
            <v xml:space="preserve">Bela Vista </v>
          </cell>
          <cell r="H2263">
            <v>33.979999999999997</v>
          </cell>
        </row>
        <row r="2264">
          <cell r="A2264">
            <v>46174</v>
          </cell>
          <cell r="C2264" t="str">
            <v xml:space="preserve">Bela Vista </v>
          </cell>
          <cell r="H2264">
            <v>49.56</v>
          </cell>
        </row>
        <row r="2265">
          <cell r="A2265">
            <v>46174</v>
          </cell>
          <cell r="C2265" t="str">
            <v xml:space="preserve">Bela Vista </v>
          </cell>
          <cell r="H2265">
            <v>38.159999999999997</v>
          </cell>
        </row>
        <row r="2266">
          <cell r="A2266">
            <v>46174</v>
          </cell>
          <cell r="C2266" t="str">
            <v xml:space="preserve">Bela Vista </v>
          </cell>
          <cell r="H2266">
            <v>37</v>
          </cell>
        </row>
        <row r="2267">
          <cell r="A2267">
            <v>46174</v>
          </cell>
          <cell r="C2267" t="str">
            <v xml:space="preserve">Bela Vista </v>
          </cell>
          <cell r="H2267">
            <v>36.08</v>
          </cell>
        </row>
        <row r="2268">
          <cell r="A2268">
            <v>46174</v>
          </cell>
          <cell r="C2268" t="str">
            <v xml:space="preserve">Bela Vista </v>
          </cell>
          <cell r="H2268">
            <v>35.880000000000003</v>
          </cell>
        </row>
        <row r="2269">
          <cell r="A2269">
            <v>46174</v>
          </cell>
          <cell r="C2269" t="str">
            <v xml:space="preserve">Bela Vista </v>
          </cell>
          <cell r="H2269">
            <v>34.299999999999997</v>
          </cell>
        </row>
        <row r="2270">
          <cell r="A2270">
            <v>46174</v>
          </cell>
          <cell r="C2270" t="str">
            <v xml:space="preserve">Bela Vista </v>
          </cell>
          <cell r="H2270">
            <v>45.08</v>
          </cell>
        </row>
        <row r="2271">
          <cell r="A2271">
            <v>46174</v>
          </cell>
          <cell r="C2271" t="str">
            <v xml:space="preserve">Bela Vista </v>
          </cell>
          <cell r="H2271">
            <v>49.64</v>
          </cell>
        </row>
        <row r="2272">
          <cell r="A2272">
            <v>46174</v>
          </cell>
          <cell r="C2272" t="str">
            <v xml:space="preserve">Bela Vista </v>
          </cell>
          <cell r="H2272">
            <v>44.58</v>
          </cell>
        </row>
        <row r="2273">
          <cell r="A2273">
            <v>46174</v>
          </cell>
          <cell r="C2273" t="str">
            <v xml:space="preserve">Bela Vista </v>
          </cell>
          <cell r="H2273">
            <v>44.42</v>
          </cell>
        </row>
        <row r="2274">
          <cell r="A2274">
            <v>46174</v>
          </cell>
          <cell r="C2274" t="str">
            <v xml:space="preserve">Bela Vista </v>
          </cell>
          <cell r="H2274">
            <v>34.92</v>
          </cell>
        </row>
        <row r="2275">
          <cell r="A2275">
            <v>46174</v>
          </cell>
          <cell r="C2275" t="str">
            <v xml:space="preserve">Bela Vista </v>
          </cell>
          <cell r="H2275">
            <v>35.22</v>
          </cell>
        </row>
        <row r="2276">
          <cell r="A2276">
            <v>46174</v>
          </cell>
          <cell r="C2276" t="str">
            <v xml:space="preserve">Bela Vista </v>
          </cell>
          <cell r="H2276">
            <v>35.92</v>
          </cell>
        </row>
        <row r="2277">
          <cell r="A2277">
            <v>46174</v>
          </cell>
          <cell r="C2277" t="str">
            <v xml:space="preserve">Bela Vista </v>
          </cell>
          <cell r="H2277">
            <v>35.46</v>
          </cell>
        </row>
        <row r="2278">
          <cell r="A2278">
            <v>46174</v>
          </cell>
          <cell r="C2278" t="str">
            <v xml:space="preserve">Bela Vista </v>
          </cell>
          <cell r="H2278">
            <v>36.32</v>
          </cell>
        </row>
        <row r="2279">
          <cell r="A2279">
            <v>46174</v>
          </cell>
          <cell r="C2279" t="str">
            <v xml:space="preserve">Bela Vista </v>
          </cell>
          <cell r="H2279">
            <v>36.22</v>
          </cell>
        </row>
        <row r="2280">
          <cell r="A2280">
            <v>46174</v>
          </cell>
          <cell r="C2280" t="str">
            <v xml:space="preserve">Bela Vista </v>
          </cell>
          <cell r="H2280">
            <v>36.200000000000003</v>
          </cell>
        </row>
        <row r="2281">
          <cell r="A2281">
            <v>46174</v>
          </cell>
          <cell r="C2281" t="str">
            <v xml:space="preserve">Bela Vista </v>
          </cell>
          <cell r="H2281">
            <v>36.56</v>
          </cell>
        </row>
        <row r="2282">
          <cell r="A2282">
            <v>46174</v>
          </cell>
          <cell r="C2282" t="str">
            <v xml:space="preserve">Bela Vista </v>
          </cell>
          <cell r="H2282">
            <v>46.22</v>
          </cell>
        </row>
        <row r="2283">
          <cell r="A2283">
            <v>46174</v>
          </cell>
          <cell r="C2283" t="str">
            <v xml:space="preserve">Bela Vista </v>
          </cell>
          <cell r="H2283">
            <v>35.78</v>
          </cell>
        </row>
        <row r="2284">
          <cell r="A2284">
            <v>46174</v>
          </cell>
          <cell r="C2284" t="str">
            <v xml:space="preserve">Bela Vista </v>
          </cell>
          <cell r="H2284">
            <v>36.28</v>
          </cell>
        </row>
        <row r="2285">
          <cell r="A2285">
            <v>46174</v>
          </cell>
          <cell r="C2285" t="str">
            <v xml:space="preserve">Bela Vista </v>
          </cell>
          <cell r="H2285">
            <v>35.5</v>
          </cell>
        </row>
        <row r="2286">
          <cell r="A2286">
            <v>46174</v>
          </cell>
          <cell r="C2286" t="str">
            <v xml:space="preserve">Bela Vista </v>
          </cell>
          <cell r="H2286">
            <v>46</v>
          </cell>
        </row>
        <row r="2287">
          <cell r="A2287">
            <v>46174</v>
          </cell>
          <cell r="C2287" t="str">
            <v xml:space="preserve">Bela Vista </v>
          </cell>
          <cell r="H2287">
            <v>34.74</v>
          </cell>
        </row>
        <row r="2288">
          <cell r="A2288">
            <v>46174</v>
          </cell>
          <cell r="C2288" t="str">
            <v xml:space="preserve">Bela Vista </v>
          </cell>
          <cell r="H2288">
            <v>49.84</v>
          </cell>
        </row>
        <row r="2289">
          <cell r="A2289">
            <v>46174</v>
          </cell>
          <cell r="C2289" t="str">
            <v xml:space="preserve">Bela Vista </v>
          </cell>
          <cell r="H2289">
            <v>44.08</v>
          </cell>
        </row>
        <row r="2290">
          <cell r="A2290">
            <v>46175</v>
          </cell>
          <cell r="C2290" t="str">
            <v xml:space="preserve">Bela Vista </v>
          </cell>
          <cell r="H2290">
            <v>34.36</v>
          </cell>
        </row>
        <row r="2291">
          <cell r="A2291">
            <v>46175</v>
          </cell>
          <cell r="C2291" t="str">
            <v xml:space="preserve">Bela Vista </v>
          </cell>
          <cell r="H2291">
            <v>34.94</v>
          </cell>
        </row>
        <row r="2292">
          <cell r="A2292">
            <v>46175</v>
          </cell>
          <cell r="C2292" t="str">
            <v xml:space="preserve">Bela Vista </v>
          </cell>
          <cell r="H2292">
            <v>43.48</v>
          </cell>
        </row>
        <row r="2293">
          <cell r="A2293">
            <v>46175</v>
          </cell>
          <cell r="C2293" t="str">
            <v xml:space="preserve">Bela Vista </v>
          </cell>
          <cell r="H2293">
            <v>43.84</v>
          </cell>
        </row>
        <row r="2294">
          <cell r="A2294">
            <v>46175</v>
          </cell>
          <cell r="C2294" t="str">
            <v xml:space="preserve">Bela Vista </v>
          </cell>
          <cell r="H2294">
            <v>34.82</v>
          </cell>
        </row>
        <row r="2295">
          <cell r="A2295">
            <v>46175</v>
          </cell>
          <cell r="C2295" t="str">
            <v xml:space="preserve">Bela Vista </v>
          </cell>
          <cell r="H2295">
            <v>38.24</v>
          </cell>
        </row>
        <row r="2296">
          <cell r="A2296">
            <v>46175</v>
          </cell>
          <cell r="C2296" t="str">
            <v xml:space="preserve">Bela Vista </v>
          </cell>
          <cell r="H2296">
            <v>38.04</v>
          </cell>
        </row>
        <row r="2297">
          <cell r="A2297">
            <v>46175</v>
          </cell>
          <cell r="C2297" t="str">
            <v xml:space="preserve">Bela Vista </v>
          </cell>
          <cell r="H2297">
            <v>36.880000000000003</v>
          </cell>
        </row>
        <row r="2298">
          <cell r="A2298">
            <v>46175</v>
          </cell>
          <cell r="C2298" t="str">
            <v xml:space="preserve">Bela Vista </v>
          </cell>
          <cell r="H2298">
            <v>38.119999999999997</v>
          </cell>
        </row>
        <row r="2299">
          <cell r="A2299">
            <v>46175</v>
          </cell>
          <cell r="C2299" t="str">
            <v xml:space="preserve">Bela Vista </v>
          </cell>
          <cell r="H2299">
            <v>34.72</v>
          </cell>
        </row>
        <row r="2300">
          <cell r="A2300">
            <v>46175</v>
          </cell>
          <cell r="C2300" t="str">
            <v xml:space="preserve">Bela Vista </v>
          </cell>
          <cell r="H2300">
            <v>35.18</v>
          </cell>
        </row>
        <row r="2301">
          <cell r="A2301">
            <v>46175</v>
          </cell>
          <cell r="C2301" t="str">
            <v xml:space="preserve">Bela Vista </v>
          </cell>
          <cell r="H2301">
            <v>36.08</v>
          </cell>
        </row>
        <row r="2302">
          <cell r="A2302">
            <v>46175</v>
          </cell>
          <cell r="C2302" t="str">
            <v xml:space="preserve">Bela Vista </v>
          </cell>
          <cell r="H2302">
            <v>35.08</v>
          </cell>
        </row>
        <row r="2303">
          <cell r="A2303">
            <v>46175</v>
          </cell>
          <cell r="C2303" t="str">
            <v xml:space="preserve">Bela Vista </v>
          </cell>
          <cell r="H2303">
            <v>33.520000000000003</v>
          </cell>
        </row>
        <row r="2304">
          <cell r="A2304">
            <v>46174</v>
          </cell>
          <cell r="C2304" t="str">
            <v xml:space="preserve">Itapaci </v>
          </cell>
          <cell r="H2304">
            <v>71.84</v>
          </cell>
        </row>
        <row r="2305">
          <cell r="A2305">
            <v>46174</v>
          </cell>
          <cell r="C2305" t="str">
            <v xml:space="preserve">Itapaci </v>
          </cell>
          <cell r="H2305">
            <v>71.819999999999993</v>
          </cell>
        </row>
        <row r="2306">
          <cell r="A2306">
            <v>46174</v>
          </cell>
          <cell r="C2306" t="str">
            <v xml:space="preserve">Itapaci </v>
          </cell>
          <cell r="H2306">
            <v>75.52</v>
          </cell>
        </row>
        <row r="2307">
          <cell r="A2307">
            <v>46174</v>
          </cell>
          <cell r="C2307" t="str">
            <v xml:space="preserve">Itapaci </v>
          </cell>
          <cell r="H2307">
            <v>76.44</v>
          </cell>
        </row>
        <row r="2308">
          <cell r="A2308">
            <v>46175</v>
          </cell>
          <cell r="C2308" t="str">
            <v xml:space="preserve">Itapaci </v>
          </cell>
          <cell r="H2308">
            <v>75.040000000000006</v>
          </cell>
        </row>
        <row r="2309">
          <cell r="A2309">
            <v>46175</v>
          </cell>
          <cell r="C2309" t="str">
            <v xml:space="preserve">Itapaci </v>
          </cell>
          <cell r="H2309">
            <v>42.6</v>
          </cell>
        </row>
        <row r="2310">
          <cell r="A2310">
            <v>46175</v>
          </cell>
          <cell r="C2310" t="str">
            <v xml:space="preserve">Itapaci </v>
          </cell>
          <cell r="H2310">
            <v>79.12</v>
          </cell>
        </row>
        <row r="2311">
          <cell r="A2311">
            <v>46175</v>
          </cell>
          <cell r="C2311" t="str">
            <v xml:space="preserve">Itapaci </v>
          </cell>
          <cell r="H2311">
            <v>73.739999999999995</v>
          </cell>
        </row>
        <row r="2312">
          <cell r="A2312">
            <v>46175</v>
          </cell>
          <cell r="C2312" t="str">
            <v xml:space="preserve">Itapaci </v>
          </cell>
          <cell r="H2312">
            <v>72.819999999999993</v>
          </cell>
        </row>
        <row r="2313">
          <cell r="A2313">
            <v>46176</v>
          </cell>
          <cell r="C2313" t="str">
            <v xml:space="preserve">Itapaci </v>
          </cell>
          <cell r="H2313">
            <v>73.72</v>
          </cell>
        </row>
        <row r="2314">
          <cell r="A2314">
            <v>46175</v>
          </cell>
          <cell r="C2314" t="str">
            <v xml:space="preserve">Itapaci </v>
          </cell>
          <cell r="H2314">
            <v>73.36</v>
          </cell>
        </row>
        <row r="2315">
          <cell r="A2315">
            <v>46175</v>
          </cell>
          <cell r="C2315" t="str">
            <v xml:space="preserve">Itapaci </v>
          </cell>
          <cell r="H2315">
            <v>75.98</v>
          </cell>
        </row>
        <row r="2316">
          <cell r="A2316">
            <v>46175</v>
          </cell>
          <cell r="C2316" t="str">
            <v xml:space="preserve">Itapaci </v>
          </cell>
          <cell r="H2316">
            <v>43.56</v>
          </cell>
        </row>
        <row r="2317">
          <cell r="A2317">
            <v>46176</v>
          </cell>
          <cell r="C2317" t="str">
            <v xml:space="preserve">Itapaci </v>
          </cell>
          <cell r="H2317">
            <v>70.22</v>
          </cell>
        </row>
        <row r="2318">
          <cell r="A2318">
            <v>46175</v>
          </cell>
          <cell r="C2318" t="str">
            <v xml:space="preserve">Bela Vista </v>
          </cell>
          <cell r="H2318">
            <v>36.18</v>
          </cell>
        </row>
        <row r="2319">
          <cell r="A2319">
            <v>46175</v>
          </cell>
          <cell r="C2319" t="str">
            <v xml:space="preserve">Bela Vista </v>
          </cell>
          <cell r="H2319">
            <v>47.34</v>
          </cell>
        </row>
        <row r="2320">
          <cell r="A2320">
            <v>46175</v>
          </cell>
          <cell r="C2320" t="str">
            <v xml:space="preserve">Bela Vista </v>
          </cell>
          <cell r="H2320">
            <v>37.299999999999997</v>
          </cell>
        </row>
        <row r="2321">
          <cell r="A2321">
            <v>46175</v>
          </cell>
          <cell r="C2321" t="str">
            <v xml:space="preserve">Bela Vista </v>
          </cell>
          <cell r="H2321">
            <v>36.619999999999997</v>
          </cell>
        </row>
        <row r="2322">
          <cell r="A2322">
            <v>46175</v>
          </cell>
          <cell r="C2322" t="str">
            <v xml:space="preserve">Bela Vista </v>
          </cell>
          <cell r="H2322">
            <v>50.22</v>
          </cell>
        </row>
        <row r="2323">
          <cell r="A2323">
            <v>46175</v>
          </cell>
          <cell r="C2323" t="str">
            <v xml:space="preserve">Bela Vista </v>
          </cell>
          <cell r="H2323">
            <v>49.12</v>
          </cell>
        </row>
        <row r="2324">
          <cell r="A2324">
            <v>46175</v>
          </cell>
          <cell r="C2324" t="str">
            <v xml:space="preserve">Bela Vista </v>
          </cell>
          <cell r="H2324">
            <v>45.14</v>
          </cell>
        </row>
        <row r="2325">
          <cell r="A2325">
            <v>46175</v>
          </cell>
          <cell r="C2325" t="str">
            <v xml:space="preserve">Bela Vista </v>
          </cell>
          <cell r="H2325">
            <v>36.1</v>
          </cell>
        </row>
        <row r="2326">
          <cell r="A2326">
            <v>46175</v>
          </cell>
          <cell r="C2326" t="str">
            <v xml:space="preserve">Bela Vista </v>
          </cell>
          <cell r="H2326">
            <v>49.68</v>
          </cell>
        </row>
        <row r="2327">
          <cell r="A2327">
            <v>46175</v>
          </cell>
          <cell r="C2327" t="str">
            <v xml:space="preserve">Bela Vista </v>
          </cell>
          <cell r="H2327">
            <v>38.159999999999997</v>
          </cell>
        </row>
        <row r="2328">
          <cell r="A2328">
            <v>46175</v>
          </cell>
          <cell r="C2328" t="str">
            <v xml:space="preserve">Bela Vista </v>
          </cell>
          <cell r="H2328">
            <v>36.340000000000003</v>
          </cell>
        </row>
        <row r="2329">
          <cell r="A2329">
            <v>46175</v>
          </cell>
          <cell r="C2329" t="str">
            <v xml:space="preserve">Bela Vista </v>
          </cell>
          <cell r="H2329">
            <v>45.78</v>
          </cell>
        </row>
        <row r="2330">
          <cell r="A2330">
            <v>46175</v>
          </cell>
          <cell r="C2330" t="str">
            <v xml:space="preserve">Bela Vista </v>
          </cell>
          <cell r="H2330">
            <v>44.94</v>
          </cell>
        </row>
        <row r="2331">
          <cell r="A2331">
            <v>46175</v>
          </cell>
          <cell r="C2331" t="str">
            <v xml:space="preserve">Bela Vista </v>
          </cell>
          <cell r="H2331">
            <v>36.299999999999997</v>
          </cell>
        </row>
        <row r="2332">
          <cell r="A2332">
            <v>46175</v>
          </cell>
          <cell r="C2332" t="str">
            <v xml:space="preserve">Bela Vista </v>
          </cell>
          <cell r="H2332">
            <v>35.18</v>
          </cell>
        </row>
        <row r="2333">
          <cell r="A2333">
            <v>46175</v>
          </cell>
          <cell r="C2333" t="str">
            <v xml:space="preserve">Bela Vista </v>
          </cell>
          <cell r="H2333">
            <v>34.880000000000003</v>
          </cell>
        </row>
        <row r="2334">
          <cell r="A2334">
            <v>46175</v>
          </cell>
          <cell r="C2334" t="str">
            <v xml:space="preserve">Bela Vista </v>
          </cell>
          <cell r="H2334">
            <v>35.04</v>
          </cell>
        </row>
        <row r="2335">
          <cell r="A2335">
            <v>46175</v>
          </cell>
          <cell r="C2335" t="str">
            <v xml:space="preserve">Bela Vista </v>
          </cell>
          <cell r="H2335">
            <v>35.08</v>
          </cell>
        </row>
        <row r="2336">
          <cell r="A2336">
            <v>46175</v>
          </cell>
          <cell r="C2336" t="str">
            <v xml:space="preserve">Bela Vista </v>
          </cell>
          <cell r="H2336">
            <v>37.9</v>
          </cell>
        </row>
        <row r="2337">
          <cell r="A2337">
            <v>46175</v>
          </cell>
          <cell r="C2337" t="str">
            <v xml:space="preserve">Bela Vista </v>
          </cell>
          <cell r="H2337">
            <v>36.6</v>
          </cell>
        </row>
        <row r="2338">
          <cell r="A2338">
            <v>46175</v>
          </cell>
          <cell r="C2338" t="str">
            <v xml:space="preserve">Bela Vista </v>
          </cell>
          <cell r="H2338">
            <v>35.78</v>
          </cell>
        </row>
        <row r="2339">
          <cell r="A2339">
            <v>46175</v>
          </cell>
          <cell r="C2339" t="str">
            <v xml:space="preserve">Bela Vista </v>
          </cell>
          <cell r="H2339">
            <v>36.94</v>
          </cell>
        </row>
        <row r="2340">
          <cell r="A2340">
            <v>46175</v>
          </cell>
          <cell r="C2340" t="str">
            <v xml:space="preserve">Bela Vista </v>
          </cell>
          <cell r="H2340">
            <v>36.64</v>
          </cell>
        </row>
        <row r="2341">
          <cell r="A2341">
            <v>46175</v>
          </cell>
          <cell r="C2341" t="str">
            <v xml:space="preserve">Bela Vista </v>
          </cell>
          <cell r="H2341">
            <v>42.8</v>
          </cell>
        </row>
        <row r="2342">
          <cell r="A2342">
            <v>46175</v>
          </cell>
          <cell r="C2342" t="str">
            <v xml:space="preserve">Bela Vista </v>
          </cell>
          <cell r="H2342">
            <v>38.24</v>
          </cell>
        </row>
        <row r="2343">
          <cell r="A2343">
            <v>46175</v>
          </cell>
          <cell r="C2343" t="str">
            <v xml:space="preserve">Bela Vista </v>
          </cell>
          <cell r="H2343">
            <v>51.42</v>
          </cell>
        </row>
        <row r="2344">
          <cell r="A2344">
            <v>46176</v>
          </cell>
          <cell r="C2344" t="str">
            <v xml:space="preserve">Bela Vista </v>
          </cell>
          <cell r="H2344">
            <v>38.04</v>
          </cell>
        </row>
        <row r="2345">
          <cell r="A2345">
            <v>46176</v>
          </cell>
          <cell r="C2345" t="str">
            <v xml:space="preserve">Bela Vista </v>
          </cell>
          <cell r="H2345">
            <v>36.200000000000003</v>
          </cell>
        </row>
        <row r="2346">
          <cell r="A2346">
            <v>46176</v>
          </cell>
          <cell r="C2346" t="str">
            <v xml:space="preserve">Bela Vista </v>
          </cell>
          <cell r="H2346">
            <v>49.98</v>
          </cell>
        </row>
        <row r="2347">
          <cell r="A2347">
            <v>46176</v>
          </cell>
          <cell r="C2347" t="str">
            <v xml:space="preserve">Bela Vista </v>
          </cell>
          <cell r="H2347">
            <v>51.66</v>
          </cell>
        </row>
        <row r="2348">
          <cell r="A2348">
            <v>46176</v>
          </cell>
          <cell r="C2348" t="str">
            <v xml:space="preserve">Bela Vista </v>
          </cell>
          <cell r="H2348">
            <v>37.74</v>
          </cell>
        </row>
        <row r="2349">
          <cell r="A2349">
            <v>46176</v>
          </cell>
          <cell r="C2349" t="str">
            <v xml:space="preserve">Bela Vista </v>
          </cell>
          <cell r="H2349">
            <v>47.18</v>
          </cell>
        </row>
        <row r="2350">
          <cell r="A2350">
            <v>46176</v>
          </cell>
          <cell r="C2350" t="str">
            <v xml:space="preserve">Bela Vista </v>
          </cell>
          <cell r="H2350">
            <v>47.28</v>
          </cell>
        </row>
        <row r="2351">
          <cell r="A2351">
            <v>46176</v>
          </cell>
          <cell r="C2351" t="str">
            <v xml:space="preserve">Bela Vista </v>
          </cell>
          <cell r="H2351">
            <v>35.86</v>
          </cell>
        </row>
        <row r="2352">
          <cell r="A2352">
            <v>46176</v>
          </cell>
          <cell r="C2352" t="str">
            <v xml:space="preserve">Bela Vista </v>
          </cell>
          <cell r="H2352">
            <v>37.68</v>
          </cell>
        </row>
        <row r="2353">
          <cell r="A2353">
            <v>46176</v>
          </cell>
          <cell r="C2353" t="str">
            <v xml:space="preserve">Bela Vista </v>
          </cell>
          <cell r="H2353">
            <v>38.700000000000003</v>
          </cell>
        </row>
        <row r="2354">
          <cell r="A2354">
            <v>46176</v>
          </cell>
          <cell r="C2354" t="str">
            <v xml:space="preserve">Bela Vista </v>
          </cell>
          <cell r="H2354">
            <v>39.880000000000003</v>
          </cell>
        </row>
        <row r="2355">
          <cell r="A2355">
            <v>46176</v>
          </cell>
          <cell r="C2355" t="str">
            <v xml:space="preserve">Bela Vista </v>
          </cell>
          <cell r="H2355">
            <v>44.82</v>
          </cell>
        </row>
        <row r="2356">
          <cell r="A2356">
            <v>46176</v>
          </cell>
          <cell r="C2356" t="str">
            <v xml:space="preserve">Bela Vista </v>
          </cell>
          <cell r="H2356">
            <v>37.92</v>
          </cell>
        </row>
        <row r="2357">
          <cell r="A2357">
            <v>46176</v>
          </cell>
          <cell r="C2357" t="str">
            <v xml:space="preserve">Bela Vista </v>
          </cell>
          <cell r="H2357">
            <v>35.06</v>
          </cell>
        </row>
        <row r="2358">
          <cell r="A2358">
            <v>46176</v>
          </cell>
          <cell r="C2358" t="str">
            <v xml:space="preserve">Bela Vista </v>
          </cell>
          <cell r="H2358">
            <v>34.979999999999997</v>
          </cell>
        </row>
        <row r="2359">
          <cell r="A2359">
            <v>46176</v>
          </cell>
          <cell r="C2359" t="str">
            <v xml:space="preserve">Bela Vista </v>
          </cell>
          <cell r="H2359">
            <v>44.96</v>
          </cell>
        </row>
        <row r="2360">
          <cell r="A2360">
            <v>46176</v>
          </cell>
          <cell r="C2360" t="str">
            <v xml:space="preserve">Bela Vista </v>
          </cell>
          <cell r="H2360">
            <v>51</v>
          </cell>
        </row>
        <row r="2361">
          <cell r="A2361">
            <v>46176</v>
          </cell>
          <cell r="C2361" t="str">
            <v xml:space="preserve">Bela Vista </v>
          </cell>
          <cell r="H2361">
            <v>38.020000000000003</v>
          </cell>
        </row>
        <row r="2362">
          <cell r="A2362">
            <v>46177</v>
          </cell>
          <cell r="C2362" t="str">
            <v xml:space="preserve">Bela Vista </v>
          </cell>
          <cell r="H2362">
            <v>49.52</v>
          </cell>
        </row>
        <row r="2363">
          <cell r="A2363">
            <v>46177</v>
          </cell>
          <cell r="C2363" t="str">
            <v xml:space="preserve">Bela Vista </v>
          </cell>
          <cell r="H2363">
            <v>38.479999999999997</v>
          </cell>
        </row>
        <row r="2364">
          <cell r="A2364">
            <v>46177</v>
          </cell>
          <cell r="C2364" t="str">
            <v xml:space="preserve">Bela Vista </v>
          </cell>
          <cell r="H2364">
            <v>39.24</v>
          </cell>
        </row>
        <row r="2365">
          <cell r="A2365">
            <v>46177</v>
          </cell>
          <cell r="C2365" t="str">
            <v xml:space="preserve">Bela Vista </v>
          </cell>
          <cell r="H2365">
            <v>49.66</v>
          </cell>
        </row>
        <row r="2366">
          <cell r="A2366">
            <v>46177</v>
          </cell>
          <cell r="C2366" t="str">
            <v xml:space="preserve">Bela Vista </v>
          </cell>
          <cell r="H2366">
            <v>38.520000000000003</v>
          </cell>
        </row>
        <row r="2367">
          <cell r="A2367">
            <v>46177</v>
          </cell>
          <cell r="C2367" t="str">
            <v xml:space="preserve">Bela Vista </v>
          </cell>
          <cell r="H2367">
            <v>43.84</v>
          </cell>
        </row>
        <row r="2368">
          <cell r="A2368">
            <v>46177</v>
          </cell>
          <cell r="C2368" t="str">
            <v xml:space="preserve">Bela Vista </v>
          </cell>
          <cell r="H2368">
            <v>42.64</v>
          </cell>
        </row>
        <row r="2369">
          <cell r="A2369">
            <v>46176</v>
          </cell>
          <cell r="C2369" t="str">
            <v xml:space="preserve">Itapaci </v>
          </cell>
          <cell r="H2369">
            <v>74.28</v>
          </cell>
        </row>
        <row r="2370">
          <cell r="A2370">
            <v>46176</v>
          </cell>
          <cell r="C2370" t="str">
            <v xml:space="preserve">Itapaci </v>
          </cell>
          <cell r="H2370">
            <v>76.14</v>
          </cell>
        </row>
        <row r="2371">
          <cell r="A2371">
            <v>46176</v>
          </cell>
          <cell r="C2371" t="str">
            <v xml:space="preserve">Itapaci </v>
          </cell>
          <cell r="H2371">
            <v>73.12</v>
          </cell>
        </row>
        <row r="2372">
          <cell r="A2372">
            <v>46176</v>
          </cell>
          <cell r="C2372" t="str">
            <v xml:space="preserve">Itapaci </v>
          </cell>
          <cell r="H2372">
            <v>74</v>
          </cell>
        </row>
        <row r="2373">
          <cell r="A2373">
            <v>46177</v>
          </cell>
          <cell r="C2373" t="str">
            <v xml:space="preserve">Itapaci </v>
          </cell>
          <cell r="H2373">
            <v>75.099999999999994</v>
          </cell>
        </row>
        <row r="2374">
          <cell r="A2374">
            <v>46177</v>
          </cell>
          <cell r="C2374" t="str">
            <v xml:space="preserve">Itapaci </v>
          </cell>
          <cell r="H2374">
            <v>74.8</v>
          </cell>
        </row>
        <row r="2375">
          <cell r="A2375">
            <v>46177</v>
          </cell>
          <cell r="C2375" t="str">
            <v xml:space="preserve">Bela Vista </v>
          </cell>
          <cell r="H2375">
            <v>36.78</v>
          </cell>
        </row>
        <row r="2376">
          <cell r="A2376">
            <v>46177</v>
          </cell>
          <cell r="C2376" t="str">
            <v xml:space="preserve">Bela Vista </v>
          </cell>
          <cell r="H2376">
            <v>37.619999999999997</v>
          </cell>
        </row>
        <row r="2377">
          <cell r="A2377">
            <v>46177</v>
          </cell>
          <cell r="C2377" t="str">
            <v xml:space="preserve">Bela Vista </v>
          </cell>
          <cell r="H2377">
            <v>37.880000000000003</v>
          </cell>
        </row>
        <row r="2378">
          <cell r="A2378">
            <v>46177</v>
          </cell>
          <cell r="C2378" t="str">
            <v xml:space="preserve">Bela Vista </v>
          </cell>
          <cell r="H2378">
            <v>39.380000000000003</v>
          </cell>
        </row>
        <row r="2379">
          <cell r="A2379">
            <v>46177</v>
          </cell>
          <cell r="C2379" t="str">
            <v xml:space="preserve">Bela Vista </v>
          </cell>
          <cell r="H2379">
            <v>49.18</v>
          </cell>
        </row>
        <row r="2380">
          <cell r="A2380">
            <v>46177</v>
          </cell>
          <cell r="C2380" t="str">
            <v xml:space="preserve">Bela Vista </v>
          </cell>
          <cell r="H2380">
            <v>38.26</v>
          </cell>
        </row>
        <row r="2381">
          <cell r="A2381">
            <v>46178</v>
          </cell>
          <cell r="C2381" t="str">
            <v xml:space="preserve">Bela Vista </v>
          </cell>
          <cell r="H2381">
            <v>46.28</v>
          </cell>
        </row>
        <row r="2382">
          <cell r="A2382">
            <v>46177</v>
          </cell>
          <cell r="C2382" t="str">
            <v xml:space="preserve">Bela Vista </v>
          </cell>
          <cell r="H2382">
            <v>37.5</v>
          </cell>
        </row>
        <row r="2383">
          <cell r="A2383">
            <v>46177</v>
          </cell>
          <cell r="C2383" t="str">
            <v xml:space="preserve">Bela Vista </v>
          </cell>
          <cell r="H2383">
            <v>39.04</v>
          </cell>
        </row>
        <row r="2384">
          <cell r="A2384">
            <v>46177</v>
          </cell>
          <cell r="C2384" t="str">
            <v xml:space="preserve">Bela Vista </v>
          </cell>
          <cell r="H2384">
            <v>44.84</v>
          </cell>
        </row>
        <row r="2385">
          <cell r="A2385">
            <v>46177</v>
          </cell>
          <cell r="C2385" t="str">
            <v xml:space="preserve">Bela Vista </v>
          </cell>
          <cell r="H2385">
            <v>51.46</v>
          </cell>
        </row>
        <row r="2386">
          <cell r="A2386">
            <v>46177</v>
          </cell>
          <cell r="C2386" t="str">
            <v xml:space="preserve">Bela Vista </v>
          </cell>
          <cell r="H2386">
            <v>37.58</v>
          </cell>
        </row>
        <row r="2387">
          <cell r="A2387">
            <v>46177</v>
          </cell>
          <cell r="C2387" t="str">
            <v xml:space="preserve">Bela Vista </v>
          </cell>
          <cell r="H2387">
            <v>38.619999999999997</v>
          </cell>
        </row>
        <row r="2388">
          <cell r="A2388">
            <v>46178</v>
          </cell>
          <cell r="C2388" t="str">
            <v xml:space="preserve">Bela Vista </v>
          </cell>
          <cell r="H2388">
            <v>36.36</v>
          </cell>
        </row>
        <row r="2389">
          <cell r="A2389">
            <v>46178</v>
          </cell>
          <cell r="C2389" t="str">
            <v xml:space="preserve">Bela Vista </v>
          </cell>
          <cell r="H2389">
            <v>39.26</v>
          </cell>
        </row>
        <row r="2390">
          <cell r="A2390">
            <v>46177</v>
          </cell>
          <cell r="C2390" t="str">
            <v xml:space="preserve">Itapaci </v>
          </cell>
          <cell r="H2390">
            <v>78.040000000000006</v>
          </cell>
        </row>
        <row r="2391">
          <cell r="A2391">
            <v>46177</v>
          </cell>
          <cell r="C2391" t="str">
            <v xml:space="preserve">Itapaci </v>
          </cell>
          <cell r="H2391">
            <v>73.599999999999994</v>
          </cell>
        </row>
        <row r="2392">
          <cell r="A2392">
            <v>46177</v>
          </cell>
          <cell r="C2392" t="str">
            <v xml:space="preserve">Itapaci </v>
          </cell>
          <cell r="H2392">
            <v>74.02</v>
          </cell>
        </row>
        <row r="2393">
          <cell r="A2393">
            <v>46177</v>
          </cell>
          <cell r="C2393" t="str">
            <v xml:space="preserve">Itapaci </v>
          </cell>
          <cell r="H2393">
            <v>73.88</v>
          </cell>
        </row>
        <row r="2394">
          <cell r="A2394">
            <v>46178</v>
          </cell>
          <cell r="C2394" t="str">
            <v xml:space="preserve">Itapaci </v>
          </cell>
          <cell r="H2394">
            <v>70.540000000000006</v>
          </cell>
        </row>
        <row r="2395">
          <cell r="A2395">
            <v>46178</v>
          </cell>
          <cell r="C2395" t="str">
            <v xml:space="preserve">Itapaci </v>
          </cell>
          <cell r="H2395">
            <v>73.02</v>
          </cell>
        </row>
        <row r="2396">
          <cell r="A2396">
            <v>46178</v>
          </cell>
          <cell r="C2396" t="str">
            <v xml:space="preserve">Itapaci </v>
          </cell>
          <cell r="H2396">
            <v>72.98</v>
          </cell>
        </row>
        <row r="2397">
          <cell r="A2397">
            <v>46178</v>
          </cell>
          <cell r="C2397" t="str">
            <v xml:space="preserve">Itapaci </v>
          </cell>
          <cell r="H2397">
            <v>74.48</v>
          </cell>
        </row>
        <row r="2398">
          <cell r="A2398">
            <v>46178</v>
          </cell>
          <cell r="C2398" t="str">
            <v xml:space="preserve">Itapaci </v>
          </cell>
          <cell r="H2398">
            <v>72.92</v>
          </cell>
        </row>
        <row r="2399">
          <cell r="A2399">
            <v>46178</v>
          </cell>
          <cell r="C2399" t="str">
            <v xml:space="preserve">Itapaci </v>
          </cell>
          <cell r="H2399">
            <v>74.239999999999995</v>
          </cell>
        </row>
        <row r="2400">
          <cell r="A2400">
            <v>46178</v>
          </cell>
          <cell r="C2400" t="str">
            <v xml:space="preserve">Itapaci </v>
          </cell>
          <cell r="H2400">
            <v>74.42</v>
          </cell>
        </row>
        <row r="2401">
          <cell r="A2401">
            <v>46178</v>
          </cell>
          <cell r="C2401" t="str">
            <v xml:space="preserve">Itapaci </v>
          </cell>
          <cell r="H2401">
            <v>75.459999999999994</v>
          </cell>
        </row>
        <row r="2402">
          <cell r="A2402">
            <v>46178</v>
          </cell>
          <cell r="C2402" t="str">
            <v xml:space="preserve">Bela Vista </v>
          </cell>
          <cell r="H2402">
            <v>50.56</v>
          </cell>
        </row>
        <row r="2403">
          <cell r="A2403">
            <v>46178</v>
          </cell>
          <cell r="C2403" t="str">
            <v xml:space="preserve">Bela Vista </v>
          </cell>
          <cell r="H2403">
            <v>50.82</v>
          </cell>
        </row>
        <row r="2404">
          <cell r="A2404">
            <v>46178</v>
          </cell>
          <cell r="C2404" t="str">
            <v xml:space="preserve">Bela Vista </v>
          </cell>
          <cell r="H2404">
            <v>49.3</v>
          </cell>
        </row>
        <row r="2405">
          <cell r="A2405">
            <v>46178</v>
          </cell>
          <cell r="C2405" t="str">
            <v xml:space="preserve">Bela Vista </v>
          </cell>
          <cell r="H2405">
            <v>43.66</v>
          </cell>
        </row>
        <row r="2406">
          <cell r="A2406">
            <v>46178</v>
          </cell>
          <cell r="C2406" t="str">
            <v xml:space="preserve">Bela Vista </v>
          </cell>
          <cell r="H2406">
            <v>36.58</v>
          </cell>
        </row>
        <row r="2407">
          <cell r="A2407">
            <v>46178</v>
          </cell>
          <cell r="C2407" t="str">
            <v xml:space="preserve">Bela Vista </v>
          </cell>
          <cell r="H2407">
            <v>37.14</v>
          </cell>
        </row>
        <row r="2408">
          <cell r="A2408">
            <v>46178</v>
          </cell>
          <cell r="C2408" t="str">
            <v xml:space="preserve">Bela Vista </v>
          </cell>
          <cell r="H2408">
            <v>36.340000000000003</v>
          </cell>
        </row>
        <row r="2409">
          <cell r="A2409">
            <v>46178</v>
          </cell>
          <cell r="C2409" t="str">
            <v xml:space="preserve">Bela Vista </v>
          </cell>
          <cell r="H2409">
            <v>50.12</v>
          </cell>
        </row>
        <row r="2410">
          <cell r="A2410">
            <v>46178</v>
          </cell>
          <cell r="C2410" t="str">
            <v xml:space="preserve">Bela Vista </v>
          </cell>
          <cell r="H2410">
            <v>37.54</v>
          </cell>
        </row>
        <row r="2411">
          <cell r="A2411">
            <v>46178</v>
          </cell>
          <cell r="C2411" t="str">
            <v xml:space="preserve">Bela Vista </v>
          </cell>
          <cell r="H2411">
            <v>44.48</v>
          </cell>
        </row>
        <row r="2412">
          <cell r="A2412">
            <v>46178</v>
          </cell>
          <cell r="C2412" t="str">
            <v xml:space="preserve">Bela Vista </v>
          </cell>
          <cell r="H2412">
            <v>38.28</v>
          </cell>
        </row>
        <row r="2413">
          <cell r="A2413">
            <v>46178</v>
          </cell>
          <cell r="C2413" t="str">
            <v xml:space="preserve">Bela Vista </v>
          </cell>
          <cell r="H2413">
            <v>35.04</v>
          </cell>
        </row>
        <row r="2414">
          <cell r="A2414">
            <v>46178</v>
          </cell>
          <cell r="C2414" t="str">
            <v xml:space="preserve">Bela Vista </v>
          </cell>
          <cell r="H2414">
            <v>46.32</v>
          </cell>
        </row>
        <row r="2415">
          <cell r="A2415">
            <v>46178</v>
          </cell>
          <cell r="C2415" t="str">
            <v xml:space="preserve">Bela Vista </v>
          </cell>
          <cell r="H2415">
            <v>51.02</v>
          </cell>
        </row>
        <row r="2416">
          <cell r="A2416">
            <v>46178</v>
          </cell>
          <cell r="C2416" t="str">
            <v xml:space="preserve">Bela Vista </v>
          </cell>
          <cell r="H2416">
            <v>38</v>
          </cell>
        </row>
        <row r="2417">
          <cell r="A2417">
            <v>46178</v>
          </cell>
          <cell r="C2417" t="str">
            <v xml:space="preserve">Bela Vista </v>
          </cell>
          <cell r="H2417">
            <v>39.9</v>
          </cell>
        </row>
        <row r="2418">
          <cell r="A2418">
            <v>46178</v>
          </cell>
          <cell r="C2418" t="str">
            <v xml:space="preserve">Bela Vista </v>
          </cell>
          <cell r="H2418">
            <v>35.119999999999997</v>
          </cell>
        </row>
        <row r="2419">
          <cell r="A2419">
            <v>46181</v>
          </cell>
          <cell r="C2419" t="str">
            <v xml:space="preserve">Bela Vista </v>
          </cell>
          <cell r="H2419">
            <v>39.119999999999997</v>
          </cell>
        </row>
        <row r="2420">
          <cell r="A2420">
            <v>46181</v>
          </cell>
          <cell r="C2420" t="str">
            <v xml:space="preserve">Bela Vista </v>
          </cell>
          <cell r="H2420">
            <v>38.700000000000003</v>
          </cell>
        </row>
        <row r="2421">
          <cell r="A2421">
            <v>46181</v>
          </cell>
          <cell r="C2421" t="str">
            <v xml:space="preserve">Bela Vista </v>
          </cell>
          <cell r="H2421">
            <v>53</v>
          </cell>
        </row>
        <row r="2422">
          <cell r="A2422">
            <v>46181</v>
          </cell>
          <cell r="C2422" t="str">
            <v xml:space="preserve">Bela Vista </v>
          </cell>
          <cell r="H2422">
            <v>36.659999999999997</v>
          </cell>
        </row>
        <row r="2423">
          <cell r="A2423">
            <v>46181</v>
          </cell>
          <cell r="C2423" t="str">
            <v xml:space="preserve">Bela Vista </v>
          </cell>
          <cell r="H2423">
            <v>38.56</v>
          </cell>
        </row>
        <row r="2424">
          <cell r="A2424">
            <v>46181</v>
          </cell>
          <cell r="C2424" t="str">
            <v xml:space="preserve">Bela Vista </v>
          </cell>
          <cell r="H2424">
            <v>43.02</v>
          </cell>
        </row>
        <row r="2425">
          <cell r="A2425">
            <v>46181</v>
          </cell>
          <cell r="C2425" t="str">
            <v xml:space="preserve">Itapaci </v>
          </cell>
          <cell r="H2425">
            <v>67.819999999999993</v>
          </cell>
        </row>
        <row r="2426">
          <cell r="A2426">
            <v>46181</v>
          </cell>
          <cell r="C2426" t="str">
            <v xml:space="preserve">Itapaci </v>
          </cell>
          <cell r="H2426">
            <v>75.400000000000006</v>
          </cell>
        </row>
        <row r="2427">
          <cell r="A2427">
            <v>46181</v>
          </cell>
          <cell r="C2427" t="str">
            <v xml:space="preserve">Itapaci </v>
          </cell>
          <cell r="H2427">
            <v>76.28</v>
          </cell>
        </row>
        <row r="2428">
          <cell r="A2428">
            <v>46181</v>
          </cell>
          <cell r="C2428" t="str">
            <v xml:space="preserve">Itapaci </v>
          </cell>
          <cell r="H2428">
            <v>78.62</v>
          </cell>
        </row>
        <row r="2429">
          <cell r="A2429">
            <v>46181</v>
          </cell>
          <cell r="C2429" t="str">
            <v xml:space="preserve">Bela Vista </v>
          </cell>
          <cell r="H2429">
            <v>37.44</v>
          </cell>
        </row>
        <row r="2430">
          <cell r="A2430">
            <v>46181</v>
          </cell>
          <cell r="C2430" t="str">
            <v xml:space="preserve">Bela Vista </v>
          </cell>
          <cell r="H2430">
            <v>46.08</v>
          </cell>
        </row>
        <row r="2431">
          <cell r="A2431">
            <v>46181</v>
          </cell>
          <cell r="C2431" t="str">
            <v xml:space="preserve">Bela Vista </v>
          </cell>
          <cell r="H2431">
            <v>38.32</v>
          </cell>
        </row>
        <row r="2432">
          <cell r="A2432">
            <v>46181</v>
          </cell>
          <cell r="C2432" t="str">
            <v xml:space="preserve">Bela Vista </v>
          </cell>
          <cell r="H2432">
            <v>39.26</v>
          </cell>
        </row>
        <row r="2433">
          <cell r="A2433">
            <v>46181</v>
          </cell>
          <cell r="C2433" t="str">
            <v xml:space="preserve">Itapaci </v>
          </cell>
          <cell r="H2433">
            <v>74.06</v>
          </cell>
        </row>
        <row r="2434">
          <cell r="A2434">
            <v>46181</v>
          </cell>
          <cell r="C2434" t="str">
            <v xml:space="preserve">Itapaci </v>
          </cell>
          <cell r="H2434">
            <v>76.28</v>
          </cell>
        </row>
        <row r="2435">
          <cell r="A2435">
            <v>46181</v>
          </cell>
          <cell r="C2435" t="str">
            <v xml:space="preserve">Itapaci </v>
          </cell>
          <cell r="H2435">
            <v>76.86</v>
          </cell>
        </row>
        <row r="2436">
          <cell r="A2436">
            <v>46181</v>
          </cell>
          <cell r="C2436" t="str">
            <v xml:space="preserve">Itapaci </v>
          </cell>
          <cell r="H2436">
            <v>74.56</v>
          </cell>
        </row>
        <row r="2437">
          <cell r="A2437">
            <v>46181</v>
          </cell>
          <cell r="C2437" t="str">
            <v xml:space="preserve">Bela Vista </v>
          </cell>
          <cell r="H2437">
            <v>37.24</v>
          </cell>
        </row>
        <row r="2438">
          <cell r="A2438">
            <v>46181</v>
          </cell>
          <cell r="C2438" t="str">
            <v xml:space="preserve">Bela Vista </v>
          </cell>
          <cell r="H2438">
            <v>49.06</v>
          </cell>
        </row>
        <row r="2439">
          <cell r="A2439">
            <v>46181</v>
          </cell>
          <cell r="C2439" t="str">
            <v xml:space="preserve">Bela Vista </v>
          </cell>
          <cell r="H2439">
            <v>35.619999999999997</v>
          </cell>
        </row>
        <row r="2440">
          <cell r="A2440">
            <v>46181</v>
          </cell>
          <cell r="C2440" t="str">
            <v xml:space="preserve">Bela Vista </v>
          </cell>
          <cell r="H2440">
            <v>39.380000000000003</v>
          </cell>
        </row>
        <row r="2441">
          <cell r="A2441">
            <v>46181</v>
          </cell>
          <cell r="C2441" t="str">
            <v xml:space="preserve">Bela Vista </v>
          </cell>
          <cell r="H2441">
            <v>29.5</v>
          </cell>
        </row>
        <row r="2442">
          <cell r="A2442">
            <v>46181</v>
          </cell>
          <cell r="C2442" t="str">
            <v xml:space="preserve">Bela Vista </v>
          </cell>
          <cell r="H2442">
            <v>38.18</v>
          </cell>
        </row>
        <row r="2443">
          <cell r="A2443">
            <v>46181</v>
          </cell>
          <cell r="C2443" t="str">
            <v xml:space="preserve">Bela Vista </v>
          </cell>
          <cell r="H2443">
            <v>45.4</v>
          </cell>
        </row>
        <row r="2444">
          <cell r="A2444">
            <v>46181</v>
          </cell>
          <cell r="C2444" t="str">
            <v xml:space="preserve">Bela Vista </v>
          </cell>
          <cell r="H2444">
            <v>43.74</v>
          </cell>
        </row>
        <row r="2445">
          <cell r="A2445">
            <v>46181</v>
          </cell>
          <cell r="C2445" t="str">
            <v xml:space="preserve">Bela Vista </v>
          </cell>
          <cell r="H2445">
            <v>39.58</v>
          </cell>
        </row>
        <row r="2446">
          <cell r="A2446">
            <v>46181</v>
          </cell>
          <cell r="C2446" t="str">
            <v xml:space="preserve">Bela Vista </v>
          </cell>
          <cell r="H2446">
            <v>35.700000000000003</v>
          </cell>
        </row>
        <row r="2447">
          <cell r="A2447">
            <v>46181</v>
          </cell>
          <cell r="C2447" t="str">
            <v xml:space="preserve">Bela Vista </v>
          </cell>
          <cell r="H2447">
            <v>39.1</v>
          </cell>
        </row>
        <row r="2448">
          <cell r="A2448">
            <v>46181</v>
          </cell>
          <cell r="C2448" t="str">
            <v xml:space="preserve">Bela Vista </v>
          </cell>
          <cell r="H2448">
            <v>35.520000000000003</v>
          </cell>
        </row>
        <row r="2449">
          <cell r="A2449">
            <v>46181</v>
          </cell>
          <cell r="C2449" t="str">
            <v xml:space="preserve">Bela Vista </v>
          </cell>
          <cell r="H2449">
            <v>53.36</v>
          </cell>
        </row>
        <row r="2450">
          <cell r="A2450">
            <v>46181</v>
          </cell>
          <cell r="C2450" t="str">
            <v xml:space="preserve">Bela Vista </v>
          </cell>
          <cell r="H2450">
            <v>45.2</v>
          </cell>
        </row>
        <row r="2451">
          <cell r="A2451">
            <v>46181</v>
          </cell>
          <cell r="C2451" t="str">
            <v xml:space="preserve">Bela Vista </v>
          </cell>
          <cell r="H2451">
            <v>44.88</v>
          </cell>
        </row>
        <row r="2452">
          <cell r="A2452">
            <v>46181</v>
          </cell>
          <cell r="C2452" t="str">
            <v xml:space="preserve">Bela Vista </v>
          </cell>
          <cell r="H2452">
            <v>37.64</v>
          </cell>
        </row>
        <row r="2453">
          <cell r="A2453">
            <v>46181</v>
          </cell>
          <cell r="C2453" t="str">
            <v xml:space="preserve">Bela Vista </v>
          </cell>
          <cell r="H2453">
            <v>40.46</v>
          </cell>
        </row>
        <row r="2454">
          <cell r="A2454">
            <v>46181</v>
          </cell>
          <cell r="C2454" t="str">
            <v xml:space="preserve">Bela Vista </v>
          </cell>
          <cell r="H2454">
            <v>34.82</v>
          </cell>
        </row>
        <row r="2455">
          <cell r="A2455">
            <v>46181</v>
          </cell>
          <cell r="C2455" t="str">
            <v xml:space="preserve">Bela Vista </v>
          </cell>
          <cell r="H2455">
            <v>37.479999999999997</v>
          </cell>
        </row>
        <row r="2456">
          <cell r="A2456">
            <v>46181</v>
          </cell>
          <cell r="C2456" t="str">
            <v xml:space="preserve">Bela Vista </v>
          </cell>
          <cell r="H2456">
            <v>49.34</v>
          </cell>
        </row>
        <row r="2457">
          <cell r="A2457">
            <v>46181</v>
          </cell>
          <cell r="C2457" t="str">
            <v xml:space="preserve">Bela Vista </v>
          </cell>
          <cell r="H2457">
            <v>37.06</v>
          </cell>
        </row>
        <row r="2458">
          <cell r="A2458">
            <v>46181</v>
          </cell>
          <cell r="C2458" t="str">
            <v xml:space="preserve">Bela Vista </v>
          </cell>
          <cell r="H2458">
            <v>50.12</v>
          </cell>
        </row>
        <row r="2459">
          <cell r="A2459">
            <v>46181</v>
          </cell>
          <cell r="C2459" t="str">
            <v xml:space="preserve">Bela Vista </v>
          </cell>
          <cell r="H2459">
            <v>44.98</v>
          </cell>
        </row>
        <row r="2460">
          <cell r="A2460">
            <v>46181</v>
          </cell>
          <cell r="C2460" t="str">
            <v xml:space="preserve">Bela Vista </v>
          </cell>
          <cell r="H2460">
            <v>39.020000000000003</v>
          </cell>
        </row>
        <row r="2461">
          <cell r="A2461">
            <v>46181</v>
          </cell>
          <cell r="C2461" t="str">
            <v xml:space="preserve">Bela Vista </v>
          </cell>
          <cell r="H2461">
            <v>37.200000000000003</v>
          </cell>
        </row>
        <row r="2462">
          <cell r="A2462">
            <v>46181</v>
          </cell>
          <cell r="C2462" t="str">
            <v xml:space="preserve">Bela Vista </v>
          </cell>
          <cell r="H2462">
            <v>38.78</v>
          </cell>
        </row>
        <row r="2463">
          <cell r="A2463">
            <v>46182</v>
          </cell>
          <cell r="C2463" t="str">
            <v xml:space="preserve">Bela Vista </v>
          </cell>
          <cell r="H2463">
            <v>36.18</v>
          </cell>
        </row>
        <row r="2464">
          <cell r="A2464">
            <v>46182</v>
          </cell>
          <cell r="C2464" t="str">
            <v xml:space="preserve">Bela Vista </v>
          </cell>
          <cell r="H2464">
            <v>38.020000000000003</v>
          </cell>
        </row>
        <row r="2465">
          <cell r="A2465">
            <v>46182</v>
          </cell>
          <cell r="C2465" t="str">
            <v xml:space="preserve">Bela Vista </v>
          </cell>
          <cell r="H2465">
            <v>46.3</v>
          </cell>
        </row>
        <row r="2466">
          <cell r="A2466">
            <v>46182</v>
          </cell>
          <cell r="C2466" t="str">
            <v xml:space="preserve">Bela Vista </v>
          </cell>
          <cell r="H2466">
            <v>54.08</v>
          </cell>
        </row>
        <row r="2467">
          <cell r="A2467">
            <v>46182</v>
          </cell>
          <cell r="C2467" t="str">
            <v xml:space="preserve">Bela Vista </v>
          </cell>
          <cell r="H2467">
            <v>39.32</v>
          </cell>
        </row>
        <row r="2468">
          <cell r="A2468">
            <v>46182</v>
          </cell>
          <cell r="C2468" t="str">
            <v xml:space="preserve">Bela Vista </v>
          </cell>
          <cell r="H2468">
            <v>37.159999999999997</v>
          </cell>
        </row>
        <row r="2469">
          <cell r="A2469">
            <v>46182</v>
          </cell>
          <cell r="C2469" t="str">
            <v xml:space="preserve">Bela Vista </v>
          </cell>
          <cell r="H2469">
            <v>37.979999999999997</v>
          </cell>
        </row>
        <row r="2470">
          <cell r="A2470">
            <v>46182</v>
          </cell>
          <cell r="C2470" t="str">
            <v xml:space="preserve">Bela Vista </v>
          </cell>
          <cell r="H2470">
            <v>44.66</v>
          </cell>
        </row>
        <row r="2471">
          <cell r="A2471">
            <v>46182</v>
          </cell>
          <cell r="C2471" t="str">
            <v xml:space="preserve">Bela Vista </v>
          </cell>
          <cell r="H2471">
            <v>38.26</v>
          </cell>
        </row>
        <row r="2472">
          <cell r="A2472">
            <v>46182</v>
          </cell>
          <cell r="C2472" t="str">
            <v xml:space="preserve">Bela Vista </v>
          </cell>
          <cell r="H2472">
            <v>37.82</v>
          </cell>
        </row>
        <row r="2473">
          <cell r="A2473">
            <v>46182</v>
          </cell>
          <cell r="C2473" t="str">
            <v xml:space="preserve">Bela Vista </v>
          </cell>
          <cell r="H2473">
            <v>48.4</v>
          </cell>
        </row>
        <row r="2474">
          <cell r="A2474">
            <v>46182</v>
          </cell>
          <cell r="C2474" t="str">
            <v xml:space="preserve">Bela Vista </v>
          </cell>
          <cell r="H2474">
            <v>44.22</v>
          </cell>
        </row>
        <row r="2475">
          <cell r="A2475">
            <v>46182</v>
          </cell>
          <cell r="C2475" t="str">
            <v xml:space="preserve">Bela Vista </v>
          </cell>
          <cell r="H2475">
            <v>44.44</v>
          </cell>
        </row>
        <row r="2476">
          <cell r="A2476">
            <v>46182</v>
          </cell>
          <cell r="C2476" t="str">
            <v xml:space="preserve">Bela Vista </v>
          </cell>
          <cell r="H2476">
            <v>38.08</v>
          </cell>
        </row>
        <row r="2477">
          <cell r="A2477">
            <v>46182</v>
          </cell>
          <cell r="C2477" t="str">
            <v xml:space="preserve">Bela Vista </v>
          </cell>
          <cell r="H2477">
            <v>37.700000000000003</v>
          </cell>
        </row>
        <row r="2478">
          <cell r="A2478">
            <v>46182</v>
          </cell>
          <cell r="C2478" t="str">
            <v xml:space="preserve">Bela Vista </v>
          </cell>
          <cell r="H2478">
            <v>38.94</v>
          </cell>
        </row>
        <row r="2479">
          <cell r="A2479">
            <v>46182</v>
          </cell>
          <cell r="C2479" t="str">
            <v xml:space="preserve">Bela Vista </v>
          </cell>
          <cell r="H2479">
            <v>49.64</v>
          </cell>
        </row>
        <row r="2480">
          <cell r="A2480">
            <v>46182</v>
          </cell>
          <cell r="C2480" t="str">
            <v xml:space="preserve">Bela Vista </v>
          </cell>
          <cell r="H2480">
            <v>38.68</v>
          </cell>
        </row>
        <row r="2481">
          <cell r="A2481">
            <v>46182</v>
          </cell>
          <cell r="C2481" t="str">
            <v xml:space="preserve">Bela Vista </v>
          </cell>
          <cell r="H2481">
            <v>37.42</v>
          </cell>
        </row>
        <row r="2482">
          <cell r="A2482">
            <v>46182</v>
          </cell>
          <cell r="C2482" t="str">
            <v xml:space="preserve">Bela Vista </v>
          </cell>
          <cell r="H2482">
            <v>38.82</v>
          </cell>
        </row>
        <row r="2483">
          <cell r="A2483">
            <v>46182</v>
          </cell>
          <cell r="C2483" t="str">
            <v xml:space="preserve">Bela Vista </v>
          </cell>
          <cell r="H2483">
            <v>39.94</v>
          </cell>
        </row>
        <row r="2484">
          <cell r="A2484">
            <v>46182</v>
          </cell>
          <cell r="C2484" t="str">
            <v xml:space="preserve">Bela Vista </v>
          </cell>
          <cell r="H2484">
            <v>39.06</v>
          </cell>
        </row>
        <row r="2485">
          <cell r="A2485">
            <v>46182</v>
          </cell>
          <cell r="C2485" t="str">
            <v xml:space="preserve">Itapaci </v>
          </cell>
          <cell r="H2485">
            <v>73.8</v>
          </cell>
        </row>
        <row r="2486">
          <cell r="A2486">
            <v>46182</v>
          </cell>
          <cell r="C2486" t="str">
            <v xml:space="preserve">Itapaci </v>
          </cell>
          <cell r="H2486">
            <v>74.14</v>
          </cell>
        </row>
        <row r="2487">
          <cell r="A2487">
            <v>46182</v>
          </cell>
          <cell r="C2487" t="str">
            <v xml:space="preserve">Itapaci </v>
          </cell>
          <cell r="H2487">
            <v>72.62</v>
          </cell>
        </row>
        <row r="2488">
          <cell r="A2488">
            <v>46182</v>
          </cell>
          <cell r="C2488" t="str">
            <v xml:space="preserve">Itapaci </v>
          </cell>
          <cell r="H2488">
            <v>76.680000000000007</v>
          </cell>
        </row>
        <row r="2489">
          <cell r="A2489">
            <v>46182</v>
          </cell>
          <cell r="C2489" t="str">
            <v xml:space="preserve">Itapaci </v>
          </cell>
          <cell r="H2489">
            <v>73.94</v>
          </cell>
        </row>
        <row r="2490">
          <cell r="A2490">
            <v>46183</v>
          </cell>
          <cell r="C2490" t="str">
            <v xml:space="preserve">Itapaci </v>
          </cell>
          <cell r="H2490">
            <v>74.78</v>
          </cell>
        </row>
        <row r="2491">
          <cell r="A2491">
            <v>46183</v>
          </cell>
          <cell r="C2491" t="str">
            <v xml:space="preserve">Itapaci </v>
          </cell>
          <cell r="H2491">
            <v>74</v>
          </cell>
        </row>
        <row r="2492">
          <cell r="A2492">
            <v>46183</v>
          </cell>
          <cell r="C2492" t="str">
            <v xml:space="preserve">Itapaci </v>
          </cell>
          <cell r="H2492">
            <v>72.540000000000006</v>
          </cell>
        </row>
        <row r="2493">
          <cell r="A2493">
            <v>46183</v>
          </cell>
          <cell r="C2493" t="str">
            <v xml:space="preserve">Itapaci </v>
          </cell>
          <cell r="H2493">
            <v>73.3</v>
          </cell>
        </row>
        <row r="2494">
          <cell r="A2494">
            <v>46183</v>
          </cell>
          <cell r="C2494" t="str">
            <v xml:space="preserve">Itapaci </v>
          </cell>
          <cell r="H2494">
            <v>74.78</v>
          </cell>
        </row>
        <row r="2495">
          <cell r="A2495">
            <v>46183</v>
          </cell>
          <cell r="C2495" t="str">
            <v xml:space="preserve">Itapaci </v>
          </cell>
          <cell r="H2495">
            <v>74.040000000000006</v>
          </cell>
        </row>
        <row r="2496">
          <cell r="A2496">
            <v>46183</v>
          </cell>
          <cell r="C2496" t="str">
            <v xml:space="preserve">Itapaci </v>
          </cell>
          <cell r="H2496">
            <v>76.34</v>
          </cell>
        </row>
        <row r="2497">
          <cell r="A2497">
            <v>46184</v>
          </cell>
          <cell r="C2497" t="str">
            <v xml:space="preserve">Itapaci </v>
          </cell>
          <cell r="H2497">
            <v>34.36</v>
          </cell>
        </row>
        <row r="2498">
          <cell r="A2498">
            <v>46184</v>
          </cell>
          <cell r="C2498" t="str">
            <v xml:space="preserve">Itapaci </v>
          </cell>
          <cell r="H2498">
            <v>74.16</v>
          </cell>
        </row>
        <row r="2499">
          <cell r="A2499">
            <v>46184</v>
          </cell>
          <cell r="C2499" t="str">
            <v xml:space="preserve">Itapaci </v>
          </cell>
          <cell r="H2499">
            <v>73.34</v>
          </cell>
        </row>
        <row r="2500">
          <cell r="A2500">
            <v>46183</v>
          </cell>
          <cell r="C2500" t="str">
            <v xml:space="preserve">Bela Vista </v>
          </cell>
          <cell r="H2500">
            <v>50.86</v>
          </cell>
        </row>
        <row r="2501">
          <cell r="A2501">
            <v>46183</v>
          </cell>
          <cell r="C2501" t="str">
            <v xml:space="preserve">Bela Vista </v>
          </cell>
          <cell r="H2501">
            <v>44.26</v>
          </cell>
        </row>
        <row r="2502">
          <cell r="A2502">
            <v>46183</v>
          </cell>
          <cell r="C2502" t="str">
            <v xml:space="preserve">Bela Vista </v>
          </cell>
          <cell r="H2502">
            <v>53.18</v>
          </cell>
        </row>
        <row r="2503">
          <cell r="A2503">
            <v>46183</v>
          </cell>
          <cell r="C2503" t="str">
            <v xml:space="preserve">Bela Vista </v>
          </cell>
          <cell r="H2503">
            <v>38.6</v>
          </cell>
        </row>
        <row r="2504">
          <cell r="A2504">
            <v>46183</v>
          </cell>
          <cell r="C2504" t="str">
            <v xml:space="preserve">Bela Vista </v>
          </cell>
          <cell r="H2504">
            <v>37.74</v>
          </cell>
        </row>
        <row r="2505">
          <cell r="A2505">
            <v>46183</v>
          </cell>
          <cell r="C2505" t="str">
            <v xml:space="preserve">Bela Vista </v>
          </cell>
          <cell r="H2505">
            <v>37.82</v>
          </cell>
        </row>
        <row r="2506">
          <cell r="A2506">
            <v>46183</v>
          </cell>
          <cell r="C2506" t="str">
            <v xml:space="preserve">Bela Vista </v>
          </cell>
          <cell r="H2506">
            <v>37.32</v>
          </cell>
        </row>
        <row r="2507">
          <cell r="A2507">
            <v>46183</v>
          </cell>
          <cell r="C2507" t="str">
            <v xml:space="preserve">Bela Vista </v>
          </cell>
          <cell r="H2507">
            <v>50.8</v>
          </cell>
        </row>
        <row r="2508">
          <cell r="A2508">
            <v>46183</v>
          </cell>
          <cell r="C2508" t="str">
            <v xml:space="preserve">Bela Vista </v>
          </cell>
          <cell r="H2508">
            <v>37.4</v>
          </cell>
        </row>
        <row r="2509">
          <cell r="A2509">
            <v>46183</v>
          </cell>
          <cell r="C2509" t="str">
            <v xml:space="preserve">Bela Vista </v>
          </cell>
          <cell r="H2509">
            <v>38.68</v>
          </cell>
        </row>
        <row r="2510">
          <cell r="A2510">
            <v>46183</v>
          </cell>
          <cell r="C2510" t="str">
            <v xml:space="preserve">Bela Vista </v>
          </cell>
          <cell r="H2510">
            <v>37</v>
          </cell>
        </row>
        <row r="2511">
          <cell r="A2511">
            <v>46183</v>
          </cell>
          <cell r="C2511" t="str">
            <v xml:space="preserve">Bela Vista </v>
          </cell>
          <cell r="H2511">
            <v>47.48</v>
          </cell>
        </row>
        <row r="2512">
          <cell r="A2512">
            <v>46183</v>
          </cell>
          <cell r="C2512" t="str">
            <v xml:space="preserve">Bela Vista </v>
          </cell>
          <cell r="H2512">
            <v>46.38</v>
          </cell>
        </row>
        <row r="2513">
          <cell r="A2513">
            <v>46183</v>
          </cell>
          <cell r="C2513" t="str">
            <v xml:space="preserve">Bela Vista </v>
          </cell>
          <cell r="H2513">
            <v>36.799999999999997</v>
          </cell>
        </row>
        <row r="2514">
          <cell r="A2514">
            <v>46183</v>
          </cell>
          <cell r="C2514" t="str">
            <v xml:space="preserve">Bela Vista </v>
          </cell>
          <cell r="H2514">
            <v>51.58</v>
          </cell>
        </row>
        <row r="2515">
          <cell r="A2515">
            <v>46183</v>
          </cell>
          <cell r="C2515" t="str">
            <v xml:space="preserve">Bela Vista </v>
          </cell>
          <cell r="H2515">
            <v>37.659999999999997</v>
          </cell>
        </row>
        <row r="2516">
          <cell r="A2516">
            <v>46183</v>
          </cell>
          <cell r="C2516" t="str">
            <v xml:space="preserve">Bela Vista </v>
          </cell>
          <cell r="H2516">
            <v>38.5</v>
          </cell>
        </row>
        <row r="2517">
          <cell r="A2517">
            <v>46183</v>
          </cell>
          <cell r="C2517" t="str">
            <v xml:space="preserve">Bela Vista </v>
          </cell>
          <cell r="H2517">
            <v>37.92</v>
          </cell>
        </row>
        <row r="2518">
          <cell r="A2518">
            <v>46183</v>
          </cell>
          <cell r="C2518" t="str">
            <v xml:space="preserve">Bela Vista </v>
          </cell>
          <cell r="H2518">
            <v>38.74</v>
          </cell>
        </row>
        <row r="2519">
          <cell r="A2519">
            <v>46183</v>
          </cell>
          <cell r="C2519" t="str">
            <v xml:space="preserve">Bela Vista </v>
          </cell>
          <cell r="H2519">
            <v>37.18</v>
          </cell>
        </row>
        <row r="2520">
          <cell r="A2520">
            <v>46183</v>
          </cell>
          <cell r="C2520" t="str">
            <v xml:space="preserve">Bela Vista </v>
          </cell>
          <cell r="H2520">
            <v>49.38</v>
          </cell>
        </row>
        <row r="2521">
          <cell r="A2521">
            <v>46183</v>
          </cell>
          <cell r="C2521" t="str">
            <v xml:space="preserve">Bela Vista </v>
          </cell>
          <cell r="H2521">
            <v>45.1</v>
          </cell>
        </row>
        <row r="2522">
          <cell r="A2522">
            <v>46183</v>
          </cell>
          <cell r="C2522" t="str">
            <v xml:space="preserve">Bela Vista </v>
          </cell>
          <cell r="H2522">
            <v>45.06</v>
          </cell>
        </row>
        <row r="2523">
          <cell r="A2523">
            <v>46184</v>
          </cell>
          <cell r="C2523" t="str">
            <v xml:space="preserve">Bela Vista </v>
          </cell>
          <cell r="H2523">
            <v>37</v>
          </cell>
        </row>
        <row r="2524">
          <cell r="A2524">
            <v>46184</v>
          </cell>
          <cell r="C2524" t="str">
            <v xml:space="preserve">Bela Vista </v>
          </cell>
          <cell r="H2524">
            <v>35.880000000000003</v>
          </cell>
        </row>
        <row r="2525">
          <cell r="A2525">
            <v>46184</v>
          </cell>
          <cell r="C2525" t="str">
            <v xml:space="preserve">Bela Vista </v>
          </cell>
          <cell r="H2525">
            <v>52.82</v>
          </cell>
        </row>
        <row r="2526">
          <cell r="A2526">
            <v>46184</v>
          </cell>
          <cell r="C2526" t="str">
            <v xml:space="preserve">Bela Vista </v>
          </cell>
          <cell r="H2526">
            <v>36.22</v>
          </cell>
        </row>
        <row r="2527">
          <cell r="A2527">
            <v>46184</v>
          </cell>
          <cell r="C2527" t="str">
            <v xml:space="preserve">Bela Vista </v>
          </cell>
          <cell r="H2527">
            <v>37.159999999999997</v>
          </cell>
        </row>
        <row r="2528">
          <cell r="A2528">
            <v>46184</v>
          </cell>
          <cell r="C2528" t="str">
            <v xml:space="preserve">Bela Vista </v>
          </cell>
          <cell r="H2528">
            <v>50.78</v>
          </cell>
        </row>
        <row r="2529">
          <cell r="A2529">
            <v>46184</v>
          </cell>
          <cell r="C2529" t="str">
            <v xml:space="preserve">Bela Vista </v>
          </cell>
          <cell r="H2529">
            <v>37.14</v>
          </cell>
        </row>
        <row r="2530">
          <cell r="A2530">
            <v>46184</v>
          </cell>
          <cell r="C2530" t="str">
            <v xml:space="preserve">Bela Vista </v>
          </cell>
          <cell r="H2530">
            <v>39.46</v>
          </cell>
        </row>
        <row r="2531">
          <cell r="A2531">
            <v>46184</v>
          </cell>
          <cell r="C2531" t="str">
            <v xml:space="preserve">Bela Vista </v>
          </cell>
          <cell r="H2531">
            <v>37.200000000000003</v>
          </cell>
        </row>
        <row r="2532">
          <cell r="A2532">
            <v>46184</v>
          </cell>
          <cell r="C2532" t="str">
            <v xml:space="preserve">Bela Vista </v>
          </cell>
          <cell r="H2532">
            <v>47.62</v>
          </cell>
        </row>
        <row r="2533">
          <cell r="A2533">
            <v>46184</v>
          </cell>
          <cell r="C2533" t="str">
            <v xml:space="preserve">Bela Vista </v>
          </cell>
          <cell r="H2533">
            <v>47.78</v>
          </cell>
        </row>
        <row r="2534">
          <cell r="A2534">
            <v>46184</v>
          </cell>
          <cell r="C2534" t="str">
            <v xml:space="preserve">Bela Vista </v>
          </cell>
          <cell r="H2534">
            <v>37.82</v>
          </cell>
        </row>
        <row r="2535">
          <cell r="A2535">
            <v>46185</v>
          </cell>
          <cell r="C2535" t="str">
            <v xml:space="preserve">Bela Vista </v>
          </cell>
          <cell r="H2535">
            <v>36.659999999999997</v>
          </cell>
        </row>
        <row r="2536">
          <cell r="A2536">
            <v>46185</v>
          </cell>
          <cell r="C2536" t="str">
            <v xml:space="preserve">Bela Vista </v>
          </cell>
          <cell r="H2536">
            <v>50.78</v>
          </cell>
        </row>
        <row r="2537">
          <cell r="A2537">
            <v>46185</v>
          </cell>
          <cell r="C2537" t="str">
            <v xml:space="preserve">Bela Vista </v>
          </cell>
          <cell r="H2537">
            <v>38.9</v>
          </cell>
        </row>
        <row r="2538">
          <cell r="A2538">
            <v>46185</v>
          </cell>
          <cell r="C2538" t="str">
            <v xml:space="preserve">Bela Vista </v>
          </cell>
          <cell r="H2538">
            <v>39.119999999999997</v>
          </cell>
        </row>
        <row r="2539">
          <cell r="A2539">
            <v>46185</v>
          </cell>
          <cell r="C2539" t="str">
            <v xml:space="preserve">Bela Vista </v>
          </cell>
          <cell r="H2539">
            <v>39.340000000000003</v>
          </cell>
        </row>
        <row r="2540">
          <cell r="A2540">
            <v>46185</v>
          </cell>
          <cell r="C2540" t="str">
            <v xml:space="preserve">Bela Vista </v>
          </cell>
          <cell r="H2540">
            <v>51.94</v>
          </cell>
        </row>
        <row r="2541">
          <cell r="A2541">
            <v>46185</v>
          </cell>
          <cell r="C2541" t="str">
            <v xml:space="preserve">Bela Vista </v>
          </cell>
          <cell r="H2541">
            <v>47.24</v>
          </cell>
        </row>
        <row r="2542">
          <cell r="A2542">
            <v>46185</v>
          </cell>
          <cell r="C2542" t="str">
            <v xml:space="preserve">Bela Vista </v>
          </cell>
          <cell r="H2542">
            <v>38.72</v>
          </cell>
        </row>
        <row r="2543">
          <cell r="A2543">
            <v>46185</v>
          </cell>
          <cell r="C2543" t="str">
            <v xml:space="preserve">Bela Vista </v>
          </cell>
          <cell r="H2543">
            <v>38.06</v>
          </cell>
        </row>
        <row r="2544">
          <cell r="A2544">
            <v>46184</v>
          </cell>
          <cell r="C2544" t="str">
            <v xml:space="preserve">Itapaci </v>
          </cell>
          <cell r="H2544">
            <v>66.239999999999995</v>
          </cell>
        </row>
        <row r="2545">
          <cell r="A2545">
            <v>46184</v>
          </cell>
          <cell r="C2545" t="str">
            <v xml:space="preserve">Itapaci </v>
          </cell>
          <cell r="H2545">
            <v>63.32</v>
          </cell>
        </row>
        <row r="2546">
          <cell r="A2546">
            <v>46184</v>
          </cell>
          <cell r="C2546" t="str">
            <v xml:space="preserve">Itapaci </v>
          </cell>
          <cell r="H2546">
            <v>76.959999999999994</v>
          </cell>
        </row>
        <row r="2547">
          <cell r="A2547">
            <v>46184</v>
          </cell>
          <cell r="C2547" t="str">
            <v xml:space="preserve">Itapaci </v>
          </cell>
          <cell r="H2547">
            <v>76.56</v>
          </cell>
        </row>
        <row r="2548">
          <cell r="A2548">
            <v>46184</v>
          </cell>
          <cell r="C2548" t="str">
            <v xml:space="preserve">Itapaci </v>
          </cell>
          <cell r="H2548">
            <v>34.26</v>
          </cell>
        </row>
        <row r="2549">
          <cell r="A2549">
            <v>46184</v>
          </cell>
          <cell r="C2549" t="str">
            <v xml:space="preserve">Itapaci </v>
          </cell>
          <cell r="H2549">
            <v>37.56</v>
          </cell>
        </row>
        <row r="2550">
          <cell r="A2550">
            <v>46184</v>
          </cell>
          <cell r="C2550" t="str">
            <v xml:space="preserve">Itapaci </v>
          </cell>
          <cell r="H2550">
            <v>34.46</v>
          </cell>
        </row>
        <row r="2551">
          <cell r="A2551">
            <v>46184</v>
          </cell>
          <cell r="C2551" t="str">
            <v xml:space="preserve">Itapaci </v>
          </cell>
          <cell r="H2551">
            <v>30.26</v>
          </cell>
        </row>
        <row r="2552">
          <cell r="A2552">
            <v>46185</v>
          </cell>
          <cell r="C2552" t="str">
            <v xml:space="preserve">Itapaci </v>
          </cell>
          <cell r="H2552">
            <v>34.44</v>
          </cell>
        </row>
        <row r="2553">
          <cell r="A2553">
            <v>46185</v>
          </cell>
          <cell r="C2553" t="str">
            <v xml:space="preserve">Itapaci </v>
          </cell>
          <cell r="H2553">
            <v>34.42</v>
          </cell>
        </row>
        <row r="2554">
          <cell r="A2554">
            <v>46185</v>
          </cell>
          <cell r="C2554" t="str">
            <v xml:space="preserve">Itapaci </v>
          </cell>
          <cell r="H2554">
            <v>36.200000000000003</v>
          </cell>
        </row>
        <row r="2555">
          <cell r="A2555">
            <v>46185</v>
          </cell>
          <cell r="C2555" t="str">
            <v xml:space="preserve">Itapaci </v>
          </cell>
          <cell r="H2555">
            <v>34.700000000000003</v>
          </cell>
        </row>
        <row r="2556">
          <cell r="A2556">
            <v>46185</v>
          </cell>
          <cell r="C2556" t="str">
            <v xml:space="preserve">Itapaci </v>
          </cell>
          <cell r="H2556">
            <v>72.58</v>
          </cell>
        </row>
        <row r="2557">
          <cell r="A2557">
            <v>46185</v>
          </cell>
          <cell r="C2557" t="str">
            <v xml:space="preserve">Itapaci </v>
          </cell>
          <cell r="H2557">
            <v>47.26</v>
          </cell>
        </row>
        <row r="2558">
          <cell r="A2558">
            <v>46185</v>
          </cell>
          <cell r="C2558" t="str">
            <v xml:space="preserve">Itapaci </v>
          </cell>
          <cell r="H2558">
            <v>76.78</v>
          </cell>
        </row>
        <row r="2559">
          <cell r="A2559">
            <v>46185</v>
          </cell>
          <cell r="C2559" t="str">
            <v xml:space="preserve">Itapaci </v>
          </cell>
          <cell r="H2559">
            <v>34.56</v>
          </cell>
        </row>
        <row r="2560">
          <cell r="A2560">
            <v>46185</v>
          </cell>
          <cell r="C2560" t="str">
            <v xml:space="preserve">Itapaci </v>
          </cell>
          <cell r="H2560">
            <v>73.48</v>
          </cell>
        </row>
        <row r="2561">
          <cell r="A2561">
            <v>46185</v>
          </cell>
          <cell r="C2561" t="str">
            <v xml:space="preserve">Itapaci </v>
          </cell>
          <cell r="H2561">
            <v>75.02</v>
          </cell>
        </row>
        <row r="2562">
          <cell r="A2562">
            <v>46185</v>
          </cell>
          <cell r="C2562" t="str">
            <v xml:space="preserve">Itapaci </v>
          </cell>
          <cell r="H2562">
            <v>62.12</v>
          </cell>
        </row>
        <row r="2563">
          <cell r="A2563">
            <v>46185</v>
          </cell>
          <cell r="C2563" t="str">
            <v xml:space="preserve">Itapaci </v>
          </cell>
          <cell r="H2563">
            <v>63.42</v>
          </cell>
        </row>
        <row r="2564">
          <cell r="A2564">
            <v>46185</v>
          </cell>
          <cell r="C2564" t="str">
            <v xml:space="preserve">Itapaci </v>
          </cell>
          <cell r="H2564">
            <v>33.979999999999997</v>
          </cell>
        </row>
        <row r="2565">
          <cell r="A2565">
            <v>46185</v>
          </cell>
          <cell r="C2565" t="str">
            <v xml:space="preserve">Bela Vista </v>
          </cell>
          <cell r="H2565">
            <v>38.619999999999997</v>
          </cell>
        </row>
        <row r="2566">
          <cell r="A2566">
            <v>46185</v>
          </cell>
          <cell r="C2566" t="str">
            <v xml:space="preserve">Bela Vista </v>
          </cell>
          <cell r="H2566">
            <v>50.94</v>
          </cell>
        </row>
        <row r="2567">
          <cell r="A2567">
            <v>46185</v>
          </cell>
          <cell r="C2567" t="str">
            <v xml:space="preserve">Bela Vista </v>
          </cell>
          <cell r="H2567">
            <v>38.18</v>
          </cell>
        </row>
        <row r="2568">
          <cell r="A2568">
            <v>46186</v>
          </cell>
          <cell r="C2568" t="str">
            <v xml:space="preserve">Bela Vista </v>
          </cell>
          <cell r="H2568">
            <v>49.28</v>
          </cell>
        </row>
        <row r="2569">
          <cell r="A2569">
            <v>46186</v>
          </cell>
          <cell r="C2569" t="str">
            <v xml:space="preserve">Bela Vista </v>
          </cell>
          <cell r="H2569">
            <v>38.5</v>
          </cell>
        </row>
        <row r="2570">
          <cell r="A2570">
            <v>46188</v>
          </cell>
          <cell r="C2570" t="str">
            <v xml:space="preserve">Bela Vista </v>
          </cell>
          <cell r="H2570">
            <v>38.1</v>
          </cell>
        </row>
        <row r="2571">
          <cell r="A2571">
            <v>46186</v>
          </cell>
          <cell r="C2571" t="str">
            <v xml:space="preserve">Bela Vista </v>
          </cell>
          <cell r="H2571">
            <v>37.58</v>
          </cell>
        </row>
        <row r="2572">
          <cell r="A2572">
            <v>46188</v>
          </cell>
          <cell r="C2572" t="str">
            <v xml:space="preserve">Bela Vista </v>
          </cell>
          <cell r="H2572">
            <v>37.82</v>
          </cell>
        </row>
        <row r="2573">
          <cell r="A2573">
            <v>46186</v>
          </cell>
          <cell r="C2573" t="str">
            <v xml:space="preserve">Bela Vista </v>
          </cell>
          <cell r="H2573">
            <v>36.159999999999997</v>
          </cell>
        </row>
        <row r="2574">
          <cell r="A2574">
            <v>46186</v>
          </cell>
          <cell r="C2574" t="str">
            <v xml:space="preserve">Bela Vista </v>
          </cell>
          <cell r="H2574">
            <v>40.28</v>
          </cell>
        </row>
        <row r="2575">
          <cell r="A2575">
            <v>46186</v>
          </cell>
          <cell r="C2575" t="str">
            <v xml:space="preserve">Bela Vista </v>
          </cell>
          <cell r="H2575">
            <v>49.16</v>
          </cell>
        </row>
        <row r="2576">
          <cell r="A2576">
            <v>46186</v>
          </cell>
          <cell r="C2576" t="str">
            <v xml:space="preserve">Bela Vista </v>
          </cell>
          <cell r="H2576">
            <v>38.119999999999997</v>
          </cell>
        </row>
        <row r="2577">
          <cell r="A2577">
            <v>46186</v>
          </cell>
          <cell r="C2577" t="str">
            <v xml:space="preserve">Bela Vista </v>
          </cell>
          <cell r="H2577">
            <v>38.659999999999997</v>
          </cell>
        </row>
        <row r="2578">
          <cell r="A2578">
            <v>46186</v>
          </cell>
          <cell r="C2578" t="str">
            <v xml:space="preserve">Bela Vista </v>
          </cell>
          <cell r="H2578">
            <v>50.74</v>
          </cell>
        </row>
        <row r="2579">
          <cell r="A2579">
            <v>46186</v>
          </cell>
          <cell r="C2579" t="str">
            <v xml:space="preserve">Bela Vista </v>
          </cell>
          <cell r="H2579">
            <v>37.26</v>
          </cell>
        </row>
        <row r="2580">
          <cell r="A2580">
            <v>46186</v>
          </cell>
          <cell r="C2580" t="str">
            <v xml:space="preserve">Bela Vista </v>
          </cell>
          <cell r="H2580">
            <v>46.04</v>
          </cell>
        </row>
        <row r="2581">
          <cell r="A2581">
            <v>46188</v>
          </cell>
          <cell r="C2581" t="str">
            <v xml:space="preserve">Itapaci </v>
          </cell>
          <cell r="H2581">
            <v>34.96</v>
          </cell>
        </row>
        <row r="2582">
          <cell r="A2582">
            <v>46186</v>
          </cell>
          <cell r="C2582" t="str">
            <v xml:space="preserve">Itapaci </v>
          </cell>
          <cell r="H2582">
            <v>53.9</v>
          </cell>
        </row>
        <row r="2583">
          <cell r="A2583">
            <v>46186</v>
          </cell>
          <cell r="C2583" t="str">
            <v xml:space="preserve">Itapaci </v>
          </cell>
          <cell r="H2583">
            <v>47.72</v>
          </cell>
        </row>
        <row r="2584">
          <cell r="A2584">
            <v>46186</v>
          </cell>
          <cell r="C2584" t="str">
            <v xml:space="preserve">Itapaci </v>
          </cell>
          <cell r="H2584">
            <v>63.46</v>
          </cell>
        </row>
        <row r="2585">
          <cell r="A2585">
            <v>46186</v>
          </cell>
          <cell r="C2585" t="str">
            <v xml:space="preserve">Itapaci </v>
          </cell>
          <cell r="H2585">
            <v>62</v>
          </cell>
        </row>
        <row r="2586">
          <cell r="A2586">
            <v>46186</v>
          </cell>
          <cell r="C2586" t="str">
            <v xml:space="preserve">Itapaci </v>
          </cell>
          <cell r="H2586">
            <v>72.44</v>
          </cell>
        </row>
        <row r="2587">
          <cell r="A2587">
            <v>46186</v>
          </cell>
          <cell r="C2587" t="str">
            <v xml:space="preserve">Itapaci </v>
          </cell>
          <cell r="H2587">
            <v>76.42</v>
          </cell>
        </row>
        <row r="2588">
          <cell r="A2588">
            <v>46186</v>
          </cell>
          <cell r="C2588" t="str">
            <v xml:space="preserve">Itapaci </v>
          </cell>
          <cell r="H2588">
            <v>75.7</v>
          </cell>
        </row>
        <row r="2589">
          <cell r="A2589">
            <v>46186</v>
          </cell>
          <cell r="C2589" t="str">
            <v xml:space="preserve">Itapaci </v>
          </cell>
          <cell r="H2589">
            <v>73.7</v>
          </cell>
        </row>
        <row r="2590">
          <cell r="A2590">
            <v>46186</v>
          </cell>
          <cell r="C2590" t="str">
            <v xml:space="preserve">Bela Vista </v>
          </cell>
          <cell r="H2590">
            <v>53.02</v>
          </cell>
        </row>
        <row r="2591">
          <cell r="A2591">
            <v>46186</v>
          </cell>
          <cell r="C2591" t="str">
            <v xml:space="preserve">Bela Vista </v>
          </cell>
          <cell r="H2591">
            <v>52.48</v>
          </cell>
        </row>
        <row r="2592">
          <cell r="A2592">
            <v>46186</v>
          </cell>
          <cell r="C2592" t="str">
            <v xml:space="preserve">Bela Vista </v>
          </cell>
          <cell r="H2592">
            <v>37.880000000000003</v>
          </cell>
        </row>
        <row r="2593">
          <cell r="A2593">
            <v>46186</v>
          </cell>
          <cell r="C2593" t="str">
            <v xml:space="preserve">Bela Vista </v>
          </cell>
          <cell r="H2593">
            <v>37.42</v>
          </cell>
        </row>
        <row r="2594">
          <cell r="A2594">
            <v>46186</v>
          </cell>
          <cell r="C2594" t="str">
            <v xml:space="preserve">Bela Vista </v>
          </cell>
          <cell r="H2594">
            <v>38.44</v>
          </cell>
        </row>
        <row r="2595">
          <cell r="A2595">
            <v>46186</v>
          </cell>
          <cell r="C2595" t="str">
            <v xml:space="preserve">Bela Vista </v>
          </cell>
          <cell r="H2595">
            <v>39.14</v>
          </cell>
        </row>
        <row r="2596">
          <cell r="A2596">
            <v>46186</v>
          </cell>
          <cell r="C2596" t="str">
            <v xml:space="preserve">Bela Vista </v>
          </cell>
          <cell r="H2596">
            <v>35.4</v>
          </cell>
        </row>
        <row r="2597">
          <cell r="A2597">
            <v>46186</v>
          </cell>
          <cell r="C2597" t="str">
            <v xml:space="preserve">Bela Vista </v>
          </cell>
          <cell r="H2597">
            <v>51.78</v>
          </cell>
        </row>
        <row r="2598">
          <cell r="A2598">
            <v>46186</v>
          </cell>
          <cell r="C2598" t="str">
            <v xml:space="preserve">Bela Vista </v>
          </cell>
          <cell r="H2598">
            <v>51.8</v>
          </cell>
        </row>
        <row r="2599">
          <cell r="A2599">
            <v>46186</v>
          </cell>
          <cell r="C2599" t="str">
            <v xml:space="preserve">Bela Vista </v>
          </cell>
          <cell r="H2599">
            <v>39</v>
          </cell>
        </row>
        <row r="2600">
          <cell r="A2600">
            <v>46188</v>
          </cell>
          <cell r="C2600" t="str">
            <v xml:space="preserve">Itapaci </v>
          </cell>
          <cell r="H2600">
            <v>63.32</v>
          </cell>
        </row>
        <row r="2601">
          <cell r="A2601">
            <v>46188</v>
          </cell>
          <cell r="C2601" t="str">
            <v xml:space="preserve">Itapaci </v>
          </cell>
          <cell r="H2601">
            <v>66.64</v>
          </cell>
        </row>
        <row r="2602">
          <cell r="A2602">
            <v>46186</v>
          </cell>
          <cell r="C2602" t="str">
            <v xml:space="preserve">Itapaci </v>
          </cell>
          <cell r="H2602">
            <v>49.92</v>
          </cell>
        </row>
        <row r="2603">
          <cell r="A2603">
            <v>46188</v>
          </cell>
          <cell r="C2603" t="str">
            <v xml:space="preserve">Itapaci </v>
          </cell>
          <cell r="H2603">
            <v>74.900000000000006</v>
          </cell>
        </row>
        <row r="2604">
          <cell r="A2604">
            <v>46188</v>
          </cell>
          <cell r="C2604" t="str">
            <v xml:space="preserve">Itapaci </v>
          </cell>
          <cell r="H2604">
            <v>45.96</v>
          </cell>
        </row>
        <row r="2605">
          <cell r="A2605">
            <v>46188</v>
          </cell>
          <cell r="C2605" t="str">
            <v xml:space="preserve">Bela Vista </v>
          </cell>
          <cell r="H2605">
            <v>49.86</v>
          </cell>
        </row>
        <row r="2606">
          <cell r="A2606">
            <v>46188</v>
          </cell>
          <cell r="C2606" t="str">
            <v xml:space="preserve">Bela Vista </v>
          </cell>
          <cell r="H2606">
            <v>49.08</v>
          </cell>
        </row>
        <row r="2607">
          <cell r="A2607">
            <v>46188</v>
          </cell>
          <cell r="C2607" t="str">
            <v xml:space="preserve">Bela Vista </v>
          </cell>
          <cell r="H2607">
            <v>49.86</v>
          </cell>
        </row>
        <row r="2608">
          <cell r="A2608">
            <v>46188</v>
          </cell>
          <cell r="C2608" t="str">
            <v xml:space="preserve">Bela Vista </v>
          </cell>
          <cell r="H2608">
            <v>49.08</v>
          </cell>
        </row>
        <row r="2609">
          <cell r="A2609">
            <v>46188</v>
          </cell>
          <cell r="C2609" t="str">
            <v xml:space="preserve">Bela Vista </v>
          </cell>
          <cell r="H2609">
            <v>36.340000000000003</v>
          </cell>
        </row>
        <row r="2610">
          <cell r="A2610">
            <v>46188</v>
          </cell>
          <cell r="C2610" t="str">
            <v xml:space="preserve">Bela Vista </v>
          </cell>
          <cell r="H2610">
            <v>36.200000000000003</v>
          </cell>
        </row>
        <row r="2611">
          <cell r="A2611">
            <v>46188</v>
          </cell>
          <cell r="C2611" t="str">
            <v xml:space="preserve">Bela Vista </v>
          </cell>
          <cell r="H2611">
            <v>51.68</v>
          </cell>
        </row>
        <row r="2612">
          <cell r="A2612">
            <v>46188</v>
          </cell>
          <cell r="C2612" t="str">
            <v xml:space="preserve">Bela Vista </v>
          </cell>
          <cell r="H2612">
            <v>35.340000000000003</v>
          </cell>
        </row>
        <row r="2613">
          <cell r="A2613">
            <v>46188</v>
          </cell>
          <cell r="C2613" t="str">
            <v xml:space="preserve">Bela Vista </v>
          </cell>
          <cell r="H2613">
            <v>37.92</v>
          </cell>
        </row>
        <row r="2614">
          <cell r="A2614">
            <v>46188</v>
          </cell>
          <cell r="C2614" t="str">
            <v xml:space="preserve">Bela Vista </v>
          </cell>
          <cell r="H2614">
            <v>52.16</v>
          </cell>
        </row>
        <row r="2615">
          <cell r="A2615">
            <v>46188</v>
          </cell>
          <cell r="C2615" t="str">
            <v xml:space="preserve">Bela Vista </v>
          </cell>
          <cell r="H2615">
            <v>38.880000000000003</v>
          </cell>
        </row>
        <row r="2616">
          <cell r="A2616">
            <v>46188</v>
          </cell>
          <cell r="C2616" t="str">
            <v xml:space="preserve">Bela Vista </v>
          </cell>
          <cell r="H2616">
            <v>38.74</v>
          </cell>
        </row>
        <row r="2617">
          <cell r="A2617">
            <v>46188</v>
          </cell>
          <cell r="C2617" t="str">
            <v xml:space="preserve">Bela Vista </v>
          </cell>
          <cell r="H2617">
            <v>37.119999999999997</v>
          </cell>
        </row>
        <row r="2618">
          <cell r="A2618">
            <v>46188</v>
          </cell>
          <cell r="C2618" t="str">
            <v xml:space="preserve">Bela Vista </v>
          </cell>
          <cell r="H2618">
            <v>45.18</v>
          </cell>
        </row>
        <row r="2619">
          <cell r="A2619">
            <v>46188</v>
          </cell>
          <cell r="C2619" t="str">
            <v xml:space="preserve">Bela Vista </v>
          </cell>
          <cell r="H2619">
            <v>44.8</v>
          </cell>
        </row>
        <row r="2620">
          <cell r="A2620">
            <v>46188</v>
          </cell>
          <cell r="C2620" t="str">
            <v xml:space="preserve">Bela Vista </v>
          </cell>
          <cell r="H2620">
            <v>37.020000000000003</v>
          </cell>
        </row>
        <row r="2621">
          <cell r="A2621">
            <v>46188</v>
          </cell>
          <cell r="C2621" t="str">
            <v xml:space="preserve">Bela Vista </v>
          </cell>
          <cell r="H2621">
            <v>44.54</v>
          </cell>
        </row>
        <row r="2622">
          <cell r="A2622">
            <v>46188</v>
          </cell>
          <cell r="C2622" t="str">
            <v xml:space="preserve">Bela Vista </v>
          </cell>
          <cell r="H2622">
            <v>50.5</v>
          </cell>
        </row>
        <row r="2623">
          <cell r="A2623">
            <v>46188</v>
          </cell>
          <cell r="C2623" t="str">
            <v xml:space="preserve">Bela Vista </v>
          </cell>
          <cell r="H2623">
            <v>50.84</v>
          </cell>
        </row>
        <row r="2624">
          <cell r="A2624">
            <v>46188</v>
          </cell>
          <cell r="C2624" t="str">
            <v xml:space="preserve">Bela Vista </v>
          </cell>
          <cell r="H2624">
            <v>36.54</v>
          </cell>
        </row>
        <row r="2625">
          <cell r="A2625">
            <v>46188</v>
          </cell>
          <cell r="C2625" t="str">
            <v xml:space="preserve">Itapaci </v>
          </cell>
          <cell r="H2625">
            <v>72.540000000000006</v>
          </cell>
        </row>
        <row r="2626">
          <cell r="A2626">
            <v>46188</v>
          </cell>
          <cell r="C2626" t="str">
            <v xml:space="preserve">Itapaci </v>
          </cell>
          <cell r="H2626">
            <v>47.5</v>
          </cell>
        </row>
        <row r="2627">
          <cell r="A2627">
            <v>46188</v>
          </cell>
          <cell r="C2627" t="str">
            <v xml:space="preserve">Itapaci </v>
          </cell>
          <cell r="H2627">
            <v>75.040000000000006</v>
          </cell>
        </row>
        <row r="2628">
          <cell r="A2628">
            <v>46188</v>
          </cell>
          <cell r="C2628" t="str">
            <v xml:space="preserve">Itapaci </v>
          </cell>
          <cell r="H2628">
            <v>74.84</v>
          </cell>
        </row>
        <row r="2629">
          <cell r="A2629">
            <v>46189</v>
          </cell>
          <cell r="C2629" t="str">
            <v xml:space="preserve">Itapaci </v>
          </cell>
          <cell r="H2629">
            <v>78.8</v>
          </cell>
        </row>
        <row r="2630">
          <cell r="A2630">
            <v>46189</v>
          </cell>
          <cell r="C2630" t="str">
            <v xml:space="preserve">Bela Vista </v>
          </cell>
          <cell r="H2630">
            <v>37.64</v>
          </cell>
        </row>
        <row r="2631">
          <cell r="A2631">
            <v>46189</v>
          </cell>
          <cell r="C2631" t="str">
            <v xml:space="preserve">Bela Vista </v>
          </cell>
          <cell r="H2631">
            <v>37.54</v>
          </cell>
        </row>
        <row r="2632">
          <cell r="A2632">
            <v>46189</v>
          </cell>
          <cell r="C2632" t="str">
            <v xml:space="preserve">Bela Vista </v>
          </cell>
          <cell r="H2632">
            <v>40.24</v>
          </cell>
        </row>
        <row r="2633">
          <cell r="A2633">
            <v>46189</v>
          </cell>
          <cell r="C2633" t="str">
            <v xml:space="preserve">Bela Vista </v>
          </cell>
          <cell r="H2633">
            <v>36.76</v>
          </cell>
        </row>
        <row r="2634">
          <cell r="A2634">
            <v>46189</v>
          </cell>
          <cell r="C2634" t="str">
            <v xml:space="preserve">Bela Vista </v>
          </cell>
          <cell r="H2634">
            <v>50.1</v>
          </cell>
        </row>
        <row r="2635">
          <cell r="A2635">
            <v>46189</v>
          </cell>
          <cell r="C2635" t="str">
            <v xml:space="preserve">Bela Vista </v>
          </cell>
          <cell r="H2635">
            <v>37.42</v>
          </cell>
        </row>
        <row r="2636">
          <cell r="A2636">
            <v>46189</v>
          </cell>
          <cell r="C2636" t="str">
            <v xml:space="preserve">Bela Vista </v>
          </cell>
          <cell r="H2636">
            <v>46.1</v>
          </cell>
        </row>
        <row r="2637">
          <cell r="A2637">
            <v>46189</v>
          </cell>
          <cell r="C2637" t="str">
            <v xml:space="preserve">Bela Vista </v>
          </cell>
          <cell r="H2637">
            <v>38.28</v>
          </cell>
        </row>
        <row r="2638">
          <cell r="A2638">
            <v>46189</v>
          </cell>
          <cell r="C2638" t="str">
            <v xml:space="preserve">Bela Vista </v>
          </cell>
          <cell r="H2638">
            <v>35.82</v>
          </cell>
        </row>
        <row r="2639">
          <cell r="A2639">
            <v>46189</v>
          </cell>
          <cell r="C2639" t="str">
            <v xml:space="preserve">Bela Vista </v>
          </cell>
          <cell r="H2639">
            <v>39.22</v>
          </cell>
        </row>
        <row r="2640">
          <cell r="A2640">
            <v>46189</v>
          </cell>
          <cell r="C2640" t="str">
            <v xml:space="preserve">Bela Vista </v>
          </cell>
          <cell r="H2640">
            <v>45.52</v>
          </cell>
        </row>
        <row r="2641">
          <cell r="A2641">
            <v>46189</v>
          </cell>
          <cell r="C2641" t="str">
            <v xml:space="preserve">Bela Vista </v>
          </cell>
          <cell r="H2641">
            <v>39.64</v>
          </cell>
        </row>
        <row r="2642">
          <cell r="A2642">
            <v>46189</v>
          </cell>
          <cell r="C2642" t="str">
            <v xml:space="preserve">Bela Vista </v>
          </cell>
          <cell r="H2642">
            <v>50.56</v>
          </cell>
        </row>
        <row r="2643">
          <cell r="A2643">
            <v>46189</v>
          </cell>
          <cell r="C2643" t="str">
            <v xml:space="preserve">Bela Vista </v>
          </cell>
          <cell r="H2643">
            <v>37.42</v>
          </cell>
        </row>
        <row r="2644">
          <cell r="A2644">
            <v>46189</v>
          </cell>
          <cell r="C2644" t="str">
            <v xml:space="preserve">Bela Vista </v>
          </cell>
          <cell r="H2644">
            <v>36.72</v>
          </cell>
        </row>
        <row r="2645">
          <cell r="A2645">
            <v>46189</v>
          </cell>
          <cell r="C2645" t="str">
            <v xml:space="preserve">Bela Vista </v>
          </cell>
          <cell r="H2645">
            <v>45.96</v>
          </cell>
        </row>
        <row r="2646">
          <cell r="A2646">
            <v>46189</v>
          </cell>
          <cell r="C2646" t="str">
            <v xml:space="preserve">Bela Vista </v>
          </cell>
          <cell r="H2646">
            <v>37.520000000000003</v>
          </cell>
        </row>
        <row r="2647">
          <cell r="A2647">
            <v>46189</v>
          </cell>
          <cell r="C2647" t="str">
            <v xml:space="preserve">Bela Vista </v>
          </cell>
          <cell r="H2647">
            <v>39.340000000000003</v>
          </cell>
        </row>
        <row r="2648">
          <cell r="A2648">
            <v>46189</v>
          </cell>
          <cell r="C2648" t="str">
            <v xml:space="preserve">Bela Vista </v>
          </cell>
          <cell r="H2648">
            <v>35.94</v>
          </cell>
        </row>
        <row r="2649">
          <cell r="A2649">
            <v>46189</v>
          </cell>
          <cell r="C2649" t="str">
            <v xml:space="preserve">Bela Vista </v>
          </cell>
          <cell r="H2649">
            <v>38.74</v>
          </cell>
        </row>
        <row r="2650">
          <cell r="A2650">
            <v>46189</v>
          </cell>
          <cell r="C2650" t="str">
            <v xml:space="preserve">Bela Vista </v>
          </cell>
          <cell r="H2650">
            <v>46</v>
          </cell>
        </row>
        <row r="2651">
          <cell r="A2651">
            <v>46189</v>
          </cell>
          <cell r="C2651" t="str">
            <v xml:space="preserve">Bela Vista </v>
          </cell>
          <cell r="H2651">
            <v>47.98</v>
          </cell>
        </row>
        <row r="2652">
          <cell r="A2652">
            <v>46189</v>
          </cell>
          <cell r="C2652" t="str">
            <v xml:space="preserve">Bela Vista </v>
          </cell>
          <cell r="H2652">
            <v>36.979999999999997</v>
          </cell>
        </row>
        <row r="2653">
          <cell r="A2653">
            <v>46189</v>
          </cell>
          <cell r="C2653" t="str">
            <v xml:space="preserve">Bela Vista </v>
          </cell>
          <cell r="H2653">
            <v>47.52</v>
          </cell>
        </row>
        <row r="2654">
          <cell r="A2654">
            <v>46189</v>
          </cell>
          <cell r="C2654" t="str">
            <v xml:space="preserve">Bela Vista </v>
          </cell>
          <cell r="H2654">
            <v>38.76</v>
          </cell>
        </row>
        <row r="2655">
          <cell r="A2655">
            <v>46189</v>
          </cell>
          <cell r="C2655" t="str">
            <v xml:space="preserve">Bela Vista </v>
          </cell>
          <cell r="H2655">
            <v>37.26</v>
          </cell>
        </row>
        <row r="2656">
          <cell r="A2656">
            <v>46189</v>
          </cell>
          <cell r="C2656" t="str">
            <v xml:space="preserve">Bela Vista </v>
          </cell>
          <cell r="H2656">
            <v>37.42</v>
          </cell>
        </row>
        <row r="2657">
          <cell r="A2657">
            <v>46189</v>
          </cell>
          <cell r="C2657" t="str">
            <v xml:space="preserve">Bela Vista </v>
          </cell>
          <cell r="H2657">
            <v>39.76</v>
          </cell>
        </row>
        <row r="2658">
          <cell r="A2658">
            <v>46189</v>
          </cell>
          <cell r="C2658" t="str">
            <v xml:space="preserve">Bela Vista </v>
          </cell>
          <cell r="H2658">
            <v>49.88</v>
          </cell>
        </row>
        <row r="2659">
          <cell r="A2659">
            <v>46189</v>
          </cell>
          <cell r="C2659" t="str">
            <v xml:space="preserve">Bela Vista </v>
          </cell>
          <cell r="H2659">
            <v>49.4</v>
          </cell>
        </row>
        <row r="2660">
          <cell r="A2660">
            <v>46189</v>
          </cell>
          <cell r="C2660" t="str">
            <v xml:space="preserve">Bela Vista </v>
          </cell>
          <cell r="H2660">
            <v>40</v>
          </cell>
        </row>
        <row r="2661">
          <cell r="A2661">
            <v>46189</v>
          </cell>
          <cell r="C2661" t="str">
            <v xml:space="preserve">Bela Vista </v>
          </cell>
          <cell r="H2661">
            <v>37.26</v>
          </cell>
        </row>
        <row r="2662">
          <cell r="A2662">
            <v>46189</v>
          </cell>
          <cell r="C2662" t="str">
            <v xml:space="preserve">Bela Vista </v>
          </cell>
          <cell r="H2662">
            <v>38.42</v>
          </cell>
        </row>
        <row r="2663">
          <cell r="A2663">
            <v>46189</v>
          </cell>
          <cell r="C2663" t="str">
            <v xml:space="preserve">Bela Vista </v>
          </cell>
          <cell r="H2663">
            <v>37.619999999999997</v>
          </cell>
        </row>
        <row r="2664">
          <cell r="A2664">
            <v>46189</v>
          </cell>
          <cell r="C2664" t="str">
            <v xml:space="preserve">Bela Vista </v>
          </cell>
          <cell r="H2664">
            <v>48.58</v>
          </cell>
        </row>
        <row r="2665">
          <cell r="A2665">
            <v>46189</v>
          </cell>
          <cell r="C2665" t="str">
            <v xml:space="preserve">Bela Vista </v>
          </cell>
          <cell r="H2665">
            <v>47.92</v>
          </cell>
        </row>
        <row r="2666">
          <cell r="A2666">
            <v>46189</v>
          </cell>
          <cell r="C2666" t="str">
            <v xml:space="preserve">Bela Vista </v>
          </cell>
          <cell r="H2666">
            <v>38.159999999999997</v>
          </cell>
        </row>
        <row r="2667">
          <cell r="A2667">
            <v>46189</v>
          </cell>
          <cell r="C2667" t="str">
            <v xml:space="preserve">Bela Vista </v>
          </cell>
          <cell r="H2667">
            <v>47.24</v>
          </cell>
        </row>
        <row r="2668">
          <cell r="A2668">
            <v>46190</v>
          </cell>
          <cell r="C2668" t="str">
            <v xml:space="preserve">Bela Vista </v>
          </cell>
          <cell r="H2668">
            <v>38</v>
          </cell>
        </row>
        <row r="2669">
          <cell r="A2669">
            <v>46190</v>
          </cell>
          <cell r="C2669" t="str">
            <v xml:space="preserve">Bela Vista </v>
          </cell>
          <cell r="H2669">
            <v>37.1</v>
          </cell>
        </row>
        <row r="2670">
          <cell r="A2670">
            <v>46190</v>
          </cell>
          <cell r="C2670" t="str">
            <v xml:space="preserve">Bela Vista </v>
          </cell>
          <cell r="H2670">
            <v>37.119999999999997</v>
          </cell>
        </row>
        <row r="2671">
          <cell r="A2671">
            <v>46190</v>
          </cell>
          <cell r="C2671" t="str">
            <v xml:space="preserve">Bela Vista </v>
          </cell>
          <cell r="H2671">
            <v>47.48</v>
          </cell>
        </row>
        <row r="2672">
          <cell r="A2672">
            <v>46190</v>
          </cell>
          <cell r="C2672" t="str">
            <v xml:space="preserve">Itapaci </v>
          </cell>
          <cell r="H2672">
            <v>33.840000000000003</v>
          </cell>
        </row>
        <row r="2673">
          <cell r="A2673">
            <v>46190</v>
          </cell>
          <cell r="C2673" t="str">
            <v xml:space="preserve">Itapaci </v>
          </cell>
          <cell r="H2673">
            <v>61.66</v>
          </cell>
        </row>
        <row r="2674">
          <cell r="A2674">
            <v>46190</v>
          </cell>
          <cell r="C2674" t="str">
            <v xml:space="preserve">Itapaci </v>
          </cell>
          <cell r="H2674">
            <v>69.760000000000005</v>
          </cell>
        </row>
        <row r="2675">
          <cell r="A2675">
            <v>46190</v>
          </cell>
          <cell r="C2675" t="str">
            <v xml:space="preserve">Itapaci </v>
          </cell>
          <cell r="H2675">
            <v>35.18</v>
          </cell>
        </row>
        <row r="2676">
          <cell r="A2676">
            <v>46190</v>
          </cell>
          <cell r="C2676" t="str">
            <v xml:space="preserve">Itapaci </v>
          </cell>
          <cell r="H2676">
            <v>34.76</v>
          </cell>
        </row>
        <row r="2677">
          <cell r="A2677">
            <v>46190</v>
          </cell>
          <cell r="C2677" t="str">
            <v xml:space="preserve">Itapaci </v>
          </cell>
          <cell r="H2677">
            <v>61.5</v>
          </cell>
        </row>
        <row r="2678">
          <cell r="A2678">
            <v>46190</v>
          </cell>
          <cell r="C2678" t="str">
            <v xml:space="preserve">Itapaci </v>
          </cell>
          <cell r="H2678">
            <v>47.84</v>
          </cell>
        </row>
        <row r="2679">
          <cell r="A2679">
            <v>46190</v>
          </cell>
          <cell r="C2679" t="str">
            <v xml:space="preserve">Itapaci </v>
          </cell>
          <cell r="H2679">
            <v>68.48</v>
          </cell>
        </row>
        <row r="2680">
          <cell r="A2680">
            <v>46190</v>
          </cell>
          <cell r="C2680" t="str">
            <v xml:space="preserve">Itapaci </v>
          </cell>
          <cell r="H2680">
            <v>69.92</v>
          </cell>
        </row>
        <row r="2681">
          <cell r="A2681">
            <v>46190</v>
          </cell>
          <cell r="C2681" t="str">
            <v xml:space="preserve">Itapaci </v>
          </cell>
          <cell r="H2681">
            <v>61.92</v>
          </cell>
        </row>
        <row r="2682">
          <cell r="A2682">
            <v>46190</v>
          </cell>
          <cell r="C2682" t="str">
            <v xml:space="preserve">Itapaci </v>
          </cell>
          <cell r="H2682">
            <v>32.72</v>
          </cell>
        </row>
        <row r="2683">
          <cell r="A2683">
            <v>46190</v>
          </cell>
          <cell r="C2683" t="str">
            <v xml:space="preserve">Itapaci </v>
          </cell>
          <cell r="H2683">
            <v>63.18</v>
          </cell>
        </row>
        <row r="2684">
          <cell r="A2684">
            <v>46190</v>
          </cell>
          <cell r="C2684" t="str">
            <v xml:space="preserve">Itapaci </v>
          </cell>
          <cell r="H2684">
            <v>69.42</v>
          </cell>
        </row>
        <row r="2685">
          <cell r="A2685">
            <v>46191</v>
          </cell>
          <cell r="C2685" t="str">
            <v xml:space="preserve">Itapaci </v>
          </cell>
          <cell r="H2685">
            <v>34.08</v>
          </cell>
        </row>
        <row r="2686">
          <cell r="A2686">
            <v>46191</v>
          </cell>
          <cell r="C2686" t="str">
            <v xml:space="preserve">Itapaci </v>
          </cell>
          <cell r="H2686">
            <v>34.28</v>
          </cell>
        </row>
        <row r="2687">
          <cell r="A2687">
            <v>46191</v>
          </cell>
          <cell r="C2687" t="str">
            <v xml:space="preserve">Itapaci </v>
          </cell>
          <cell r="H2687">
            <v>54.38</v>
          </cell>
        </row>
        <row r="2688">
          <cell r="A2688">
            <v>46191</v>
          </cell>
          <cell r="C2688" t="str">
            <v xml:space="preserve">Itapaci </v>
          </cell>
          <cell r="H2688">
            <v>70.08</v>
          </cell>
        </row>
        <row r="2689">
          <cell r="A2689">
            <v>46191</v>
          </cell>
          <cell r="C2689" t="str">
            <v xml:space="preserve">Itapaci </v>
          </cell>
          <cell r="H2689">
            <v>48.02</v>
          </cell>
        </row>
        <row r="2690">
          <cell r="A2690">
            <v>46190</v>
          </cell>
          <cell r="C2690" t="str">
            <v xml:space="preserve">Bela Vista </v>
          </cell>
          <cell r="H2690">
            <v>39.96</v>
          </cell>
        </row>
        <row r="2691">
          <cell r="A2691">
            <v>46190</v>
          </cell>
          <cell r="C2691" t="str">
            <v xml:space="preserve">Bela Vista </v>
          </cell>
          <cell r="H2691">
            <v>50.78</v>
          </cell>
        </row>
        <row r="2692">
          <cell r="A2692">
            <v>46190</v>
          </cell>
          <cell r="C2692" t="str">
            <v xml:space="preserve">Bela Vista </v>
          </cell>
          <cell r="H2692">
            <v>37.799999999999997</v>
          </cell>
        </row>
        <row r="2693">
          <cell r="A2693">
            <v>46190</v>
          </cell>
          <cell r="C2693" t="str">
            <v xml:space="preserve">Bela Vista </v>
          </cell>
          <cell r="H2693">
            <v>39.020000000000003</v>
          </cell>
        </row>
        <row r="2694">
          <cell r="A2694">
            <v>46190</v>
          </cell>
          <cell r="C2694" t="str">
            <v xml:space="preserve">Bela Vista </v>
          </cell>
          <cell r="H2694">
            <v>39.979999999999997</v>
          </cell>
        </row>
        <row r="2695">
          <cell r="A2695">
            <v>46190</v>
          </cell>
          <cell r="C2695" t="str">
            <v xml:space="preserve">Bela Vista </v>
          </cell>
          <cell r="H2695">
            <v>47.28</v>
          </cell>
        </row>
        <row r="2696">
          <cell r="A2696">
            <v>46190</v>
          </cell>
          <cell r="C2696" t="str">
            <v xml:space="preserve">Bela Vista </v>
          </cell>
          <cell r="H2696">
            <v>47.48</v>
          </cell>
        </row>
        <row r="2697">
          <cell r="A2697">
            <v>46190</v>
          </cell>
          <cell r="C2697" t="str">
            <v xml:space="preserve">Bela Vista </v>
          </cell>
          <cell r="H2697">
            <v>35.46</v>
          </cell>
        </row>
        <row r="2698">
          <cell r="A2698">
            <v>46190</v>
          </cell>
          <cell r="C2698" t="str">
            <v xml:space="preserve">Bela Vista </v>
          </cell>
          <cell r="H2698">
            <v>46.78</v>
          </cell>
        </row>
        <row r="2699">
          <cell r="A2699">
            <v>46190</v>
          </cell>
          <cell r="C2699" t="str">
            <v xml:space="preserve">Bela Vista </v>
          </cell>
          <cell r="H2699">
            <v>36.020000000000003</v>
          </cell>
        </row>
        <row r="2700">
          <cell r="A2700">
            <v>46190</v>
          </cell>
          <cell r="C2700" t="str">
            <v xml:space="preserve">Bela Vista </v>
          </cell>
          <cell r="H2700">
            <v>37.020000000000003</v>
          </cell>
        </row>
        <row r="2701">
          <cell r="A2701">
            <v>46190</v>
          </cell>
          <cell r="C2701" t="str">
            <v xml:space="preserve">Bela Vista </v>
          </cell>
          <cell r="H2701">
            <v>36.78</v>
          </cell>
        </row>
        <row r="2702">
          <cell r="A2702">
            <v>46190</v>
          </cell>
          <cell r="C2702" t="str">
            <v xml:space="preserve">Bela Vista </v>
          </cell>
          <cell r="H2702">
            <v>47.18</v>
          </cell>
        </row>
        <row r="2703">
          <cell r="A2703">
            <v>46190</v>
          </cell>
          <cell r="C2703" t="str">
            <v xml:space="preserve">Bela Vista </v>
          </cell>
          <cell r="H2703">
            <v>36.380000000000003</v>
          </cell>
        </row>
        <row r="2704">
          <cell r="A2704">
            <v>46190</v>
          </cell>
          <cell r="C2704" t="str">
            <v xml:space="preserve">Bela Vista </v>
          </cell>
          <cell r="H2704">
            <v>40.14</v>
          </cell>
        </row>
        <row r="2705">
          <cell r="A2705">
            <v>46190</v>
          </cell>
          <cell r="C2705" t="str">
            <v xml:space="preserve">Bela Vista </v>
          </cell>
          <cell r="H2705">
            <v>50.5</v>
          </cell>
        </row>
        <row r="2706">
          <cell r="A2706">
            <v>46190</v>
          </cell>
          <cell r="C2706" t="str">
            <v xml:space="preserve">Bela Vista </v>
          </cell>
          <cell r="H2706">
            <v>36.840000000000003</v>
          </cell>
        </row>
        <row r="2707">
          <cell r="A2707">
            <v>46190</v>
          </cell>
          <cell r="C2707" t="str">
            <v xml:space="preserve">Bela Vista </v>
          </cell>
          <cell r="H2707">
            <v>39.299999999999997</v>
          </cell>
        </row>
        <row r="2708">
          <cell r="A2708">
            <v>46190</v>
          </cell>
          <cell r="C2708" t="str">
            <v xml:space="preserve">Bela Vista </v>
          </cell>
          <cell r="H2708">
            <v>39.119999999999997</v>
          </cell>
        </row>
        <row r="2709">
          <cell r="A2709">
            <v>46190</v>
          </cell>
          <cell r="C2709" t="str">
            <v xml:space="preserve">Bela Vista </v>
          </cell>
          <cell r="H2709">
            <v>38.979999999999997</v>
          </cell>
        </row>
        <row r="2710">
          <cell r="A2710">
            <v>46190</v>
          </cell>
          <cell r="C2710" t="str">
            <v xml:space="preserve">Bela Vista </v>
          </cell>
          <cell r="H2710">
            <v>46.68</v>
          </cell>
        </row>
        <row r="2711">
          <cell r="A2711">
            <v>46190</v>
          </cell>
          <cell r="C2711" t="str">
            <v xml:space="preserve">Bela Vista </v>
          </cell>
          <cell r="H2711">
            <v>46.68</v>
          </cell>
        </row>
        <row r="2712">
          <cell r="A2712">
            <v>46190</v>
          </cell>
          <cell r="C2712" t="str">
            <v xml:space="preserve">Bela Vista </v>
          </cell>
          <cell r="H2712">
            <v>37.020000000000003</v>
          </cell>
        </row>
        <row r="2713">
          <cell r="A2713">
            <v>46190</v>
          </cell>
          <cell r="C2713" t="str">
            <v xml:space="preserve">Bela Vista </v>
          </cell>
          <cell r="H2713">
            <v>44.68</v>
          </cell>
        </row>
        <row r="2714">
          <cell r="A2714">
            <v>46190</v>
          </cell>
          <cell r="C2714" t="str">
            <v xml:space="preserve">Bela Vista </v>
          </cell>
          <cell r="H2714">
            <v>37.200000000000003</v>
          </cell>
        </row>
        <row r="2715">
          <cell r="A2715">
            <v>46191</v>
          </cell>
          <cell r="C2715" t="str">
            <v xml:space="preserve">Bela Vista </v>
          </cell>
          <cell r="H2715">
            <v>37.08</v>
          </cell>
        </row>
        <row r="2716">
          <cell r="A2716">
            <v>46191</v>
          </cell>
          <cell r="C2716" t="str">
            <v xml:space="preserve">Bela Vista </v>
          </cell>
          <cell r="H2716">
            <v>36.46</v>
          </cell>
        </row>
        <row r="2717">
          <cell r="A2717">
            <v>46191</v>
          </cell>
          <cell r="C2717" t="str">
            <v xml:space="preserve">Bela Vista </v>
          </cell>
          <cell r="H2717">
            <v>46.64</v>
          </cell>
        </row>
        <row r="2718">
          <cell r="A2718">
            <v>46191</v>
          </cell>
          <cell r="C2718" t="str">
            <v xml:space="preserve">Bela Vista </v>
          </cell>
          <cell r="H2718">
            <v>36.119999999999997</v>
          </cell>
        </row>
        <row r="2719">
          <cell r="A2719">
            <v>46191</v>
          </cell>
          <cell r="C2719" t="str">
            <v xml:space="preserve">Bela Vista </v>
          </cell>
          <cell r="H2719">
            <v>39.32</v>
          </cell>
        </row>
        <row r="2720">
          <cell r="A2720">
            <v>46191</v>
          </cell>
          <cell r="C2720" t="str">
            <v xml:space="preserve">Bela Vista </v>
          </cell>
          <cell r="H2720">
            <v>39.32</v>
          </cell>
        </row>
        <row r="2721">
          <cell r="A2721">
            <v>46191</v>
          </cell>
          <cell r="C2721" t="str">
            <v xml:space="preserve">Bela Vista </v>
          </cell>
          <cell r="H2721">
            <v>36.840000000000003</v>
          </cell>
        </row>
        <row r="2722">
          <cell r="A2722">
            <v>46191</v>
          </cell>
          <cell r="C2722" t="str">
            <v xml:space="preserve">Bela Vista </v>
          </cell>
          <cell r="H2722">
            <v>39.32</v>
          </cell>
        </row>
        <row r="2723">
          <cell r="A2723">
            <v>46191</v>
          </cell>
          <cell r="C2723" t="str">
            <v xml:space="preserve">Bela Vista </v>
          </cell>
          <cell r="H2723">
            <v>37.06</v>
          </cell>
        </row>
        <row r="2724">
          <cell r="A2724">
            <v>46191</v>
          </cell>
          <cell r="C2724" t="str">
            <v xml:space="preserve">Bela Vista </v>
          </cell>
          <cell r="H2724">
            <v>48.58</v>
          </cell>
        </row>
        <row r="2725">
          <cell r="A2725">
            <v>46191</v>
          </cell>
          <cell r="C2725" t="str">
            <v xml:space="preserve">Bela Vista </v>
          </cell>
          <cell r="H2725">
            <v>36.82</v>
          </cell>
        </row>
        <row r="2726">
          <cell r="A2726">
            <v>46191</v>
          </cell>
          <cell r="C2726" t="str">
            <v xml:space="preserve">Bela Vista </v>
          </cell>
          <cell r="H2726">
            <v>36.840000000000003</v>
          </cell>
        </row>
        <row r="2727">
          <cell r="A2727">
            <v>46191</v>
          </cell>
          <cell r="C2727" t="str">
            <v xml:space="preserve">Bela Vista </v>
          </cell>
          <cell r="H2727">
            <v>39.96</v>
          </cell>
        </row>
        <row r="2728">
          <cell r="A2728">
            <v>46191</v>
          </cell>
          <cell r="C2728" t="str">
            <v xml:space="preserve">Bela Vista </v>
          </cell>
          <cell r="H2728">
            <v>46.72</v>
          </cell>
        </row>
        <row r="2729">
          <cell r="A2729">
            <v>46191</v>
          </cell>
          <cell r="C2729" t="str">
            <v xml:space="preserve">Itapaci </v>
          </cell>
          <cell r="H2729">
            <v>62.54</v>
          </cell>
        </row>
        <row r="2730">
          <cell r="A2730">
            <v>46191</v>
          </cell>
          <cell r="C2730" t="str">
            <v xml:space="preserve">Itapaci </v>
          </cell>
          <cell r="H2730">
            <v>61.64</v>
          </cell>
        </row>
        <row r="2731">
          <cell r="A2731">
            <v>46191</v>
          </cell>
          <cell r="C2731" t="str">
            <v xml:space="preserve">Itapaci </v>
          </cell>
          <cell r="H2731">
            <v>61.9</v>
          </cell>
        </row>
        <row r="2732">
          <cell r="A2732">
            <v>46191</v>
          </cell>
          <cell r="C2732" t="str">
            <v xml:space="preserve">Itapaci </v>
          </cell>
          <cell r="H2732">
            <v>31.8</v>
          </cell>
        </row>
        <row r="2733">
          <cell r="A2733">
            <v>46191</v>
          </cell>
          <cell r="C2733" t="str">
            <v xml:space="preserve">Itapaci </v>
          </cell>
          <cell r="H2733">
            <v>33.64</v>
          </cell>
        </row>
        <row r="2734">
          <cell r="A2734">
            <v>46191</v>
          </cell>
          <cell r="C2734" t="str">
            <v xml:space="preserve">Itapaci </v>
          </cell>
          <cell r="H2734">
            <v>34.659999999999997</v>
          </cell>
        </row>
        <row r="2735">
          <cell r="A2735">
            <v>46191</v>
          </cell>
          <cell r="C2735" t="str">
            <v xml:space="preserve">Itapaci </v>
          </cell>
          <cell r="H2735">
            <v>62.34</v>
          </cell>
        </row>
        <row r="2736">
          <cell r="A2736">
            <v>46191</v>
          </cell>
          <cell r="C2736" t="str">
            <v xml:space="preserve">Itapaci </v>
          </cell>
          <cell r="H2736">
            <v>29.7</v>
          </cell>
        </row>
        <row r="2737">
          <cell r="A2737">
            <v>46191</v>
          </cell>
          <cell r="C2737" t="str">
            <v xml:space="preserve">Itapaci </v>
          </cell>
          <cell r="H2737">
            <v>62.82</v>
          </cell>
        </row>
        <row r="2738">
          <cell r="A2738">
            <v>46191</v>
          </cell>
          <cell r="C2738" t="str">
            <v xml:space="preserve">Itapaci </v>
          </cell>
          <cell r="H2738">
            <v>34.22</v>
          </cell>
        </row>
        <row r="2739">
          <cell r="A2739">
            <v>46191</v>
          </cell>
          <cell r="C2739" t="str">
            <v xml:space="preserve">Itapaci </v>
          </cell>
          <cell r="H2739">
            <v>34.619999999999997</v>
          </cell>
        </row>
        <row r="2740">
          <cell r="A2740">
            <v>46191</v>
          </cell>
          <cell r="C2740" t="str">
            <v xml:space="preserve">Itapaci </v>
          </cell>
          <cell r="H2740">
            <v>32.54</v>
          </cell>
        </row>
        <row r="2741">
          <cell r="A2741">
            <v>46191</v>
          </cell>
          <cell r="C2741" t="str">
            <v xml:space="preserve">Itapaci </v>
          </cell>
          <cell r="H2741">
            <v>29.8</v>
          </cell>
        </row>
        <row r="2742">
          <cell r="A2742">
            <v>46191</v>
          </cell>
          <cell r="C2742" t="str">
            <v xml:space="preserve">Itapaci </v>
          </cell>
          <cell r="H2742">
            <v>34.04</v>
          </cell>
        </row>
        <row r="2743">
          <cell r="A2743">
            <v>46191</v>
          </cell>
          <cell r="C2743" t="str">
            <v xml:space="preserve">Itapaci </v>
          </cell>
          <cell r="H2743">
            <v>34.86</v>
          </cell>
        </row>
        <row r="2744">
          <cell r="A2744">
            <v>46191</v>
          </cell>
          <cell r="C2744" t="str">
            <v xml:space="preserve">Itapaci </v>
          </cell>
          <cell r="H2744">
            <v>34.78</v>
          </cell>
        </row>
        <row r="2745">
          <cell r="A2745">
            <v>46191</v>
          </cell>
          <cell r="C2745" t="str">
            <v xml:space="preserve">Itapaci </v>
          </cell>
          <cell r="H2745">
            <v>34.340000000000003</v>
          </cell>
        </row>
        <row r="2746">
          <cell r="A2746">
            <v>46191</v>
          </cell>
          <cell r="C2746" t="str">
            <v xml:space="preserve">Itapaci </v>
          </cell>
          <cell r="H2746">
            <v>34.700000000000003</v>
          </cell>
        </row>
        <row r="2747">
          <cell r="A2747">
            <v>46191</v>
          </cell>
          <cell r="C2747" t="str">
            <v xml:space="preserve">Itapaci </v>
          </cell>
          <cell r="H2747">
            <v>33.619999999999997</v>
          </cell>
        </row>
        <row r="2748">
          <cell r="A2748">
            <v>46191</v>
          </cell>
          <cell r="C2748" t="str">
            <v xml:space="preserve">Itapaci </v>
          </cell>
          <cell r="H2748">
            <v>33.619999999999997</v>
          </cell>
        </row>
        <row r="2749">
          <cell r="A2749">
            <v>46191</v>
          </cell>
          <cell r="C2749" t="str">
            <v xml:space="preserve">Itapaci </v>
          </cell>
          <cell r="H2749">
            <v>36.22</v>
          </cell>
        </row>
        <row r="2750">
          <cell r="A2750">
            <v>46191</v>
          </cell>
          <cell r="C2750" t="str">
            <v xml:space="preserve">Itapaci </v>
          </cell>
          <cell r="H2750">
            <v>37.58</v>
          </cell>
        </row>
        <row r="2751">
          <cell r="A2751">
            <v>46191</v>
          </cell>
          <cell r="C2751" t="str">
            <v xml:space="preserve">Itapaci </v>
          </cell>
          <cell r="H2751">
            <v>33.200000000000003</v>
          </cell>
        </row>
        <row r="2752">
          <cell r="A2752">
            <v>46191</v>
          </cell>
          <cell r="C2752" t="str">
            <v xml:space="preserve">Itapaci </v>
          </cell>
          <cell r="H2752">
            <v>32.08</v>
          </cell>
        </row>
        <row r="2753">
          <cell r="A2753">
            <v>46191</v>
          </cell>
          <cell r="C2753" t="str">
            <v xml:space="preserve">Itapaci </v>
          </cell>
          <cell r="H2753">
            <v>35.06</v>
          </cell>
        </row>
        <row r="2754">
          <cell r="A2754">
            <v>46191</v>
          </cell>
          <cell r="C2754" t="str">
            <v xml:space="preserve">Itapaci </v>
          </cell>
          <cell r="H2754">
            <v>34.659999999999997</v>
          </cell>
        </row>
        <row r="2755">
          <cell r="A2755">
            <v>46192</v>
          </cell>
          <cell r="C2755" t="str">
            <v xml:space="preserve">Itapaci </v>
          </cell>
          <cell r="H2755">
            <v>36.74</v>
          </cell>
        </row>
        <row r="2756">
          <cell r="A2756">
            <v>46192</v>
          </cell>
          <cell r="C2756" t="str">
            <v xml:space="preserve">Itapaci </v>
          </cell>
          <cell r="H2756">
            <v>34.28</v>
          </cell>
        </row>
        <row r="2757">
          <cell r="A2757">
            <v>46192</v>
          </cell>
          <cell r="C2757" t="str">
            <v xml:space="preserve">Itapaci </v>
          </cell>
          <cell r="H2757">
            <v>33.479999999999997</v>
          </cell>
        </row>
        <row r="2758">
          <cell r="A2758">
            <v>46192</v>
          </cell>
          <cell r="C2758" t="str">
            <v xml:space="preserve">Itapaci </v>
          </cell>
          <cell r="H2758">
            <v>34.119999999999997</v>
          </cell>
        </row>
        <row r="2759">
          <cell r="A2759">
            <v>46192</v>
          </cell>
          <cell r="C2759" t="str">
            <v xml:space="preserve">Itapaci </v>
          </cell>
          <cell r="H2759">
            <v>61.6</v>
          </cell>
        </row>
        <row r="2760">
          <cell r="A2760">
            <v>46192</v>
          </cell>
          <cell r="C2760" t="str">
            <v xml:space="preserve">Itapaci </v>
          </cell>
          <cell r="H2760">
            <v>43.08</v>
          </cell>
        </row>
        <row r="2761">
          <cell r="A2761">
            <v>46192</v>
          </cell>
          <cell r="C2761" t="str">
            <v xml:space="preserve">Itapaci </v>
          </cell>
          <cell r="H2761">
            <v>34.979999999999997</v>
          </cell>
        </row>
        <row r="2762">
          <cell r="A2762">
            <v>46192</v>
          </cell>
          <cell r="C2762" t="str">
            <v xml:space="preserve">Itapaci </v>
          </cell>
          <cell r="H2762">
            <v>36.020000000000003</v>
          </cell>
        </row>
        <row r="2763">
          <cell r="A2763">
            <v>46192</v>
          </cell>
          <cell r="C2763" t="str">
            <v xml:space="preserve">Itapaci </v>
          </cell>
          <cell r="H2763">
            <v>59.3</v>
          </cell>
        </row>
        <row r="2764">
          <cell r="A2764">
            <v>46192</v>
          </cell>
          <cell r="C2764" t="str">
            <v xml:space="preserve">Itapaci </v>
          </cell>
          <cell r="H2764">
            <v>60.4</v>
          </cell>
        </row>
        <row r="2765">
          <cell r="A2765">
            <v>46192</v>
          </cell>
          <cell r="C2765" t="str">
            <v xml:space="preserve">Itapaci </v>
          </cell>
          <cell r="H2765">
            <v>34.86</v>
          </cell>
        </row>
        <row r="2766">
          <cell r="A2766">
            <v>46192</v>
          </cell>
          <cell r="C2766" t="str">
            <v xml:space="preserve">Itapaci </v>
          </cell>
          <cell r="H2766">
            <v>62.18</v>
          </cell>
        </row>
        <row r="2767">
          <cell r="A2767">
            <v>46192</v>
          </cell>
          <cell r="C2767" t="str">
            <v xml:space="preserve">Itapaci </v>
          </cell>
          <cell r="H2767">
            <v>48.08</v>
          </cell>
        </row>
        <row r="2768">
          <cell r="A2768">
            <v>46192</v>
          </cell>
          <cell r="C2768" t="str">
            <v xml:space="preserve">Itapaci </v>
          </cell>
          <cell r="H2768">
            <v>31.92</v>
          </cell>
        </row>
        <row r="2769">
          <cell r="A2769">
            <v>46192</v>
          </cell>
          <cell r="C2769" t="str">
            <v xml:space="preserve">Itapaci </v>
          </cell>
          <cell r="H2769">
            <v>34.56</v>
          </cell>
        </row>
        <row r="2770">
          <cell r="A2770">
            <v>46192</v>
          </cell>
          <cell r="C2770" t="str">
            <v xml:space="preserve">Itapaci </v>
          </cell>
          <cell r="H2770">
            <v>34.56</v>
          </cell>
        </row>
        <row r="2771">
          <cell r="A2771">
            <v>46192</v>
          </cell>
          <cell r="C2771" t="str">
            <v xml:space="preserve">Itapaci </v>
          </cell>
          <cell r="H2771">
            <v>34.26</v>
          </cell>
        </row>
        <row r="2772">
          <cell r="A2772">
            <v>46192</v>
          </cell>
          <cell r="C2772" t="str">
            <v xml:space="preserve">Itapaci </v>
          </cell>
          <cell r="H2772">
            <v>34.659999999999997</v>
          </cell>
        </row>
        <row r="2773">
          <cell r="A2773">
            <v>46192</v>
          </cell>
          <cell r="C2773" t="str">
            <v xml:space="preserve">Itapaci </v>
          </cell>
          <cell r="H2773">
            <v>34.020000000000003</v>
          </cell>
        </row>
        <row r="2774">
          <cell r="A2774">
            <v>46192</v>
          </cell>
          <cell r="C2774" t="str">
            <v xml:space="preserve">Itapaci </v>
          </cell>
          <cell r="H2774">
            <v>34.520000000000003</v>
          </cell>
        </row>
        <row r="2775">
          <cell r="A2775">
            <v>46192</v>
          </cell>
          <cell r="C2775" t="str">
            <v xml:space="preserve">Itapaci </v>
          </cell>
          <cell r="H2775">
            <v>32.08</v>
          </cell>
        </row>
        <row r="2776">
          <cell r="A2776">
            <v>46192</v>
          </cell>
          <cell r="C2776" t="str">
            <v xml:space="preserve">Itapaci </v>
          </cell>
          <cell r="H2776">
            <v>30.16</v>
          </cell>
        </row>
        <row r="2777">
          <cell r="A2777">
            <v>46192</v>
          </cell>
          <cell r="C2777" t="str">
            <v xml:space="preserve">Itapaci </v>
          </cell>
          <cell r="H2777">
            <v>32.64</v>
          </cell>
        </row>
        <row r="2778">
          <cell r="A2778">
            <v>46192</v>
          </cell>
          <cell r="C2778" t="str">
            <v xml:space="preserve">Itapaci </v>
          </cell>
          <cell r="H2778">
            <v>32.24</v>
          </cell>
        </row>
        <row r="2779">
          <cell r="A2779">
            <v>46192</v>
          </cell>
          <cell r="C2779" t="str">
            <v xml:space="preserve">Itapaci </v>
          </cell>
          <cell r="H2779">
            <v>33.119999999999997</v>
          </cell>
        </row>
        <row r="2780">
          <cell r="A2780">
            <v>46192</v>
          </cell>
          <cell r="C2780" t="str">
            <v xml:space="preserve">Itapaci </v>
          </cell>
          <cell r="H2780">
            <v>34.799999999999997</v>
          </cell>
        </row>
        <row r="2781">
          <cell r="A2781">
            <v>46192</v>
          </cell>
          <cell r="C2781" t="str">
            <v xml:space="preserve">Bela Vista </v>
          </cell>
          <cell r="H2781">
            <v>39.799999999999997</v>
          </cell>
        </row>
        <row r="2782">
          <cell r="A2782">
            <v>46192</v>
          </cell>
          <cell r="C2782" t="str">
            <v xml:space="preserve">Bela Vista </v>
          </cell>
          <cell r="H2782">
            <v>37.28</v>
          </cell>
        </row>
        <row r="2783">
          <cell r="A2783">
            <v>46192</v>
          </cell>
          <cell r="C2783" t="str">
            <v xml:space="preserve">Bela Vista </v>
          </cell>
          <cell r="H2783">
            <v>37.24</v>
          </cell>
        </row>
        <row r="2784">
          <cell r="A2784">
            <v>46192</v>
          </cell>
          <cell r="C2784" t="str">
            <v xml:space="preserve">Bela Vista </v>
          </cell>
          <cell r="H2784">
            <v>39.119999999999997</v>
          </cell>
        </row>
        <row r="2785">
          <cell r="A2785">
            <v>46192</v>
          </cell>
          <cell r="C2785" t="str">
            <v xml:space="preserve">Bela Vista </v>
          </cell>
          <cell r="H2785">
            <v>37.06</v>
          </cell>
        </row>
        <row r="2786">
          <cell r="A2786">
            <v>46192</v>
          </cell>
          <cell r="C2786" t="str">
            <v xml:space="preserve">Bela Vista </v>
          </cell>
          <cell r="H2786">
            <v>47.34</v>
          </cell>
        </row>
        <row r="2787">
          <cell r="A2787">
            <v>46192</v>
          </cell>
          <cell r="C2787" t="str">
            <v xml:space="preserve">Bela Vista </v>
          </cell>
          <cell r="H2787">
            <v>37.4</v>
          </cell>
        </row>
        <row r="2788">
          <cell r="A2788">
            <v>46192</v>
          </cell>
          <cell r="C2788" t="str">
            <v xml:space="preserve">Bela Vista </v>
          </cell>
          <cell r="H2788">
            <v>37.659999999999997</v>
          </cell>
        </row>
        <row r="2789">
          <cell r="A2789">
            <v>46192</v>
          </cell>
          <cell r="C2789" t="str">
            <v xml:space="preserve">Bela Vista </v>
          </cell>
          <cell r="H2789">
            <v>37.28</v>
          </cell>
        </row>
        <row r="2790">
          <cell r="A2790">
            <v>46192</v>
          </cell>
          <cell r="C2790" t="str">
            <v xml:space="preserve">Bela Vista </v>
          </cell>
          <cell r="H2790">
            <v>39.54</v>
          </cell>
        </row>
        <row r="2791">
          <cell r="A2791">
            <v>46192</v>
          </cell>
          <cell r="C2791" t="str">
            <v xml:space="preserve">Bela Vista </v>
          </cell>
          <cell r="H2791">
            <v>42.02</v>
          </cell>
        </row>
        <row r="2792">
          <cell r="A2792">
            <v>46192</v>
          </cell>
          <cell r="C2792" t="str">
            <v xml:space="preserve">Bela Vista </v>
          </cell>
          <cell r="H2792">
            <v>39.700000000000003</v>
          </cell>
        </row>
        <row r="2793">
          <cell r="A2793">
            <v>46192</v>
          </cell>
          <cell r="C2793" t="str">
            <v xml:space="preserve">Bela Vista </v>
          </cell>
          <cell r="H2793">
            <v>39.08</v>
          </cell>
        </row>
        <row r="2794">
          <cell r="A2794">
            <v>46192</v>
          </cell>
          <cell r="C2794" t="str">
            <v xml:space="preserve">Bela Vista </v>
          </cell>
          <cell r="H2794">
            <v>36.04</v>
          </cell>
        </row>
        <row r="2795">
          <cell r="A2795">
            <v>46192</v>
          </cell>
          <cell r="C2795" t="str">
            <v xml:space="preserve">Bela Vista </v>
          </cell>
          <cell r="H2795">
            <v>46.98</v>
          </cell>
        </row>
        <row r="2796">
          <cell r="A2796">
            <v>46192</v>
          </cell>
          <cell r="C2796" t="str">
            <v xml:space="preserve">Bela Vista </v>
          </cell>
          <cell r="H2796">
            <v>36.58</v>
          </cell>
        </row>
        <row r="2797">
          <cell r="A2797">
            <v>46192</v>
          </cell>
          <cell r="C2797" t="str">
            <v xml:space="preserve">Bela Vista </v>
          </cell>
          <cell r="H2797">
            <v>36.46</v>
          </cell>
        </row>
        <row r="2798">
          <cell r="A2798">
            <v>46195</v>
          </cell>
          <cell r="C2798" t="str">
            <v xml:space="preserve">Bela Vista </v>
          </cell>
          <cell r="H2798">
            <v>46.08</v>
          </cell>
        </row>
        <row r="2799">
          <cell r="A2799">
            <v>46192</v>
          </cell>
          <cell r="C2799" t="str">
            <v xml:space="preserve">Itapaci </v>
          </cell>
          <cell r="H2799">
            <v>62.48</v>
          </cell>
        </row>
        <row r="2800">
          <cell r="A2800">
            <v>46192</v>
          </cell>
          <cell r="C2800" t="str">
            <v xml:space="preserve">Itapaci </v>
          </cell>
          <cell r="H2800">
            <v>33.24</v>
          </cell>
        </row>
        <row r="2801">
          <cell r="A2801">
            <v>46192</v>
          </cell>
          <cell r="C2801" t="str">
            <v xml:space="preserve">Itapaci </v>
          </cell>
          <cell r="H2801">
            <v>34.200000000000003</v>
          </cell>
        </row>
        <row r="2802">
          <cell r="A2802">
            <v>46192</v>
          </cell>
          <cell r="C2802" t="str">
            <v xml:space="preserve">Itapaci </v>
          </cell>
          <cell r="H2802">
            <v>32.08</v>
          </cell>
        </row>
        <row r="2803">
          <cell r="A2803">
            <v>46192</v>
          </cell>
          <cell r="C2803" t="str">
            <v xml:space="preserve">Itapaci </v>
          </cell>
          <cell r="H2803">
            <v>32.6</v>
          </cell>
        </row>
        <row r="2804">
          <cell r="A2804">
            <v>46192</v>
          </cell>
          <cell r="C2804" t="str">
            <v xml:space="preserve">Itapaci </v>
          </cell>
          <cell r="H2804">
            <v>33</v>
          </cell>
        </row>
        <row r="2805">
          <cell r="A2805">
            <v>46192</v>
          </cell>
          <cell r="C2805" t="str">
            <v xml:space="preserve">Itapaci </v>
          </cell>
          <cell r="H2805">
            <v>35.58</v>
          </cell>
        </row>
        <row r="2806">
          <cell r="A2806">
            <v>46192</v>
          </cell>
          <cell r="C2806" t="str">
            <v xml:space="preserve">Itapaci </v>
          </cell>
          <cell r="H2806">
            <v>35.799999999999997</v>
          </cell>
        </row>
        <row r="2807">
          <cell r="A2807">
            <v>46193</v>
          </cell>
          <cell r="C2807" t="str">
            <v xml:space="preserve">Itapaci </v>
          </cell>
          <cell r="H2807">
            <v>32.28</v>
          </cell>
        </row>
        <row r="2808">
          <cell r="A2808">
            <v>46192</v>
          </cell>
          <cell r="C2808" t="str">
            <v xml:space="preserve">Itapaci </v>
          </cell>
          <cell r="H2808">
            <v>34.86</v>
          </cell>
        </row>
        <row r="2809">
          <cell r="A2809">
            <v>46192</v>
          </cell>
          <cell r="C2809" t="str">
            <v xml:space="preserve">Itapaci </v>
          </cell>
          <cell r="H2809">
            <v>30.44</v>
          </cell>
        </row>
        <row r="2810">
          <cell r="A2810">
            <v>46192</v>
          </cell>
          <cell r="C2810" t="str">
            <v xml:space="preserve">Itapaci </v>
          </cell>
          <cell r="H2810">
            <v>61.2</v>
          </cell>
        </row>
        <row r="2811">
          <cell r="A2811">
            <v>46192</v>
          </cell>
          <cell r="C2811" t="str">
            <v xml:space="preserve">Itapaci </v>
          </cell>
          <cell r="H2811">
            <v>34.14</v>
          </cell>
        </row>
        <row r="2812">
          <cell r="A2812">
            <v>46192</v>
          </cell>
          <cell r="C2812" t="str">
            <v xml:space="preserve">Itapaci </v>
          </cell>
          <cell r="H2812">
            <v>65.319999999999993</v>
          </cell>
        </row>
        <row r="2813">
          <cell r="A2813">
            <v>46192</v>
          </cell>
          <cell r="C2813" t="str">
            <v xml:space="preserve">Itapaci </v>
          </cell>
          <cell r="H2813">
            <v>46.06</v>
          </cell>
        </row>
        <row r="2814">
          <cell r="A2814">
            <v>46192</v>
          </cell>
          <cell r="C2814" t="str">
            <v xml:space="preserve">Itapaci </v>
          </cell>
          <cell r="H2814">
            <v>32.68</v>
          </cell>
        </row>
        <row r="2815">
          <cell r="A2815">
            <v>46193</v>
          </cell>
          <cell r="C2815" t="str">
            <v xml:space="preserve">Itapaci </v>
          </cell>
          <cell r="H2815">
            <v>34.44</v>
          </cell>
        </row>
        <row r="2816">
          <cell r="A2816">
            <v>46192</v>
          </cell>
          <cell r="C2816" t="str">
            <v xml:space="preserve">Itapaci </v>
          </cell>
          <cell r="H2816">
            <v>34.76</v>
          </cell>
        </row>
        <row r="2817">
          <cell r="A2817">
            <v>46193</v>
          </cell>
          <cell r="C2817" t="str">
            <v xml:space="preserve">Itapaci </v>
          </cell>
          <cell r="H2817">
            <v>34.26</v>
          </cell>
        </row>
        <row r="2818">
          <cell r="A2818">
            <v>46195</v>
          </cell>
          <cell r="C2818" t="str">
            <v xml:space="preserve">Itapaci </v>
          </cell>
          <cell r="H2818">
            <v>34.659999999999997</v>
          </cell>
        </row>
        <row r="2819">
          <cell r="A2819">
            <v>46195</v>
          </cell>
          <cell r="C2819" t="str">
            <v xml:space="preserve">Itapaci </v>
          </cell>
          <cell r="H2819">
            <v>34.979999999999997</v>
          </cell>
        </row>
        <row r="2820">
          <cell r="A2820">
            <v>46193</v>
          </cell>
          <cell r="C2820" t="str">
            <v xml:space="preserve">Itapaci </v>
          </cell>
          <cell r="H2820">
            <v>35.58</v>
          </cell>
        </row>
        <row r="2821">
          <cell r="A2821">
            <v>46192</v>
          </cell>
          <cell r="C2821" t="str">
            <v xml:space="preserve">Itapaci </v>
          </cell>
          <cell r="H2821">
            <v>34.14</v>
          </cell>
        </row>
        <row r="2822">
          <cell r="A2822">
            <v>46193</v>
          </cell>
          <cell r="C2822" t="str">
            <v xml:space="preserve">Itapaci </v>
          </cell>
          <cell r="H2822">
            <v>34.799999999999997</v>
          </cell>
        </row>
        <row r="2823">
          <cell r="A2823">
            <v>46193</v>
          </cell>
          <cell r="C2823" t="str">
            <v xml:space="preserve">Itapaci </v>
          </cell>
          <cell r="H2823">
            <v>31.52</v>
          </cell>
        </row>
        <row r="2824">
          <cell r="A2824">
            <v>46193</v>
          </cell>
          <cell r="C2824" t="str">
            <v xml:space="preserve">Itapaci </v>
          </cell>
          <cell r="H2824">
            <v>36.32</v>
          </cell>
        </row>
        <row r="2825">
          <cell r="A2825">
            <v>46193</v>
          </cell>
          <cell r="C2825" t="str">
            <v xml:space="preserve">Itapaci </v>
          </cell>
          <cell r="H2825">
            <v>33.840000000000003</v>
          </cell>
        </row>
        <row r="2826">
          <cell r="A2826">
            <v>46193</v>
          </cell>
          <cell r="C2826" t="str">
            <v xml:space="preserve">Itapaci </v>
          </cell>
          <cell r="H2826">
            <v>35.24</v>
          </cell>
        </row>
        <row r="2827">
          <cell r="A2827">
            <v>46192</v>
          </cell>
          <cell r="C2827" t="str">
            <v xml:space="preserve">Itapaci </v>
          </cell>
          <cell r="H2827">
            <v>58.74</v>
          </cell>
        </row>
        <row r="2828">
          <cell r="A2828">
            <v>46193</v>
          </cell>
          <cell r="C2828" t="str">
            <v xml:space="preserve">Itapaci </v>
          </cell>
          <cell r="H2828">
            <v>33.78</v>
          </cell>
        </row>
        <row r="2829">
          <cell r="A2829">
            <v>46193</v>
          </cell>
          <cell r="C2829" t="str">
            <v xml:space="preserve">Itapaci </v>
          </cell>
          <cell r="H2829">
            <v>34.42</v>
          </cell>
        </row>
        <row r="2830">
          <cell r="A2830">
            <v>46193</v>
          </cell>
          <cell r="C2830" t="str">
            <v xml:space="preserve">Itapaci </v>
          </cell>
          <cell r="H2830">
            <v>37.72</v>
          </cell>
        </row>
        <row r="2831">
          <cell r="A2831">
            <v>46193</v>
          </cell>
          <cell r="C2831" t="str">
            <v xml:space="preserve">Itapaci </v>
          </cell>
          <cell r="H2831">
            <v>37.380000000000003</v>
          </cell>
        </row>
        <row r="2832">
          <cell r="A2832">
            <v>46193</v>
          </cell>
          <cell r="C2832" t="str">
            <v xml:space="preserve">Itapaci </v>
          </cell>
          <cell r="H2832">
            <v>35.46</v>
          </cell>
        </row>
        <row r="2833">
          <cell r="A2833">
            <v>46193</v>
          </cell>
          <cell r="C2833" t="str">
            <v xml:space="preserve">Itapaci </v>
          </cell>
          <cell r="H2833">
            <v>35.56</v>
          </cell>
        </row>
        <row r="2834">
          <cell r="A2834">
            <v>46193</v>
          </cell>
          <cell r="C2834" t="str">
            <v xml:space="preserve">Itapaci </v>
          </cell>
          <cell r="H2834">
            <v>35.36</v>
          </cell>
        </row>
        <row r="2835">
          <cell r="A2835">
            <v>46193</v>
          </cell>
          <cell r="C2835" t="str">
            <v xml:space="preserve">Itapaci </v>
          </cell>
          <cell r="H2835">
            <v>35.46</v>
          </cell>
        </row>
        <row r="2836">
          <cell r="A2836">
            <v>46193</v>
          </cell>
          <cell r="C2836" t="str">
            <v xml:space="preserve">Itapaci </v>
          </cell>
          <cell r="H2836">
            <v>33.64</v>
          </cell>
        </row>
        <row r="2837">
          <cell r="A2837">
            <v>46193</v>
          </cell>
          <cell r="C2837" t="str">
            <v xml:space="preserve">Itapaci </v>
          </cell>
          <cell r="H2837">
            <v>33.78</v>
          </cell>
        </row>
        <row r="2838">
          <cell r="A2838">
            <v>46193</v>
          </cell>
          <cell r="C2838" t="str">
            <v xml:space="preserve">Itapaci </v>
          </cell>
          <cell r="H2838">
            <v>69.7</v>
          </cell>
        </row>
        <row r="2839">
          <cell r="A2839">
            <v>46193</v>
          </cell>
          <cell r="C2839" t="str">
            <v xml:space="preserve">Itapaci </v>
          </cell>
          <cell r="H2839">
            <v>36.159999999999997</v>
          </cell>
        </row>
        <row r="2840">
          <cell r="A2840">
            <v>46193</v>
          </cell>
          <cell r="C2840" t="str">
            <v xml:space="preserve">Itapaci </v>
          </cell>
          <cell r="H2840">
            <v>64.42</v>
          </cell>
        </row>
        <row r="2841">
          <cell r="A2841">
            <v>46193</v>
          </cell>
          <cell r="C2841" t="str">
            <v xml:space="preserve">Itapaci </v>
          </cell>
          <cell r="H2841">
            <v>34.58</v>
          </cell>
        </row>
        <row r="2842">
          <cell r="A2842">
            <v>46193</v>
          </cell>
          <cell r="C2842" t="str">
            <v xml:space="preserve">Itapaci </v>
          </cell>
          <cell r="H2842">
            <v>63.54</v>
          </cell>
        </row>
        <row r="2843">
          <cell r="A2843">
            <v>46193</v>
          </cell>
          <cell r="C2843" t="str">
            <v xml:space="preserve">Itapaci </v>
          </cell>
          <cell r="H2843">
            <v>34.86</v>
          </cell>
        </row>
        <row r="2844">
          <cell r="A2844">
            <v>46193</v>
          </cell>
          <cell r="C2844" t="str">
            <v xml:space="preserve">Itapaci </v>
          </cell>
          <cell r="H2844">
            <v>64.06</v>
          </cell>
        </row>
        <row r="2845">
          <cell r="A2845">
            <v>46193</v>
          </cell>
          <cell r="C2845" t="str">
            <v xml:space="preserve">Itapaci </v>
          </cell>
          <cell r="H2845">
            <v>40.74</v>
          </cell>
        </row>
        <row r="2846">
          <cell r="A2846">
            <v>46193</v>
          </cell>
          <cell r="C2846" t="str">
            <v xml:space="preserve">Itapaci </v>
          </cell>
          <cell r="H2846">
            <v>33.18</v>
          </cell>
        </row>
        <row r="2847">
          <cell r="A2847">
            <v>46193</v>
          </cell>
          <cell r="C2847" t="str">
            <v xml:space="preserve">Itapaci </v>
          </cell>
          <cell r="H2847">
            <v>31.52</v>
          </cell>
        </row>
        <row r="2848">
          <cell r="A2848">
            <v>46193</v>
          </cell>
          <cell r="C2848" t="str">
            <v xml:space="preserve">Itapaci </v>
          </cell>
          <cell r="H2848">
            <v>33.880000000000003</v>
          </cell>
        </row>
        <row r="2849">
          <cell r="A2849">
            <v>46193</v>
          </cell>
          <cell r="C2849" t="str">
            <v xml:space="preserve">Itapaci </v>
          </cell>
          <cell r="H2849">
            <v>65.16</v>
          </cell>
        </row>
        <row r="2850">
          <cell r="A2850">
            <v>46193</v>
          </cell>
          <cell r="C2850" t="str">
            <v xml:space="preserve">Itapaci </v>
          </cell>
          <cell r="H2850">
            <v>36.96</v>
          </cell>
        </row>
        <row r="2851">
          <cell r="A2851">
            <v>46195</v>
          </cell>
          <cell r="C2851" t="str">
            <v xml:space="preserve">Itapaci </v>
          </cell>
          <cell r="H2851">
            <v>61.92</v>
          </cell>
        </row>
        <row r="2852">
          <cell r="A2852">
            <v>46193</v>
          </cell>
          <cell r="C2852" t="str">
            <v xml:space="preserve">Itapaci </v>
          </cell>
          <cell r="H2852">
            <v>32.42</v>
          </cell>
        </row>
        <row r="2853">
          <cell r="A2853">
            <v>46193</v>
          </cell>
          <cell r="C2853" t="str">
            <v xml:space="preserve">Itapaci </v>
          </cell>
          <cell r="H2853">
            <v>33.86</v>
          </cell>
        </row>
        <row r="2854">
          <cell r="A2854">
            <v>46195</v>
          </cell>
          <cell r="C2854" t="str">
            <v xml:space="preserve">Itapaci </v>
          </cell>
          <cell r="H2854">
            <v>41.62</v>
          </cell>
        </row>
        <row r="2855">
          <cell r="A2855">
            <v>46193</v>
          </cell>
          <cell r="C2855" t="str">
            <v xml:space="preserve">Itapaci </v>
          </cell>
          <cell r="H2855">
            <v>33.18</v>
          </cell>
        </row>
        <row r="2856">
          <cell r="A2856">
            <v>46195</v>
          </cell>
          <cell r="C2856" t="str">
            <v xml:space="preserve">Itapaci </v>
          </cell>
          <cell r="H2856">
            <v>34.119999999999997</v>
          </cell>
        </row>
        <row r="2857">
          <cell r="A2857">
            <v>46195</v>
          </cell>
          <cell r="C2857" t="str">
            <v xml:space="preserve">Itapaci </v>
          </cell>
          <cell r="H2857">
            <v>35.1</v>
          </cell>
        </row>
        <row r="2858">
          <cell r="A2858">
            <v>46195</v>
          </cell>
          <cell r="C2858" t="str">
            <v xml:space="preserve">Itapaci </v>
          </cell>
          <cell r="H2858">
            <v>33.96</v>
          </cell>
        </row>
        <row r="2859">
          <cell r="A2859">
            <v>46195</v>
          </cell>
          <cell r="C2859" t="str">
            <v xml:space="preserve">Itapaci </v>
          </cell>
          <cell r="H2859">
            <v>34.08</v>
          </cell>
        </row>
        <row r="2860">
          <cell r="A2860">
            <v>46195</v>
          </cell>
          <cell r="C2860" t="str">
            <v xml:space="preserve">Itapaci </v>
          </cell>
          <cell r="H2860">
            <v>34.72</v>
          </cell>
        </row>
        <row r="2861">
          <cell r="A2861">
            <v>46195</v>
          </cell>
          <cell r="C2861" t="str">
            <v xml:space="preserve">Itapaci </v>
          </cell>
          <cell r="H2861">
            <v>35.54</v>
          </cell>
        </row>
        <row r="2862">
          <cell r="A2862">
            <v>46195</v>
          </cell>
          <cell r="C2862" t="str">
            <v xml:space="preserve">Itapaci </v>
          </cell>
          <cell r="H2862">
            <v>47.66</v>
          </cell>
        </row>
        <row r="2863">
          <cell r="A2863">
            <v>46195</v>
          </cell>
          <cell r="C2863" t="str">
            <v xml:space="preserve">Itapaci </v>
          </cell>
          <cell r="H2863">
            <v>30.8</v>
          </cell>
        </row>
        <row r="2864">
          <cell r="A2864">
            <v>46195</v>
          </cell>
          <cell r="C2864" t="str">
            <v xml:space="preserve">Itapaci </v>
          </cell>
          <cell r="H2864">
            <v>42.54</v>
          </cell>
        </row>
        <row r="2865">
          <cell r="A2865">
            <v>46193</v>
          </cell>
          <cell r="C2865" t="str">
            <v xml:space="preserve">Bela Vista </v>
          </cell>
          <cell r="H2865">
            <v>46.04</v>
          </cell>
        </row>
        <row r="2866">
          <cell r="A2866">
            <v>46193</v>
          </cell>
          <cell r="C2866" t="str">
            <v xml:space="preserve">Bela Vista </v>
          </cell>
          <cell r="H2866">
            <v>36.72</v>
          </cell>
        </row>
        <row r="2867">
          <cell r="A2867">
            <v>46193</v>
          </cell>
          <cell r="C2867" t="str">
            <v xml:space="preserve">Bela Vista </v>
          </cell>
          <cell r="H2867">
            <v>37.119999999999997</v>
          </cell>
        </row>
        <row r="2868">
          <cell r="A2868">
            <v>46195</v>
          </cell>
          <cell r="C2868" t="str">
            <v xml:space="preserve">Itapaci </v>
          </cell>
          <cell r="H2868">
            <v>62.3</v>
          </cell>
        </row>
        <row r="2869">
          <cell r="A2869">
            <v>46195</v>
          </cell>
          <cell r="C2869" t="str">
            <v xml:space="preserve">Itapaci </v>
          </cell>
          <cell r="H2869">
            <v>34.020000000000003</v>
          </cell>
        </row>
        <row r="2870">
          <cell r="A2870">
            <v>46195</v>
          </cell>
          <cell r="C2870" t="str">
            <v xml:space="preserve">Itapaci </v>
          </cell>
          <cell r="H2870">
            <v>34.94</v>
          </cell>
        </row>
        <row r="2871">
          <cell r="A2871">
            <v>46195</v>
          </cell>
          <cell r="C2871" t="str">
            <v xml:space="preserve">Itapaci </v>
          </cell>
          <cell r="H2871">
            <v>62.22</v>
          </cell>
        </row>
        <row r="2872">
          <cell r="A2872">
            <v>46195</v>
          </cell>
          <cell r="C2872" t="str">
            <v xml:space="preserve">Itapaci </v>
          </cell>
          <cell r="H2872">
            <v>54.56</v>
          </cell>
        </row>
        <row r="2873">
          <cell r="A2873">
            <v>46195</v>
          </cell>
          <cell r="C2873" t="str">
            <v xml:space="preserve">Itapaci </v>
          </cell>
          <cell r="H2873">
            <v>53.92</v>
          </cell>
        </row>
        <row r="2874">
          <cell r="A2874">
            <v>46195</v>
          </cell>
          <cell r="C2874" t="str">
            <v xml:space="preserve">Itapaci </v>
          </cell>
          <cell r="H2874">
            <v>34.46</v>
          </cell>
        </row>
        <row r="2875">
          <cell r="A2875">
            <v>46195</v>
          </cell>
          <cell r="C2875" t="str">
            <v xml:space="preserve">Itapaci </v>
          </cell>
          <cell r="H2875">
            <v>61.18</v>
          </cell>
        </row>
        <row r="2876">
          <cell r="A2876">
            <v>46195</v>
          </cell>
          <cell r="C2876" t="str">
            <v xml:space="preserve">Itapaci </v>
          </cell>
          <cell r="H2876">
            <v>48.24</v>
          </cell>
        </row>
        <row r="2877">
          <cell r="A2877">
            <v>46195</v>
          </cell>
          <cell r="C2877" t="str">
            <v xml:space="preserve">Itapaci </v>
          </cell>
          <cell r="H2877">
            <v>34.76</v>
          </cell>
        </row>
        <row r="2878">
          <cell r="A2878">
            <v>46195</v>
          </cell>
          <cell r="C2878" t="str">
            <v xml:space="preserve">Itapaci </v>
          </cell>
          <cell r="H2878">
            <v>32.36</v>
          </cell>
        </row>
        <row r="2879">
          <cell r="A2879">
            <v>46195</v>
          </cell>
          <cell r="C2879" t="str">
            <v xml:space="preserve">Itapaci </v>
          </cell>
          <cell r="H2879">
            <v>33.56</v>
          </cell>
        </row>
        <row r="2880">
          <cell r="A2880">
            <v>46195</v>
          </cell>
          <cell r="C2880" t="str">
            <v xml:space="preserve">Itapaci </v>
          </cell>
          <cell r="H2880">
            <v>36.08</v>
          </cell>
        </row>
        <row r="2881">
          <cell r="A2881">
            <v>46195</v>
          </cell>
          <cell r="C2881" t="str">
            <v xml:space="preserve">Itapaci </v>
          </cell>
          <cell r="H2881">
            <v>34.42</v>
          </cell>
        </row>
        <row r="2882">
          <cell r="A2882">
            <v>46195</v>
          </cell>
          <cell r="C2882" t="str">
            <v xml:space="preserve">Itapaci </v>
          </cell>
          <cell r="H2882">
            <v>33.340000000000003</v>
          </cell>
        </row>
        <row r="2883">
          <cell r="A2883">
            <v>46195</v>
          </cell>
          <cell r="C2883" t="str">
            <v xml:space="preserve">Itapaci </v>
          </cell>
          <cell r="H2883">
            <v>67.44</v>
          </cell>
        </row>
        <row r="2884">
          <cell r="A2884">
            <v>46195</v>
          </cell>
          <cell r="C2884" t="str">
            <v xml:space="preserve">Itapaci </v>
          </cell>
          <cell r="H2884">
            <v>34.86</v>
          </cell>
        </row>
        <row r="2885">
          <cell r="A2885">
            <v>46195</v>
          </cell>
          <cell r="C2885" t="str">
            <v xml:space="preserve">Itapaci </v>
          </cell>
          <cell r="H2885">
            <v>40.72</v>
          </cell>
        </row>
        <row r="2886">
          <cell r="A2886">
            <v>46195</v>
          </cell>
          <cell r="C2886" t="str">
            <v xml:space="preserve">Itapaci </v>
          </cell>
          <cell r="H2886">
            <v>32.86</v>
          </cell>
        </row>
        <row r="2887">
          <cell r="A2887">
            <v>46195</v>
          </cell>
          <cell r="C2887" t="str">
            <v xml:space="preserve">Itapaci </v>
          </cell>
          <cell r="H2887">
            <v>37.46</v>
          </cell>
        </row>
        <row r="2888">
          <cell r="A2888">
            <v>46195</v>
          </cell>
          <cell r="C2888" t="str">
            <v xml:space="preserve">Itapaci </v>
          </cell>
          <cell r="H2888">
            <v>36.380000000000003</v>
          </cell>
        </row>
        <row r="2889">
          <cell r="A2889">
            <v>46195</v>
          </cell>
          <cell r="C2889" t="str">
            <v xml:space="preserve">Itapaci </v>
          </cell>
          <cell r="H2889">
            <v>34.92</v>
          </cell>
        </row>
        <row r="2890">
          <cell r="A2890">
            <v>46195</v>
          </cell>
          <cell r="C2890" t="str">
            <v xml:space="preserve">Itapaci </v>
          </cell>
          <cell r="H2890">
            <v>30.06</v>
          </cell>
        </row>
        <row r="2891">
          <cell r="A2891">
            <v>46195</v>
          </cell>
          <cell r="C2891" t="str">
            <v xml:space="preserve">Itapaci </v>
          </cell>
          <cell r="H2891">
            <v>34.86</v>
          </cell>
        </row>
        <row r="2892">
          <cell r="A2892">
            <v>46195</v>
          </cell>
          <cell r="C2892" t="str">
            <v xml:space="preserve">Itapaci </v>
          </cell>
          <cell r="H2892">
            <v>34.28</v>
          </cell>
        </row>
        <row r="2893">
          <cell r="A2893">
            <v>46195</v>
          </cell>
          <cell r="C2893" t="str">
            <v xml:space="preserve">Itapaci </v>
          </cell>
          <cell r="H2893">
            <v>61.42</v>
          </cell>
        </row>
        <row r="2894">
          <cell r="A2894">
            <v>46196</v>
          </cell>
          <cell r="C2894" t="str">
            <v xml:space="preserve">Itapaci </v>
          </cell>
          <cell r="H2894">
            <v>33.42</v>
          </cell>
        </row>
        <row r="2895">
          <cell r="A2895">
            <v>46196</v>
          </cell>
          <cell r="C2895" t="str">
            <v xml:space="preserve">Itapaci </v>
          </cell>
          <cell r="H2895">
            <v>32.659999999999997</v>
          </cell>
        </row>
        <row r="2896">
          <cell r="A2896">
            <v>46196</v>
          </cell>
          <cell r="C2896" t="str">
            <v xml:space="preserve">Itapaci </v>
          </cell>
          <cell r="H2896">
            <v>31.08</v>
          </cell>
        </row>
        <row r="2897">
          <cell r="A2897">
            <v>46196</v>
          </cell>
          <cell r="C2897" t="str">
            <v xml:space="preserve">Itapaci </v>
          </cell>
          <cell r="H2897">
            <v>34.92</v>
          </cell>
        </row>
        <row r="2898">
          <cell r="A2898">
            <v>46195</v>
          </cell>
          <cell r="C2898" t="str">
            <v xml:space="preserve">Itapaci </v>
          </cell>
          <cell r="H2898">
            <v>63.24</v>
          </cell>
        </row>
        <row r="2899">
          <cell r="A2899">
            <v>46195</v>
          </cell>
          <cell r="C2899" t="str">
            <v xml:space="preserve">Itapaci </v>
          </cell>
          <cell r="H2899">
            <v>43.8</v>
          </cell>
        </row>
        <row r="2900">
          <cell r="A2900">
            <v>46195</v>
          </cell>
          <cell r="C2900" t="str">
            <v xml:space="preserve">Itapaci </v>
          </cell>
          <cell r="H2900">
            <v>60.92</v>
          </cell>
        </row>
        <row r="2901">
          <cell r="A2901">
            <v>46196</v>
          </cell>
          <cell r="C2901" t="str">
            <v xml:space="preserve">Itapaci </v>
          </cell>
          <cell r="H2901">
            <v>32.54</v>
          </cell>
        </row>
        <row r="2902">
          <cell r="A2902">
            <v>46196</v>
          </cell>
          <cell r="C2902" t="str">
            <v xml:space="preserve">Itapaci </v>
          </cell>
          <cell r="H2902">
            <v>34.18</v>
          </cell>
        </row>
        <row r="2903">
          <cell r="A2903">
            <v>46196</v>
          </cell>
          <cell r="C2903" t="str">
            <v xml:space="preserve">Itapaci </v>
          </cell>
          <cell r="H2903">
            <v>33.380000000000003</v>
          </cell>
        </row>
        <row r="2904">
          <cell r="A2904">
            <v>46196</v>
          </cell>
          <cell r="C2904" t="str">
            <v xml:space="preserve">Itapaci </v>
          </cell>
          <cell r="H2904">
            <v>60.24</v>
          </cell>
        </row>
        <row r="2905">
          <cell r="A2905">
            <v>46196</v>
          </cell>
          <cell r="C2905" t="str">
            <v xml:space="preserve">Itapaci </v>
          </cell>
          <cell r="H2905">
            <v>51.92</v>
          </cell>
        </row>
        <row r="2906">
          <cell r="A2906">
            <v>46196</v>
          </cell>
          <cell r="C2906" t="str">
            <v xml:space="preserve">Itapaci </v>
          </cell>
          <cell r="H2906">
            <v>41.56</v>
          </cell>
        </row>
        <row r="2907">
          <cell r="A2907">
            <v>46196</v>
          </cell>
          <cell r="C2907" t="str">
            <v xml:space="preserve">Itapaci </v>
          </cell>
          <cell r="H2907">
            <v>32.76</v>
          </cell>
        </row>
        <row r="2908">
          <cell r="A2908">
            <v>46196</v>
          </cell>
          <cell r="C2908" t="str">
            <v xml:space="preserve">Itapaci </v>
          </cell>
          <cell r="H2908">
            <v>33.54</v>
          </cell>
        </row>
        <row r="2909">
          <cell r="A2909">
            <v>46196</v>
          </cell>
          <cell r="C2909" t="str">
            <v xml:space="preserve">Itapaci </v>
          </cell>
          <cell r="H2909">
            <v>32.520000000000003</v>
          </cell>
        </row>
        <row r="2910">
          <cell r="A2910">
            <v>46196</v>
          </cell>
          <cell r="C2910" t="str">
            <v xml:space="preserve">Itapaci </v>
          </cell>
          <cell r="H2910">
            <v>34.1</v>
          </cell>
        </row>
        <row r="2911">
          <cell r="A2911">
            <v>46196</v>
          </cell>
          <cell r="C2911" t="str">
            <v xml:space="preserve">Itapaci </v>
          </cell>
          <cell r="H2911">
            <v>34.78</v>
          </cell>
        </row>
        <row r="2912">
          <cell r="A2912">
            <v>46196</v>
          </cell>
          <cell r="C2912" t="str">
            <v xml:space="preserve">Itapaci </v>
          </cell>
          <cell r="H2912">
            <v>34.340000000000003</v>
          </cell>
        </row>
        <row r="2913">
          <cell r="A2913">
            <v>46196</v>
          </cell>
          <cell r="C2913" t="str">
            <v xml:space="preserve">Itapaci </v>
          </cell>
          <cell r="H2913">
            <v>34.299999999999997</v>
          </cell>
        </row>
        <row r="2914">
          <cell r="A2914">
            <v>46196</v>
          </cell>
          <cell r="C2914" t="str">
            <v xml:space="preserve">Itapaci </v>
          </cell>
          <cell r="H2914">
            <v>62.12</v>
          </cell>
        </row>
        <row r="2915">
          <cell r="A2915">
            <v>46196</v>
          </cell>
          <cell r="C2915" t="str">
            <v xml:space="preserve">Itapaci </v>
          </cell>
          <cell r="H2915">
            <v>49.52</v>
          </cell>
        </row>
        <row r="2916">
          <cell r="A2916">
            <v>46196</v>
          </cell>
          <cell r="C2916" t="str">
            <v xml:space="preserve">Itapaci </v>
          </cell>
          <cell r="H2916">
            <v>34.76</v>
          </cell>
        </row>
        <row r="2917">
          <cell r="A2917">
            <v>46195</v>
          </cell>
          <cell r="C2917" t="str">
            <v xml:space="preserve">Bela Vista </v>
          </cell>
          <cell r="H2917">
            <v>44.54</v>
          </cell>
        </row>
        <row r="2918">
          <cell r="A2918">
            <v>46195</v>
          </cell>
          <cell r="C2918" t="str">
            <v xml:space="preserve">Bela Vista </v>
          </cell>
          <cell r="H2918">
            <v>36.56</v>
          </cell>
        </row>
        <row r="2919">
          <cell r="A2919">
            <v>46195</v>
          </cell>
          <cell r="C2919" t="str">
            <v xml:space="preserve">Bela Vista </v>
          </cell>
          <cell r="H2919">
            <v>37.22</v>
          </cell>
        </row>
        <row r="2920">
          <cell r="A2920">
            <v>46195</v>
          </cell>
          <cell r="C2920" t="str">
            <v xml:space="preserve">Bela Vista </v>
          </cell>
          <cell r="H2920">
            <v>37.200000000000003</v>
          </cell>
        </row>
        <row r="2921">
          <cell r="A2921">
            <v>46195</v>
          </cell>
          <cell r="C2921" t="str">
            <v xml:space="preserve">Bela Vista </v>
          </cell>
          <cell r="H2921">
            <v>38.86</v>
          </cell>
        </row>
        <row r="2922">
          <cell r="A2922">
            <v>46195</v>
          </cell>
          <cell r="C2922" t="str">
            <v xml:space="preserve">Bela Vista </v>
          </cell>
          <cell r="H2922">
            <v>39.22</v>
          </cell>
        </row>
        <row r="2923">
          <cell r="A2923">
            <v>46195</v>
          </cell>
          <cell r="C2923" t="str">
            <v xml:space="preserve">Bela Vista </v>
          </cell>
          <cell r="H2923">
            <v>36.36</v>
          </cell>
        </row>
        <row r="2924">
          <cell r="A2924">
            <v>46195</v>
          </cell>
          <cell r="C2924" t="str">
            <v xml:space="preserve">Bela Vista </v>
          </cell>
          <cell r="H2924">
            <v>44.8</v>
          </cell>
        </row>
        <row r="2925">
          <cell r="A2925">
            <v>46195</v>
          </cell>
          <cell r="C2925" t="str">
            <v xml:space="preserve">Bela Vista </v>
          </cell>
          <cell r="H2925">
            <v>44.38</v>
          </cell>
        </row>
        <row r="2926">
          <cell r="A2926">
            <v>46195</v>
          </cell>
          <cell r="C2926" t="str">
            <v xml:space="preserve">Bela Vista </v>
          </cell>
          <cell r="H2926">
            <v>37.659999999999997</v>
          </cell>
        </row>
        <row r="2927">
          <cell r="A2927">
            <v>46195</v>
          </cell>
          <cell r="C2927" t="str">
            <v xml:space="preserve">Bela Vista </v>
          </cell>
          <cell r="H2927">
            <v>38.1</v>
          </cell>
        </row>
        <row r="2928">
          <cell r="A2928">
            <v>46195</v>
          </cell>
          <cell r="C2928" t="str">
            <v xml:space="preserve">Bela Vista </v>
          </cell>
          <cell r="H2928">
            <v>37.380000000000003</v>
          </cell>
        </row>
        <row r="2929">
          <cell r="A2929">
            <v>46196</v>
          </cell>
          <cell r="C2929" t="str">
            <v xml:space="preserve">Bela Vista </v>
          </cell>
          <cell r="H2929">
            <v>38.6</v>
          </cell>
        </row>
        <row r="2930">
          <cell r="A2930">
            <v>46195</v>
          </cell>
          <cell r="C2930" t="str">
            <v xml:space="preserve">Bela Vista </v>
          </cell>
          <cell r="H2930">
            <v>38.18</v>
          </cell>
        </row>
        <row r="2931">
          <cell r="A2931">
            <v>46196</v>
          </cell>
          <cell r="C2931" t="str">
            <v xml:space="preserve">Bela Vista </v>
          </cell>
          <cell r="H2931">
            <v>49.82</v>
          </cell>
        </row>
        <row r="2932">
          <cell r="A2932">
            <v>46196</v>
          </cell>
          <cell r="C2932" t="str">
            <v xml:space="preserve">Bela Vista </v>
          </cell>
          <cell r="H2932">
            <v>36.92</v>
          </cell>
        </row>
        <row r="2933">
          <cell r="A2933">
            <v>46196</v>
          </cell>
          <cell r="C2933" t="str">
            <v xml:space="preserve">Bela Vista </v>
          </cell>
          <cell r="H2933">
            <v>46.08</v>
          </cell>
        </row>
        <row r="2934">
          <cell r="A2934">
            <v>46196</v>
          </cell>
          <cell r="C2934" t="str">
            <v xml:space="preserve">Bela Vista </v>
          </cell>
          <cell r="H2934">
            <v>37.54</v>
          </cell>
        </row>
        <row r="2935">
          <cell r="A2935">
            <v>46196</v>
          </cell>
          <cell r="C2935" t="str">
            <v xml:space="preserve">Bela Vista </v>
          </cell>
          <cell r="H2935">
            <v>37.479999999999997</v>
          </cell>
        </row>
        <row r="2936">
          <cell r="A2936">
            <v>46196</v>
          </cell>
          <cell r="C2936" t="str">
            <v xml:space="preserve">Bela Vista </v>
          </cell>
          <cell r="H2936">
            <v>37.159999999999997</v>
          </cell>
        </row>
        <row r="2937">
          <cell r="A2937">
            <v>46196</v>
          </cell>
          <cell r="C2937" t="str">
            <v xml:space="preserve">Bela Vista </v>
          </cell>
          <cell r="H2937">
            <v>39.58</v>
          </cell>
        </row>
        <row r="2938">
          <cell r="A2938">
            <v>46196</v>
          </cell>
          <cell r="C2938" t="str">
            <v xml:space="preserve">Bela Vista </v>
          </cell>
          <cell r="H2938">
            <v>35.9</v>
          </cell>
        </row>
        <row r="2939">
          <cell r="A2939">
            <v>46196</v>
          </cell>
          <cell r="C2939" t="str">
            <v xml:space="preserve">Bela Vista </v>
          </cell>
          <cell r="H2939">
            <v>38.76</v>
          </cell>
        </row>
        <row r="2940">
          <cell r="A2940">
            <v>46196</v>
          </cell>
          <cell r="C2940" t="str">
            <v xml:space="preserve">Bela Vista </v>
          </cell>
          <cell r="H2940">
            <v>47.28</v>
          </cell>
        </row>
        <row r="2941">
          <cell r="A2941">
            <v>46196</v>
          </cell>
          <cell r="C2941" t="str">
            <v xml:space="preserve">Bela Vista </v>
          </cell>
          <cell r="H2941">
            <v>47.58</v>
          </cell>
        </row>
        <row r="2942">
          <cell r="A2942">
            <v>46196</v>
          </cell>
          <cell r="C2942" t="str">
            <v xml:space="preserve">Bela Vista </v>
          </cell>
          <cell r="H2942">
            <v>38.04</v>
          </cell>
        </row>
        <row r="2943">
          <cell r="A2943">
            <v>46196</v>
          </cell>
          <cell r="C2943" t="str">
            <v xml:space="preserve">Bela Vista </v>
          </cell>
          <cell r="H2943">
            <v>36.44</v>
          </cell>
        </row>
        <row r="2944">
          <cell r="A2944">
            <v>46196</v>
          </cell>
          <cell r="C2944" t="str">
            <v xml:space="preserve">Bela Vista </v>
          </cell>
          <cell r="H2944">
            <v>37.4</v>
          </cell>
        </row>
        <row r="2945">
          <cell r="A2945">
            <v>46196</v>
          </cell>
          <cell r="C2945" t="str">
            <v xml:space="preserve">Bela Vista </v>
          </cell>
          <cell r="H2945">
            <v>37.979999999999997</v>
          </cell>
        </row>
        <row r="2946">
          <cell r="A2946">
            <v>46198</v>
          </cell>
          <cell r="C2946" t="str">
            <v xml:space="preserve">Bela Vista </v>
          </cell>
          <cell r="H2946">
            <v>33.54</v>
          </cell>
        </row>
        <row r="2947">
          <cell r="A2947">
            <v>46196</v>
          </cell>
          <cell r="C2947" t="str">
            <v xml:space="preserve">Bela Vista </v>
          </cell>
          <cell r="H2947">
            <v>38.44</v>
          </cell>
        </row>
        <row r="2948">
          <cell r="A2948">
            <v>46196</v>
          </cell>
          <cell r="C2948" t="str">
            <v xml:space="preserve">Bela Vista </v>
          </cell>
          <cell r="H2948">
            <v>40.520000000000003</v>
          </cell>
        </row>
        <row r="2949">
          <cell r="A2949">
            <v>46196</v>
          </cell>
          <cell r="C2949" t="str">
            <v xml:space="preserve">Bela Vista </v>
          </cell>
          <cell r="H2949">
            <v>40.64</v>
          </cell>
        </row>
        <row r="2950">
          <cell r="A2950">
            <v>46196</v>
          </cell>
          <cell r="C2950" t="str">
            <v xml:space="preserve">Bela Vista </v>
          </cell>
          <cell r="H2950">
            <v>38.72</v>
          </cell>
        </row>
        <row r="2951">
          <cell r="A2951">
            <v>46196</v>
          </cell>
          <cell r="C2951" t="str">
            <v xml:space="preserve">Bela Vista </v>
          </cell>
          <cell r="H2951">
            <v>47.96</v>
          </cell>
        </row>
        <row r="2952">
          <cell r="A2952">
            <v>46196</v>
          </cell>
          <cell r="C2952" t="str">
            <v xml:space="preserve">Bela Vista </v>
          </cell>
          <cell r="H2952">
            <v>48.1</v>
          </cell>
        </row>
        <row r="2953">
          <cell r="A2953">
            <v>46196</v>
          </cell>
          <cell r="C2953" t="str">
            <v xml:space="preserve">Bela Vista </v>
          </cell>
          <cell r="H2953">
            <v>36.78</v>
          </cell>
        </row>
        <row r="2954">
          <cell r="A2954">
            <v>46197</v>
          </cell>
          <cell r="C2954" t="str">
            <v xml:space="preserve">Bela Vista </v>
          </cell>
          <cell r="H2954">
            <v>37.56</v>
          </cell>
        </row>
        <row r="2955">
          <cell r="A2955">
            <v>46197</v>
          </cell>
          <cell r="C2955" t="str">
            <v xml:space="preserve">Bela Vista </v>
          </cell>
          <cell r="H2955">
            <v>36.340000000000003</v>
          </cell>
        </row>
        <row r="2956">
          <cell r="A2956">
            <v>46197</v>
          </cell>
          <cell r="C2956" t="str">
            <v xml:space="preserve">Bela Vista </v>
          </cell>
          <cell r="H2956">
            <v>35.82</v>
          </cell>
        </row>
        <row r="2957">
          <cell r="A2957">
            <v>46197</v>
          </cell>
          <cell r="C2957" t="str">
            <v xml:space="preserve">Bela Vista </v>
          </cell>
          <cell r="H2957">
            <v>39.18</v>
          </cell>
        </row>
        <row r="2958">
          <cell r="A2958">
            <v>46197</v>
          </cell>
          <cell r="C2958" t="str">
            <v xml:space="preserve">Bela Vista </v>
          </cell>
          <cell r="H2958">
            <v>45.72</v>
          </cell>
        </row>
        <row r="2959">
          <cell r="A2959">
            <v>46197</v>
          </cell>
          <cell r="C2959" t="str">
            <v xml:space="preserve">Bela Vista </v>
          </cell>
          <cell r="H2959">
            <v>40.520000000000003</v>
          </cell>
        </row>
        <row r="2960">
          <cell r="A2960">
            <v>46197</v>
          </cell>
          <cell r="C2960" t="str">
            <v xml:space="preserve">Bela Vista </v>
          </cell>
          <cell r="H2960">
            <v>38.08</v>
          </cell>
        </row>
        <row r="2961">
          <cell r="A2961">
            <v>46197</v>
          </cell>
          <cell r="C2961" t="str">
            <v xml:space="preserve">Bela Vista </v>
          </cell>
          <cell r="H2961">
            <v>37.08</v>
          </cell>
        </row>
        <row r="2962">
          <cell r="A2962">
            <v>46197</v>
          </cell>
          <cell r="C2962" t="str">
            <v xml:space="preserve">Bela Vista </v>
          </cell>
          <cell r="H2962">
            <v>46.8</v>
          </cell>
        </row>
        <row r="2963">
          <cell r="A2963">
            <v>46196</v>
          </cell>
          <cell r="C2963" t="str">
            <v xml:space="preserve">Itapaci </v>
          </cell>
          <cell r="H2963">
            <v>34.119999999999997</v>
          </cell>
        </row>
        <row r="2964">
          <cell r="A2964">
            <v>46196</v>
          </cell>
          <cell r="C2964" t="str">
            <v xml:space="preserve">Itapaci </v>
          </cell>
          <cell r="H2964">
            <v>33.6</v>
          </cell>
        </row>
        <row r="2965">
          <cell r="A2965">
            <v>46196</v>
          </cell>
          <cell r="C2965" t="str">
            <v xml:space="preserve">Itapaci </v>
          </cell>
          <cell r="H2965">
            <v>35.58</v>
          </cell>
        </row>
        <row r="2966">
          <cell r="A2966">
            <v>46196</v>
          </cell>
          <cell r="C2966" t="str">
            <v xml:space="preserve">Itapaci </v>
          </cell>
          <cell r="H2966">
            <v>65.56</v>
          </cell>
        </row>
        <row r="2967">
          <cell r="A2967">
            <v>46196</v>
          </cell>
          <cell r="C2967" t="str">
            <v xml:space="preserve">Itapaci </v>
          </cell>
          <cell r="H2967">
            <v>45.8</v>
          </cell>
        </row>
        <row r="2968">
          <cell r="A2968">
            <v>46196</v>
          </cell>
          <cell r="C2968" t="str">
            <v xml:space="preserve">Itapaci </v>
          </cell>
          <cell r="H2968">
            <v>63.64</v>
          </cell>
        </row>
        <row r="2969">
          <cell r="A2969">
            <v>46196</v>
          </cell>
          <cell r="C2969" t="str">
            <v xml:space="preserve">Itapaci </v>
          </cell>
          <cell r="H2969">
            <v>63.4</v>
          </cell>
        </row>
        <row r="2970">
          <cell r="A2970">
            <v>46196</v>
          </cell>
          <cell r="C2970" t="str">
            <v xml:space="preserve">Itapaci </v>
          </cell>
          <cell r="H2970">
            <v>62.08</v>
          </cell>
        </row>
        <row r="2971">
          <cell r="A2971">
            <v>46196</v>
          </cell>
          <cell r="C2971" t="str">
            <v xml:space="preserve">Itapaci </v>
          </cell>
          <cell r="H2971">
            <v>32.340000000000003</v>
          </cell>
        </row>
        <row r="2972">
          <cell r="A2972">
            <v>46196</v>
          </cell>
          <cell r="C2972" t="str">
            <v xml:space="preserve">Itapaci </v>
          </cell>
          <cell r="H2972">
            <v>32.880000000000003</v>
          </cell>
        </row>
        <row r="2973">
          <cell r="A2973">
            <v>46196</v>
          </cell>
          <cell r="C2973" t="str">
            <v xml:space="preserve">Itapaci </v>
          </cell>
          <cell r="H2973">
            <v>29.64</v>
          </cell>
        </row>
        <row r="2974">
          <cell r="A2974">
            <v>46196</v>
          </cell>
          <cell r="C2974" t="str">
            <v xml:space="preserve">Itapaci </v>
          </cell>
          <cell r="H2974">
            <v>34.520000000000003</v>
          </cell>
        </row>
        <row r="2975">
          <cell r="A2975">
            <v>46196</v>
          </cell>
          <cell r="C2975" t="str">
            <v xml:space="preserve">Itapaci </v>
          </cell>
          <cell r="H2975">
            <v>33.14</v>
          </cell>
        </row>
        <row r="2976">
          <cell r="A2976">
            <v>46196</v>
          </cell>
          <cell r="C2976" t="str">
            <v xml:space="preserve">Itapaci </v>
          </cell>
          <cell r="H2976">
            <v>33.200000000000003</v>
          </cell>
        </row>
        <row r="2977">
          <cell r="A2977">
            <v>46196</v>
          </cell>
          <cell r="C2977" t="str">
            <v xml:space="preserve">Itapaci </v>
          </cell>
          <cell r="H2977">
            <v>33.9</v>
          </cell>
        </row>
        <row r="2978">
          <cell r="A2978">
            <v>46196</v>
          </cell>
          <cell r="C2978" t="str">
            <v xml:space="preserve">Itapaci </v>
          </cell>
          <cell r="H2978">
            <v>34.56</v>
          </cell>
        </row>
        <row r="2979">
          <cell r="A2979">
            <v>46196</v>
          </cell>
          <cell r="C2979" t="str">
            <v xml:space="preserve">Itapaci </v>
          </cell>
          <cell r="H2979">
            <v>34.28</v>
          </cell>
        </row>
        <row r="2980">
          <cell r="A2980">
            <v>46196</v>
          </cell>
          <cell r="C2980" t="str">
            <v xml:space="preserve">Itapaci </v>
          </cell>
          <cell r="H2980">
            <v>34.700000000000003</v>
          </cell>
        </row>
        <row r="2981">
          <cell r="A2981">
            <v>46196</v>
          </cell>
          <cell r="C2981" t="str">
            <v xml:space="preserve">Itapaci </v>
          </cell>
          <cell r="H2981">
            <v>34.64</v>
          </cell>
        </row>
        <row r="2982">
          <cell r="A2982">
            <v>46196</v>
          </cell>
          <cell r="C2982" t="str">
            <v xml:space="preserve">Itapaci </v>
          </cell>
          <cell r="H2982">
            <v>41.64</v>
          </cell>
        </row>
        <row r="2983">
          <cell r="A2983">
            <v>46196</v>
          </cell>
          <cell r="C2983" t="str">
            <v xml:space="preserve">Itapaci </v>
          </cell>
          <cell r="H2983">
            <v>32.479999999999997</v>
          </cell>
        </row>
        <row r="2984">
          <cell r="A2984">
            <v>46196</v>
          </cell>
          <cell r="C2984" t="str">
            <v xml:space="preserve">Itapaci </v>
          </cell>
          <cell r="H2984">
            <v>33.36</v>
          </cell>
        </row>
        <row r="2985">
          <cell r="A2985">
            <v>46196</v>
          </cell>
          <cell r="C2985" t="str">
            <v xml:space="preserve">Itapaci </v>
          </cell>
          <cell r="H2985">
            <v>35.32</v>
          </cell>
        </row>
        <row r="2986">
          <cell r="A2986">
            <v>46196</v>
          </cell>
          <cell r="C2986" t="str">
            <v xml:space="preserve">Itapaci </v>
          </cell>
          <cell r="H2986">
            <v>42.28</v>
          </cell>
        </row>
        <row r="2987">
          <cell r="A2987">
            <v>46196</v>
          </cell>
          <cell r="C2987" t="str">
            <v xml:space="preserve">Itapaci </v>
          </cell>
          <cell r="H2987">
            <v>32.74</v>
          </cell>
        </row>
        <row r="2988">
          <cell r="A2988">
            <v>46197</v>
          </cell>
          <cell r="C2988" t="str">
            <v xml:space="preserve">Itapaci </v>
          </cell>
          <cell r="H2988">
            <v>33.119999999999997</v>
          </cell>
        </row>
        <row r="2989">
          <cell r="A2989">
            <v>46196</v>
          </cell>
          <cell r="C2989" t="str">
            <v xml:space="preserve">Itapaci </v>
          </cell>
          <cell r="H2989">
            <v>36.96</v>
          </cell>
        </row>
        <row r="2990">
          <cell r="A2990">
            <v>46196</v>
          </cell>
          <cell r="C2990" t="str">
            <v xml:space="preserve">Itapaci </v>
          </cell>
          <cell r="H2990">
            <v>36.299999999999997</v>
          </cell>
        </row>
        <row r="2991">
          <cell r="A2991">
            <v>46196</v>
          </cell>
          <cell r="C2991" t="str">
            <v xml:space="preserve">Itapaci </v>
          </cell>
          <cell r="H2991">
            <v>35.76</v>
          </cell>
        </row>
        <row r="2992">
          <cell r="A2992">
            <v>46196</v>
          </cell>
          <cell r="C2992" t="str">
            <v xml:space="preserve">Itapaci </v>
          </cell>
          <cell r="H2992">
            <v>69.92</v>
          </cell>
        </row>
        <row r="2993">
          <cell r="A2993">
            <v>46196</v>
          </cell>
          <cell r="C2993" t="str">
            <v xml:space="preserve">Itapaci </v>
          </cell>
          <cell r="H2993">
            <v>36.380000000000003</v>
          </cell>
        </row>
        <row r="2994">
          <cell r="A2994">
            <v>46196</v>
          </cell>
          <cell r="C2994" t="str">
            <v xml:space="preserve">Itapaci </v>
          </cell>
          <cell r="H2994">
            <v>32.96</v>
          </cell>
        </row>
        <row r="2995">
          <cell r="A2995">
            <v>46196</v>
          </cell>
          <cell r="C2995" t="str">
            <v xml:space="preserve">Itapaci </v>
          </cell>
          <cell r="H2995">
            <v>33.42</v>
          </cell>
        </row>
        <row r="2996">
          <cell r="A2996">
            <v>46196</v>
          </cell>
          <cell r="C2996" t="str">
            <v xml:space="preserve">Itapaci </v>
          </cell>
          <cell r="H2996">
            <v>33.340000000000003</v>
          </cell>
        </row>
        <row r="2997">
          <cell r="A2997">
            <v>46196</v>
          </cell>
          <cell r="C2997" t="str">
            <v xml:space="preserve">Itapaci </v>
          </cell>
          <cell r="H2997">
            <v>63.26</v>
          </cell>
        </row>
        <row r="2998">
          <cell r="A2998">
            <v>46196</v>
          </cell>
          <cell r="C2998" t="str">
            <v xml:space="preserve">Itapaci </v>
          </cell>
          <cell r="H2998">
            <v>62.9</v>
          </cell>
        </row>
        <row r="2999">
          <cell r="A2999">
            <v>46196</v>
          </cell>
          <cell r="C2999" t="str">
            <v xml:space="preserve">Itapaci </v>
          </cell>
          <cell r="H2999">
            <v>48.6</v>
          </cell>
        </row>
        <row r="3000">
          <cell r="A3000">
            <v>46196</v>
          </cell>
          <cell r="C3000" t="str">
            <v xml:space="preserve">Itapaci </v>
          </cell>
          <cell r="H3000">
            <v>62.62</v>
          </cell>
        </row>
        <row r="3001">
          <cell r="A3001">
            <v>46196</v>
          </cell>
          <cell r="C3001" t="str">
            <v xml:space="preserve">Itapaci </v>
          </cell>
          <cell r="H3001">
            <v>53.3</v>
          </cell>
        </row>
        <row r="3002">
          <cell r="A3002">
            <v>46196</v>
          </cell>
          <cell r="C3002" t="str">
            <v xml:space="preserve">Itapaci </v>
          </cell>
          <cell r="H3002">
            <v>50.42</v>
          </cell>
        </row>
        <row r="3003">
          <cell r="A3003">
            <v>46196</v>
          </cell>
          <cell r="C3003" t="str">
            <v xml:space="preserve">Itapaci </v>
          </cell>
          <cell r="H3003">
            <v>30.06</v>
          </cell>
        </row>
        <row r="3004">
          <cell r="A3004">
            <v>46197</v>
          </cell>
          <cell r="C3004" t="str">
            <v xml:space="preserve">Itapaci </v>
          </cell>
          <cell r="H3004">
            <v>35.18</v>
          </cell>
        </row>
        <row r="3005">
          <cell r="A3005">
            <v>46196</v>
          </cell>
          <cell r="C3005" t="str">
            <v xml:space="preserve">Itapaci </v>
          </cell>
          <cell r="H3005">
            <v>34.82</v>
          </cell>
        </row>
        <row r="3006">
          <cell r="A3006">
            <v>46197</v>
          </cell>
          <cell r="C3006" t="str">
            <v xml:space="preserve">Itapaci </v>
          </cell>
          <cell r="H3006">
            <v>33.64</v>
          </cell>
        </row>
        <row r="3007">
          <cell r="A3007">
            <v>46197</v>
          </cell>
          <cell r="C3007" t="str">
            <v xml:space="preserve">Itapaci </v>
          </cell>
          <cell r="H3007">
            <v>33.520000000000003</v>
          </cell>
        </row>
        <row r="3008">
          <cell r="A3008">
            <v>46196</v>
          </cell>
          <cell r="C3008" t="str">
            <v xml:space="preserve">Itapaci </v>
          </cell>
          <cell r="H3008">
            <v>32.22</v>
          </cell>
        </row>
        <row r="3009">
          <cell r="A3009">
            <v>46197</v>
          </cell>
          <cell r="C3009" t="str">
            <v xml:space="preserve">Itapaci </v>
          </cell>
          <cell r="H3009">
            <v>35.299999999999997</v>
          </cell>
        </row>
        <row r="3010">
          <cell r="A3010">
            <v>46197</v>
          </cell>
          <cell r="C3010" t="str">
            <v xml:space="preserve">Itapaci </v>
          </cell>
          <cell r="H3010">
            <v>50.86</v>
          </cell>
        </row>
        <row r="3011">
          <cell r="A3011">
            <v>46197</v>
          </cell>
          <cell r="C3011" t="str">
            <v xml:space="preserve">Itapaci </v>
          </cell>
          <cell r="H3011">
            <v>41.3</v>
          </cell>
        </row>
        <row r="3012">
          <cell r="A3012">
            <v>46197</v>
          </cell>
          <cell r="C3012" t="str">
            <v xml:space="preserve">Itapaci </v>
          </cell>
          <cell r="H3012">
            <v>33.22</v>
          </cell>
        </row>
        <row r="3013">
          <cell r="A3013">
            <v>46197</v>
          </cell>
          <cell r="C3013" t="str">
            <v xml:space="preserve">Itapaci </v>
          </cell>
          <cell r="H3013">
            <v>34.659999999999997</v>
          </cell>
        </row>
        <row r="3014">
          <cell r="A3014">
            <v>46197</v>
          </cell>
          <cell r="C3014" t="str">
            <v xml:space="preserve">Itapaci </v>
          </cell>
          <cell r="H3014">
            <v>34.24</v>
          </cell>
        </row>
        <row r="3015">
          <cell r="A3015">
            <v>46197</v>
          </cell>
          <cell r="C3015" t="str">
            <v xml:space="preserve">Itapaci </v>
          </cell>
          <cell r="H3015">
            <v>32.299999999999997</v>
          </cell>
        </row>
        <row r="3016">
          <cell r="A3016">
            <v>46197</v>
          </cell>
          <cell r="C3016" t="str">
            <v xml:space="preserve">Itapaci </v>
          </cell>
          <cell r="H3016">
            <v>33.9</v>
          </cell>
        </row>
        <row r="3017">
          <cell r="A3017">
            <v>46197</v>
          </cell>
          <cell r="C3017" t="str">
            <v xml:space="preserve">Itapaci </v>
          </cell>
          <cell r="H3017">
            <v>34.82</v>
          </cell>
        </row>
        <row r="3018">
          <cell r="A3018">
            <v>46197</v>
          </cell>
          <cell r="C3018" t="str">
            <v xml:space="preserve">Itapaci </v>
          </cell>
          <cell r="H3018">
            <v>33.68</v>
          </cell>
        </row>
        <row r="3019">
          <cell r="A3019">
            <v>46197</v>
          </cell>
          <cell r="C3019" t="str">
            <v xml:space="preserve">Itapaci </v>
          </cell>
          <cell r="H3019">
            <v>33.92</v>
          </cell>
        </row>
        <row r="3020">
          <cell r="A3020">
            <v>46197</v>
          </cell>
          <cell r="C3020" t="str">
            <v xml:space="preserve">Itapaci </v>
          </cell>
          <cell r="H3020">
            <v>70</v>
          </cell>
        </row>
        <row r="3021">
          <cell r="A3021">
            <v>46197</v>
          </cell>
          <cell r="C3021" t="str">
            <v xml:space="preserve">Itapaci </v>
          </cell>
          <cell r="H3021">
            <v>34.880000000000003</v>
          </cell>
        </row>
        <row r="3022">
          <cell r="A3022">
            <v>46197</v>
          </cell>
          <cell r="C3022" t="str">
            <v xml:space="preserve">Itapaci </v>
          </cell>
          <cell r="H3022">
            <v>33.68</v>
          </cell>
        </row>
        <row r="3023">
          <cell r="A3023">
            <v>46197</v>
          </cell>
          <cell r="C3023" t="str">
            <v xml:space="preserve">Bela Vista </v>
          </cell>
          <cell r="H3023">
            <v>37.56</v>
          </cell>
        </row>
        <row r="3024">
          <cell r="A3024">
            <v>46197</v>
          </cell>
          <cell r="C3024" t="str">
            <v xml:space="preserve">Bela Vista </v>
          </cell>
          <cell r="H3024">
            <v>39.159999999999997</v>
          </cell>
        </row>
        <row r="3025">
          <cell r="A3025">
            <v>46197</v>
          </cell>
          <cell r="C3025" t="str">
            <v xml:space="preserve">Bela Vista </v>
          </cell>
          <cell r="H3025">
            <v>39.6</v>
          </cell>
        </row>
        <row r="3026">
          <cell r="A3026">
            <v>46197</v>
          </cell>
          <cell r="C3026" t="str">
            <v xml:space="preserve">Bela Vista </v>
          </cell>
          <cell r="H3026">
            <v>47.82</v>
          </cell>
        </row>
        <row r="3027">
          <cell r="A3027">
            <v>46197</v>
          </cell>
          <cell r="C3027" t="str">
            <v xml:space="preserve">Bela Vista </v>
          </cell>
          <cell r="H3027">
            <v>38.5</v>
          </cell>
        </row>
        <row r="3028">
          <cell r="A3028">
            <v>46197</v>
          </cell>
          <cell r="C3028" t="str">
            <v xml:space="preserve">Bela Vista </v>
          </cell>
          <cell r="H3028">
            <v>38.42</v>
          </cell>
        </row>
        <row r="3029">
          <cell r="A3029">
            <v>46197</v>
          </cell>
          <cell r="C3029" t="str">
            <v xml:space="preserve">Bela Vista </v>
          </cell>
          <cell r="H3029">
            <v>37.78</v>
          </cell>
        </row>
        <row r="3030">
          <cell r="A3030">
            <v>46197</v>
          </cell>
          <cell r="C3030" t="str">
            <v xml:space="preserve">Bela Vista </v>
          </cell>
          <cell r="H3030">
            <v>47.92</v>
          </cell>
        </row>
        <row r="3031">
          <cell r="A3031">
            <v>46197</v>
          </cell>
          <cell r="C3031" t="str">
            <v xml:space="preserve">Bela Vista </v>
          </cell>
          <cell r="H3031">
            <v>52.44</v>
          </cell>
        </row>
        <row r="3032">
          <cell r="A3032">
            <v>46197</v>
          </cell>
          <cell r="C3032" t="str">
            <v xml:space="preserve">Bela Vista </v>
          </cell>
          <cell r="H3032">
            <v>35.659999999999997</v>
          </cell>
        </row>
        <row r="3033">
          <cell r="A3033">
            <v>46197</v>
          </cell>
          <cell r="C3033" t="str">
            <v xml:space="preserve">Bela Vista </v>
          </cell>
          <cell r="H3033">
            <v>40.54</v>
          </cell>
        </row>
        <row r="3034">
          <cell r="A3034">
            <v>46197</v>
          </cell>
          <cell r="C3034" t="str">
            <v xml:space="preserve">Bela Vista </v>
          </cell>
          <cell r="H3034">
            <v>38.68</v>
          </cell>
        </row>
        <row r="3035">
          <cell r="A3035">
            <v>46197</v>
          </cell>
          <cell r="C3035" t="str">
            <v xml:space="preserve">Bela Vista </v>
          </cell>
          <cell r="H3035">
            <v>36.659999999999997</v>
          </cell>
        </row>
        <row r="3036">
          <cell r="A3036">
            <v>46197</v>
          </cell>
          <cell r="C3036" t="str">
            <v xml:space="preserve">Bela Vista </v>
          </cell>
          <cell r="H3036">
            <v>45.6</v>
          </cell>
        </row>
        <row r="3037">
          <cell r="A3037">
            <v>46197</v>
          </cell>
          <cell r="C3037" t="str">
            <v xml:space="preserve">Bela Vista </v>
          </cell>
          <cell r="H3037">
            <v>38.700000000000003</v>
          </cell>
        </row>
        <row r="3038">
          <cell r="A3038">
            <v>46197</v>
          </cell>
          <cell r="C3038" t="str">
            <v xml:space="preserve">Bela Vista </v>
          </cell>
          <cell r="H3038">
            <v>36.6</v>
          </cell>
        </row>
        <row r="3039">
          <cell r="A3039">
            <v>46197</v>
          </cell>
          <cell r="C3039" t="str">
            <v xml:space="preserve">Bela Vista </v>
          </cell>
          <cell r="H3039">
            <v>36.119999999999997</v>
          </cell>
        </row>
        <row r="3040">
          <cell r="A3040">
            <v>46197</v>
          </cell>
          <cell r="C3040" t="str">
            <v xml:space="preserve">Bela Vista </v>
          </cell>
          <cell r="H3040">
            <v>37.86</v>
          </cell>
        </row>
        <row r="3041">
          <cell r="A3041">
            <v>46198</v>
          </cell>
          <cell r="C3041" t="str">
            <v xml:space="preserve">Bela Vista </v>
          </cell>
          <cell r="H3041">
            <v>53</v>
          </cell>
        </row>
        <row r="3042">
          <cell r="A3042">
            <v>46198</v>
          </cell>
          <cell r="C3042" t="str">
            <v xml:space="preserve">Bela Vista </v>
          </cell>
          <cell r="H3042">
            <v>37.06</v>
          </cell>
        </row>
        <row r="3043">
          <cell r="A3043">
            <v>46198</v>
          </cell>
          <cell r="C3043" t="str">
            <v xml:space="preserve">Bela Vista </v>
          </cell>
          <cell r="H3043">
            <v>38.04</v>
          </cell>
        </row>
        <row r="3044">
          <cell r="A3044">
            <v>46198</v>
          </cell>
          <cell r="C3044" t="str">
            <v xml:space="preserve">Bela Vista </v>
          </cell>
          <cell r="H3044">
            <v>49.02</v>
          </cell>
        </row>
        <row r="3045">
          <cell r="A3045">
            <v>46198</v>
          </cell>
          <cell r="C3045" t="str">
            <v xml:space="preserve">Bela Vista </v>
          </cell>
          <cell r="H3045">
            <v>35.64</v>
          </cell>
        </row>
        <row r="3046">
          <cell r="A3046">
            <v>46198</v>
          </cell>
          <cell r="C3046" t="str">
            <v xml:space="preserve">Bela Vista </v>
          </cell>
          <cell r="H3046">
            <v>38.479999999999997</v>
          </cell>
        </row>
        <row r="3047">
          <cell r="A3047">
            <v>46198</v>
          </cell>
          <cell r="C3047" t="str">
            <v xml:space="preserve">Bela Vista </v>
          </cell>
          <cell r="H3047">
            <v>45.8</v>
          </cell>
        </row>
        <row r="3048">
          <cell r="A3048">
            <v>46197</v>
          </cell>
          <cell r="C3048" t="str">
            <v xml:space="preserve">Itapaci </v>
          </cell>
          <cell r="H3048">
            <v>39.840000000000003</v>
          </cell>
        </row>
        <row r="3049">
          <cell r="A3049">
            <v>46197</v>
          </cell>
          <cell r="C3049" t="str">
            <v xml:space="preserve">Itapaci </v>
          </cell>
          <cell r="H3049">
            <v>35.4</v>
          </cell>
        </row>
        <row r="3050">
          <cell r="A3050">
            <v>46197</v>
          </cell>
          <cell r="C3050" t="str">
            <v xml:space="preserve">Itapaci </v>
          </cell>
          <cell r="H3050">
            <v>74.36</v>
          </cell>
        </row>
        <row r="3051">
          <cell r="A3051">
            <v>46197</v>
          </cell>
          <cell r="C3051" t="str">
            <v xml:space="preserve">Itapaci </v>
          </cell>
          <cell r="H3051">
            <v>45.18</v>
          </cell>
        </row>
        <row r="3052">
          <cell r="A3052">
            <v>46197</v>
          </cell>
          <cell r="C3052" t="str">
            <v xml:space="preserve">Itapaci </v>
          </cell>
          <cell r="H3052">
            <v>64.459999999999994</v>
          </cell>
        </row>
        <row r="3053">
          <cell r="A3053">
            <v>46198</v>
          </cell>
          <cell r="C3053" t="str">
            <v xml:space="preserve">Itapaci </v>
          </cell>
          <cell r="H3053">
            <v>67.599999999999994</v>
          </cell>
        </row>
        <row r="3054">
          <cell r="A3054">
            <v>46197</v>
          </cell>
          <cell r="C3054" t="str">
            <v xml:space="preserve">Itapaci </v>
          </cell>
          <cell r="H3054">
            <v>66.540000000000006</v>
          </cell>
        </row>
        <row r="3055">
          <cell r="A3055">
            <v>46197</v>
          </cell>
          <cell r="C3055" t="str">
            <v xml:space="preserve">Itapaci </v>
          </cell>
          <cell r="H3055">
            <v>36.04</v>
          </cell>
        </row>
        <row r="3056">
          <cell r="A3056">
            <v>46197</v>
          </cell>
          <cell r="C3056" t="str">
            <v xml:space="preserve">Itapaci </v>
          </cell>
          <cell r="H3056">
            <v>57.66</v>
          </cell>
        </row>
        <row r="3057">
          <cell r="A3057">
            <v>46197</v>
          </cell>
          <cell r="C3057" t="str">
            <v xml:space="preserve">Itapaci </v>
          </cell>
          <cell r="H3057">
            <v>58.02</v>
          </cell>
        </row>
        <row r="3058">
          <cell r="A3058">
            <v>46197</v>
          </cell>
          <cell r="C3058" t="str">
            <v xml:space="preserve">Itapaci </v>
          </cell>
          <cell r="H3058">
            <v>48.8</v>
          </cell>
        </row>
        <row r="3059">
          <cell r="A3059">
            <v>46197</v>
          </cell>
          <cell r="C3059" t="str">
            <v xml:space="preserve">Itapaci </v>
          </cell>
          <cell r="H3059">
            <v>68.28</v>
          </cell>
        </row>
        <row r="3060">
          <cell r="A3060">
            <v>46197</v>
          </cell>
          <cell r="C3060" t="str">
            <v xml:space="preserve">Itapaci </v>
          </cell>
          <cell r="H3060">
            <v>37.92</v>
          </cell>
        </row>
        <row r="3061">
          <cell r="A3061">
            <v>46197</v>
          </cell>
          <cell r="C3061" t="str">
            <v xml:space="preserve">Itapaci </v>
          </cell>
          <cell r="H3061">
            <v>34.840000000000003</v>
          </cell>
        </row>
        <row r="3062">
          <cell r="A3062">
            <v>46197</v>
          </cell>
          <cell r="C3062" t="str">
            <v xml:space="preserve">Itapaci </v>
          </cell>
          <cell r="H3062">
            <v>35.64</v>
          </cell>
        </row>
        <row r="3063">
          <cell r="A3063">
            <v>46197</v>
          </cell>
          <cell r="C3063" t="str">
            <v xml:space="preserve">Itapaci </v>
          </cell>
          <cell r="H3063">
            <v>30.5</v>
          </cell>
        </row>
        <row r="3064">
          <cell r="A3064">
            <v>46197</v>
          </cell>
          <cell r="C3064" t="str">
            <v xml:space="preserve">Itapaci </v>
          </cell>
          <cell r="H3064">
            <v>39.64</v>
          </cell>
        </row>
        <row r="3065">
          <cell r="A3065">
            <v>46197</v>
          </cell>
          <cell r="C3065" t="str">
            <v xml:space="preserve">Itapaci </v>
          </cell>
          <cell r="H3065">
            <v>33.700000000000003</v>
          </cell>
        </row>
        <row r="3066">
          <cell r="A3066">
            <v>46197</v>
          </cell>
          <cell r="C3066" t="str">
            <v xml:space="preserve">Itapaci </v>
          </cell>
          <cell r="H3066">
            <v>31.78</v>
          </cell>
        </row>
        <row r="3067">
          <cell r="A3067">
            <v>46197</v>
          </cell>
          <cell r="C3067" t="str">
            <v xml:space="preserve">Itapaci </v>
          </cell>
          <cell r="H3067">
            <v>34.64</v>
          </cell>
        </row>
        <row r="3068">
          <cell r="A3068">
            <v>46197</v>
          </cell>
          <cell r="C3068" t="str">
            <v xml:space="preserve">Itapaci </v>
          </cell>
          <cell r="H3068">
            <v>67.16</v>
          </cell>
        </row>
        <row r="3069">
          <cell r="A3069">
            <v>46197</v>
          </cell>
          <cell r="C3069" t="str">
            <v xml:space="preserve">Itapaci </v>
          </cell>
          <cell r="H3069">
            <v>33.020000000000003</v>
          </cell>
        </row>
        <row r="3070">
          <cell r="A3070">
            <v>46197</v>
          </cell>
          <cell r="C3070" t="str">
            <v xml:space="preserve">Itapaci </v>
          </cell>
          <cell r="H3070">
            <v>34.18</v>
          </cell>
        </row>
        <row r="3071">
          <cell r="A3071">
            <v>46197</v>
          </cell>
          <cell r="C3071" t="str">
            <v xml:space="preserve">Itapaci </v>
          </cell>
          <cell r="H3071">
            <v>40.54</v>
          </cell>
        </row>
        <row r="3072">
          <cell r="A3072">
            <v>46197</v>
          </cell>
          <cell r="C3072" t="str">
            <v xml:space="preserve">Itapaci </v>
          </cell>
          <cell r="H3072">
            <v>33.54</v>
          </cell>
        </row>
        <row r="3073">
          <cell r="A3073">
            <v>46198</v>
          </cell>
          <cell r="C3073" t="str">
            <v xml:space="preserve">Itapaci </v>
          </cell>
          <cell r="H3073">
            <v>33.979999999999997</v>
          </cell>
        </row>
        <row r="3074">
          <cell r="A3074">
            <v>46197</v>
          </cell>
          <cell r="C3074" t="str">
            <v xml:space="preserve">Itapaci </v>
          </cell>
          <cell r="H3074">
            <v>32.979999999999997</v>
          </cell>
        </row>
        <row r="3075">
          <cell r="A3075">
            <v>46197</v>
          </cell>
          <cell r="C3075" t="str">
            <v xml:space="preserve">Itapaci </v>
          </cell>
          <cell r="H3075">
            <v>36.42</v>
          </cell>
        </row>
        <row r="3076">
          <cell r="A3076">
            <v>46197</v>
          </cell>
          <cell r="C3076" t="str">
            <v xml:space="preserve">Itapaci </v>
          </cell>
          <cell r="H3076">
            <v>33.200000000000003</v>
          </cell>
        </row>
        <row r="3077">
          <cell r="A3077">
            <v>46197</v>
          </cell>
          <cell r="C3077" t="str">
            <v xml:space="preserve">Itapaci </v>
          </cell>
          <cell r="H3077">
            <v>33.46</v>
          </cell>
        </row>
        <row r="3078">
          <cell r="A3078">
            <v>46197</v>
          </cell>
          <cell r="C3078" t="str">
            <v xml:space="preserve">Itapaci </v>
          </cell>
          <cell r="H3078">
            <v>34.880000000000003</v>
          </cell>
        </row>
        <row r="3079">
          <cell r="A3079">
            <v>46197</v>
          </cell>
          <cell r="C3079" t="str">
            <v xml:space="preserve">Itapaci </v>
          </cell>
          <cell r="H3079">
            <v>33.08</v>
          </cell>
        </row>
        <row r="3080">
          <cell r="A3080">
            <v>46197</v>
          </cell>
          <cell r="C3080" t="str">
            <v xml:space="preserve">Itapaci </v>
          </cell>
          <cell r="H3080">
            <v>33.78</v>
          </cell>
        </row>
        <row r="3081">
          <cell r="A3081">
            <v>46197</v>
          </cell>
          <cell r="C3081" t="str">
            <v xml:space="preserve">Itapaci </v>
          </cell>
          <cell r="H3081">
            <v>28.42</v>
          </cell>
        </row>
        <row r="3082">
          <cell r="A3082">
            <v>46197</v>
          </cell>
          <cell r="C3082" t="str">
            <v xml:space="preserve">Itapaci </v>
          </cell>
          <cell r="H3082">
            <v>34.1</v>
          </cell>
        </row>
        <row r="3083">
          <cell r="A3083">
            <v>46197</v>
          </cell>
          <cell r="C3083" t="str">
            <v xml:space="preserve">Itapaci </v>
          </cell>
          <cell r="H3083">
            <v>56.74</v>
          </cell>
        </row>
        <row r="3084">
          <cell r="A3084">
            <v>46197</v>
          </cell>
          <cell r="C3084" t="str">
            <v xml:space="preserve">Itapaci </v>
          </cell>
          <cell r="H3084">
            <v>35.74</v>
          </cell>
        </row>
        <row r="3085">
          <cell r="A3085">
            <v>46197</v>
          </cell>
          <cell r="C3085" t="str">
            <v xml:space="preserve">Itapaci </v>
          </cell>
          <cell r="H3085">
            <v>33.92</v>
          </cell>
        </row>
        <row r="3086">
          <cell r="A3086">
            <v>46198</v>
          </cell>
          <cell r="C3086" t="str">
            <v xml:space="preserve">Itapaci </v>
          </cell>
          <cell r="H3086">
            <v>66.02</v>
          </cell>
        </row>
        <row r="3087">
          <cell r="A3087">
            <v>46198</v>
          </cell>
          <cell r="C3087" t="str">
            <v xml:space="preserve">Itapaci </v>
          </cell>
          <cell r="H3087">
            <v>33.700000000000003</v>
          </cell>
        </row>
        <row r="3088">
          <cell r="A3088">
            <v>46198</v>
          </cell>
          <cell r="C3088" t="str">
            <v xml:space="preserve">Itapaci </v>
          </cell>
          <cell r="H3088">
            <v>36</v>
          </cell>
        </row>
        <row r="3089">
          <cell r="A3089">
            <v>46198</v>
          </cell>
          <cell r="C3089" t="str">
            <v xml:space="preserve">Itapaci </v>
          </cell>
          <cell r="H3089">
            <v>36.200000000000003</v>
          </cell>
        </row>
        <row r="3090">
          <cell r="A3090">
            <v>46198</v>
          </cell>
          <cell r="C3090" t="str">
            <v xml:space="preserve">Itapaci </v>
          </cell>
          <cell r="H3090">
            <v>33.14</v>
          </cell>
        </row>
        <row r="3091">
          <cell r="A3091">
            <v>46198</v>
          </cell>
          <cell r="C3091" t="str">
            <v xml:space="preserve">Itapaci </v>
          </cell>
          <cell r="H3091">
            <v>68.86</v>
          </cell>
        </row>
        <row r="3092">
          <cell r="A3092">
            <v>46198</v>
          </cell>
          <cell r="C3092" t="str">
            <v xml:space="preserve">Itapaci </v>
          </cell>
          <cell r="H3092">
            <v>67.08</v>
          </cell>
        </row>
        <row r="3093">
          <cell r="A3093">
            <v>46198</v>
          </cell>
          <cell r="C3093" t="str">
            <v xml:space="preserve">Itapaci </v>
          </cell>
          <cell r="H3093">
            <v>42.62</v>
          </cell>
        </row>
        <row r="3094">
          <cell r="A3094">
            <v>46198</v>
          </cell>
          <cell r="C3094" t="str">
            <v xml:space="preserve">Itapaci </v>
          </cell>
          <cell r="H3094">
            <v>33.96</v>
          </cell>
        </row>
        <row r="3095">
          <cell r="A3095">
            <v>46198</v>
          </cell>
          <cell r="C3095" t="str">
            <v xml:space="preserve">Itapaci </v>
          </cell>
          <cell r="H3095">
            <v>33.479999999999997</v>
          </cell>
        </row>
        <row r="3096">
          <cell r="A3096">
            <v>46198</v>
          </cell>
          <cell r="C3096" t="str">
            <v xml:space="preserve">Itapaci </v>
          </cell>
          <cell r="H3096">
            <v>30.5</v>
          </cell>
        </row>
        <row r="3097">
          <cell r="A3097">
            <v>46198</v>
          </cell>
          <cell r="C3097" t="str">
            <v xml:space="preserve">Bela Vista </v>
          </cell>
          <cell r="H3097">
            <v>35.619999999999997</v>
          </cell>
        </row>
        <row r="3098">
          <cell r="A3098">
            <v>46198</v>
          </cell>
          <cell r="C3098" t="str">
            <v xml:space="preserve">Bela Vista </v>
          </cell>
          <cell r="H3098">
            <v>36.24</v>
          </cell>
        </row>
        <row r="3099">
          <cell r="A3099">
            <v>46198</v>
          </cell>
          <cell r="C3099" t="str">
            <v xml:space="preserve">Bela Vista </v>
          </cell>
          <cell r="H3099">
            <v>38.56</v>
          </cell>
        </row>
        <row r="3100">
          <cell r="A3100">
            <v>46198</v>
          </cell>
          <cell r="C3100" t="str">
            <v xml:space="preserve">Bela Vista </v>
          </cell>
          <cell r="H3100">
            <v>39.14</v>
          </cell>
        </row>
        <row r="3101">
          <cell r="A3101">
            <v>46198</v>
          </cell>
          <cell r="C3101" t="str">
            <v xml:space="preserve">Bela Vista </v>
          </cell>
          <cell r="H3101">
            <v>37.9</v>
          </cell>
        </row>
        <row r="3102">
          <cell r="A3102">
            <v>46198</v>
          </cell>
          <cell r="C3102" t="str">
            <v xml:space="preserve">Bela Vista </v>
          </cell>
          <cell r="H3102">
            <v>48.52</v>
          </cell>
        </row>
        <row r="3103">
          <cell r="A3103">
            <v>46198</v>
          </cell>
          <cell r="C3103" t="str">
            <v xml:space="preserve">Bela Vista </v>
          </cell>
          <cell r="H3103">
            <v>36.6</v>
          </cell>
        </row>
        <row r="3104">
          <cell r="A3104">
            <v>46198</v>
          </cell>
          <cell r="C3104" t="str">
            <v xml:space="preserve">Bela Vista </v>
          </cell>
          <cell r="H3104">
            <v>51.5</v>
          </cell>
        </row>
        <row r="3105">
          <cell r="A3105">
            <v>46198</v>
          </cell>
          <cell r="C3105" t="str">
            <v xml:space="preserve">Bela Vista </v>
          </cell>
          <cell r="H3105">
            <v>46.28</v>
          </cell>
        </row>
        <row r="3106">
          <cell r="A3106">
            <v>46198</v>
          </cell>
          <cell r="C3106" t="str">
            <v xml:space="preserve">Bela Vista </v>
          </cell>
          <cell r="H3106">
            <v>36.42</v>
          </cell>
        </row>
        <row r="3107">
          <cell r="A3107">
            <v>46198</v>
          </cell>
          <cell r="C3107" t="str">
            <v xml:space="preserve">Bela Vista </v>
          </cell>
          <cell r="H3107">
            <v>37.26</v>
          </cell>
        </row>
        <row r="3108">
          <cell r="A3108">
            <v>46198</v>
          </cell>
          <cell r="C3108" t="str">
            <v xml:space="preserve">Bela Vista </v>
          </cell>
          <cell r="H3108">
            <v>37.4</v>
          </cell>
        </row>
        <row r="3109">
          <cell r="A3109">
            <v>46198</v>
          </cell>
          <cell r="C3109" t="str">
            <v xml:space="preserve">Bela Vista </v>
          </cell>
          <cell r="H3109">
            <v>39.56</v>
          </cell>
        </row>
        <row r="3110">
          <cell r="A3110">
            <v>46198</v>
          </cell>
          <cell r="C3110" t="str">
            <v xml:space="preserve">Bela Vista </v>
          </cell>
          <cell r="H3110">
            <v>38</v>
          </cell>
        </row>
        <row r="3111">
          <cell r="A3111">
            <v>46198</v>
          </cell>
          <cell r="C3111" t="str">
            <v xml:space="preserve">Bela Vista </v>
          </cell>
          <cell r="H3111">
            <v>46.24</v>
          </cell>
        </row>
        <row r="3112">
          <cell r="A3112">
            <v>46198</v>
          </cell>
          <cell r="C3112" t="str">
            <v xml:space="preserve">Bela Vista </v>
          </cell>
          <cell r="H3112">
            <v>45.58</v>
          </cell>
        </row>
        <row r="3113">
          <cell r="A3113">
            <v>46198</v>
          </cell>
          <cell r="C3113" t="str">
            <v xml:space="preserve">Bela Vista </v>
          </cell>
          <cell r="H3113">
            <v>37.82</v>
          </cell>
        </row>
        <row r="3114">
          <cell r="A3114">
            <v>46198</v>
          </cell>
          <cell r="C3114" t="str">
            <v xml:space="preserve">Bela Vista </v>
          </cell>
          <cell r="H3114">
            <v>37.840000000000003</v>
          </cell>
        </row>
        <row r="3115">
          <cell r="A3115">
            <v>46198</v>
          </cell>
          <cell r="C3115" t="str">
            <v xml:space="preserve">Bela Vista </v>
          </cell>
          <cell r="H3115">
            <v>36.56</v>
          </cell>
        </row>
        <row r="3116">
          <cell r="A3116">
            <v>46198</v>
          </cell>
          <cell r="C3116" t="str">
            <v xml:space="preserve">Bela Vista </v>
          </cell>
          <cell r="H3116">
            <v>46.26</v>
          </cell>
        </row>
        <row r="3117">
          <cell r="A3117">
            <v>46199</v>
          </cell>
          <cell r="C3117" t="str">
            <v xml:space="preserve">Bela Vista </v>
          </cell>
          <cell r="H3117">
            <v>37.82</v>
          </cell>
        </row>
        <row r="3118">
          <cell r="A3118">
            <v>46199</v>
          </cell>
          <cell r="C3118" t="str">
            <v xml:space="preserve">Bela Vista </v>
          </cell>
          <cell r="H3118">
            <v>40.56</v>
          </cell>
        </row>
        <row r="3119">
          <cell r="A3119">
            <v>46198</v>
          </cell>
          <cell r="C3119" t="str">
            <v xml:space="preserve">Itapaci </v>
          </cell>
          <cell r="H3119">
            <v>32.74</v>
          </cell>
        </row>
        <row r="3120">
          <cell r="A3120">
            <v>46198</v>
          </cell>
          <cell r="C3120" t="str">
            <v xml:space="preserve">Itapaci </v>
          </cell>
          <cell r="H3120">
            <v>35.159999999999997</v>
          </cell>
        </row>
        <row r="3121">
          <cell r="A3121">
            <v>46198</v>
          </cell>
          <cell r="C3121" t="str">
            <v xml:space="preserve">Itapaci </v>
          </cell>
          <cell r="H3121">
            <v>55.46</v>
          </cell>
        </row>
        <row r="3122">
          <cell r="A3122">
            <v>46198</v>
          </cell>
          <cell r="C3122" t="str">
            <v xml:space="preserve">Itapaci </v>
          </cell>
          <cell r="H3122">
            <v>34.08</v>
          </cell>
        </row>
        <row r="3123">
          <cell r="A3123">
            <v>46198</v>
          </cell>
          <cell r="C3123" t="str">
            <v xml:space="preserve">Itapaci </v>
          </cell>
          <cell r="H3123">
            <v>33.44</v>
          </cell>
        </row>
        <row r="3124">
          <cell r="A3124">
            <v>46198</v>
          </cell>
          <cell r="C3124" t="str">
            <v xml:space="preserve">Itapaci </v>
          </cell>
          <cell r="H3124">
            <v>50.44</v>
          </cell>
        </row>
        <row r="3125">
          <cell r="A3125">
            <v>46198</v>
          </cell>
          <cell r="C3125" t="str">
            <v xml:space="preserve">Itapaci </v>
          </cell>
          <cell r="H3125">
            <v>50.94</v>
          </cell>
        </row>
        <row r="3126">
          <cell r="A3126">
            <v>46198</v>
          </cell>
          <cell r="C3126" t="str">
            <v xml:space="preserve">Itapaci </v>
          </cell>
          <cell r="H3126">
            <v>35.020000000000003</v>
          </cell>
        </row>
        <row r="3127">
          <cell r="A3127">
            <v>46198</v>
          </cell>
          <cell r="C3127" t="str">
            <v xml:space="preserve">Itapaci </v>
          </cell>
          <cell r="H3127">
            <v>33.200000000000003</v>
          </cell>
        </row>
        <row r="3128">
          <cell r="A3128">
            <v>46198</v>
          </cell>
          <cell r="C3128" t="str">
            <v xml:space="preserve">Itapaci </v>
          </cell>
          <cell r="H3128">
            <v>34.44</v>
          </cell>
        </row>
        <row r="3129">
          <cell r="A3129">
            <v>46198</v>
          </cell>
          <cell r="C3129" t="str">
            <v xml:space="preserve">Itapaci </v>
          </cell>
          <cell r="H3129">
            <v>64.86</v>
          </cell>
        </row>
        <row r="3130">
          <cell r="A3130">
            <v>46198</v>
          </cell>
          <cell r="C3130" t="str">
            <v xml:space="preserve">Itapaci </v>
          </cell>
          <cell r="H3130">
            <v>43.3</v>
          </cell>
        </row>
        <row r="3131">
          <cell r="A3131">
            <v>46198</v>
          </cell>
          <cell r="C3131" t="str">
            <v xml:space="preserve">Itapaci </v>
          </cell>
          <cell r="H3131">
            <v>31</v>
          </cell>
        </row>
        <row r="3132">
          <cell r="A3132">
            <v>46198</v>
          </cell>
          <cell r="C3132" t="str">
            <v xml:space="preserve">Itapaci </v>
          </cell>
          <cell r="H3132">
            <v>66.819999999999993</v>
          </cell>
        </row>
        <row r="3133">
          <cell r="A3133">
            <v>46198</v>
          </cell>
          <cell r="C3133" t="str">
            <v xml:space="preserve">Itapaci </v>
          </cell>
          <cell r="H3133">
            <v>47.24</v>
          </cell>
        </row>
        <row r="3134">
          <cell r="A3134">
            <v>46198</v>
          </cell>
          <cell r="C3134" t="str">
            <v xml:space="preserve">Itapaci </v>
          </cell>
          <cell r="H3134">
            <v>67.48</v>
          </cell>
        </row>
        <row r="3135">
          <cell r="A3135">
            <v>46198</v>
          </cell>
          <cell r="C3135" t="str">
            <v xml:space="preserve">Itapaci </v>
          </cell>
          <cell r="H3135">
            <v>49.04</v>
          </cell>
        </row>
        <row r="3136">
          <cell r="A3136">
            <v>46198</v>
          </cell>
          <cell r="C3136" t="str">
            <v xml:space="preserve">Itapaci </v>
          </cell>
          <cell r="H3136">
            <v>31.98</v>
          </cell>
        </row>
        <row r="3137">
          <cell r="A3137">
            <v>46198</v>
          </cell>
          <cell r="C3137" t="str">
            <v xml:space="preserve">Itapaci </v>
          </cell>
          <cell r="H3137">
            <v>34.119999999999997</v>
          </cell>
        </row>
        <row r="3138">
          <cell r="A3138">
            <v>46198</v>
          </cell>
          <cell r="C3138" t="str">
            <v xml:space="preserve">Itapaci </v>
          </cell>
          <cell r="H3138">
            <v>33.479999999999997</v>
          </cell>
        </row>
        <row r="3139">
          <cell r="A3139">
            <v>46198</v>
          </cell>
          <cell r="C3139" t="str">
            <v xml:space="preserve">Itapaci </v>
          </cell>
          <cell r="H3139">
            <v>33.200000000000003</v>
          </cell>
        </row>
        <row r="3140">
          <cell r="A3140">
            <v>46198</v>
          </cell>
          <cell r="C3140" t="str">
            <v xml:space="preserve">Itapaci </v>
          </cell>
          <cell r="H3140">
            <v>33.06</v>
          </cell>
        </row>
        <row r="3141">
          <cell r="A3141">
            <v>46198</v>
          </cell>
          <cell r="C3141" t="str">
            <v xml:space="preserve">Itapaci </v>
          </cell>
          <cell r="H3141">
            <v>32.119999999999997</v>
          </cell>
        </row>
        <row r="3142">
          <cell r="A3142">
            <v>46198</v>
          </cell>
          <cell r="C3142" t="str">
            <v xml:space="preserve">Itapaci </v>
          </cell>
          <cell r="H3142">
            <v>31.66</v>
          </cell>
        </row>
        <row r="3143">
          <cell r="A3143">
            <v>46198</v>
          </cell>
          <cell r="C3143" t="str">
            <v xml:space="preserve">Itapaci </v>
          </cell>
          <cell r="H3143">
            <v>34.94</v>
          </cell>
        </row>
        <row r="3144">
          <cell r="A3144">
            <v>46198</v>
          </cell>
          <cell r="C3144" t="str">
            <v xml:space="preserve">Itapaci </v>
          </cell>
          <cell r="H3144">
            <v>37.76</v>
          </cell>
        </row>
        <row r="3145">
          <cell r="A3145">
            <v>46198</v>
          </cell>
          <cell r="C3145" t="str">
            <v xml:space="preserve">Itapaci </v>
          </cell>
          <cell r="H3145">
            <v>27.8</v>
          </cell>
        </row>
        <row r="3146">
          <cell r="A3146">
            <v>46198</v>
          </cell>
          <cell r="C3146" t="str">
            <v xml:space="preserve">Itapaci </v>
          </cell>
          <cell r="H3146">
            <v>35.94</v>
          </cell>
        </row>
        <row r="3147">
          <cell r="A3147">
            <v>46198</v>
          </cell>
          <cell r="C3147" t="str">
            <v xml:space="preserve">Itapaci </v>
          </cell>
          <cell r="H3147">
            <v>36.68</v>
          </cell>
        </row>
        <row r="3148">
          <cell r="A3148">
            <v>46198</v>
          </cell>
          <cell r="C3148" t="str">
            <v xml:space="preserve">Itapaci </v>
          </cell>
          <cell r="H3148">
            <v>33.94</v>
          </cell>
        </row>
        <row r="3149">
          <cell r="A3149">
            <v>46198</v>
          </cell>
          <cell r="C3149" t="str">
            <v xml:space="preserve">Itapaci </v>
          </cell>
          <cell r="H3149">
            <v>30.52</v>
          </cell>
        </row>
        <row r="3150">
          <cell r="A3150">
            <v>46198</v>
          </cell>
          <cell r="C3150" t="str">
            <v xml:space="preserve">Itapaci </v>
          </cell>
          <cell r="H3150">
            <v>33.96</v>
          </cell>
        </row>
        <row r="3151">
          <cell r="A3151">
            <v>46198</v>
          </cell>
          <cell r="C3151" t="str">
            <v xml:space="preserve">Itapaci </v>
          </cell>
          <cell r="H3151">
            <v>34.32</v>
          </cell>
        </row>
        <row r="3152">
          <cell r="A3152">
            <v>46198</v>
          </cell>
          <cell r="C3152" t="str">
            <v xml:space="preserve">Itapaci </v>
          </cell>
          <cell r="H3152">
            <v>34.28</v>
          </cell>
        </row>
        <row r="3153">
          <cell r="A3153">
            <v>46198</v>
          </cell>
          <cell r="C3153" t="str">
            <v xml:space="preserve">Itapaci </v>
          </cell>
          <cell r="H3153">
            <v>65.36</v>
          </cell>
        </row>
        <row r="3154">
          <cell r="A3154">
            <v>46198</v>
          </cell>
          <cell r="C3154" t="str">
            <v xml:space="preserve">Itapaci </v>
          </cell>
          <cell r="H3154">
            <v>33.44</v>
          </cell>
        </row>
        <row r="3155">
          <cell r="A3155">
            <v>46198</v>
          </cell>
          <cell r="C3155" t="str">
            <v xml:space="preserve">Itapaci </v>
          </cell>
          <cell r="H3155">
            <v>33.82</v>
          </cell>
        </row>
        <row r="3156">
          <cell r="A3156">
            <v>46198</v>
          </cell>
          <cell r="C3156" t="str">
            <v xml:space="preserve">Itapaci </v>
          </cell>
          <cell r="H3156">
            <v>64.3</v>
          </cell>
        </row>
        <row r="3157">
          <cell r="A3157">
            <v>46198</v>
          </cell>
          <cell r="C3157" t="str">
            <v xml:space="preserve">Itapaci </v>
          </cell>
          <cell r="H3157">
            <v>33.5</v>
          </cell>
        </row>
        <row r="3158">
          <cell r="A3158">
            <v>46198</v>
          </cell>
          <cell r="C3158" t="str">
            <v xml:space="preserve">Itapaci </v>
          </cell>
          <cell r="H3158">
            <v>35.6</v>
          </cell>
        </row>
        <row r="3159">
          <cell r="A3159">
            <v>46199</v>
          </cell>
          <cell r="C3159" t="str">
            <v xml:space="preserve">Itapaci </v>
          </cell>
          <cell r="H3159">
            <v>32.979999999999997</v>
          </cell>
        </row>
        <row r="3160">
          <cell r="A3160">
            <v>46198</v>
          </cell>
          <cell r="C3160" t="str">
            <v xml:space="preserve">Itapaci </v>
          </cell>
          <cell r="H3160">
            <v>32.619999999999997</v>
          </cell>
        </row>
        <row r="3161">
          <cell r="A3161">
            <v>46199</v>
          </cell>
          <cell r="C3161" t="str">
            <v xml:space="preserve">Itapaci </v>
          </cell>
          <cell r="H3161">
            <v>64.58</v>
          </cell>
        </row>
        <row r="3162">
          <cell r="A3162">
            <v>46199</v>
          </cell>
          <cell r="C3162" t="str">
            <v xml:space="preserve">Itapaci </v>
          </cell>
          <cell r="H3162">
            <v>67.94</v>
          </cell>
        </row>
        <row r="3163">
          <cell r="A3163">
            <v>46199</v>
          </cell>
          <cell r="C3163" t="str">
            <v xml:space="preserve">Itapaci </v>
          </cell>
          <cell r="H3163">
            <v>35.979999999999997</v>
          </cell>
        </row>
        <row r="3164">
          <cell r="A3164">
            <v>46199</v>
          </cell>
          <cell r="C3164" t="str">
            <v xml:space="preserve">Itapaci </v>
          </cell>
          <cell r="H3164">
            <v>42.3</v>
          </cell>
        </row>
        <row r="3165">
          <cell r="A3165">
            <v>46199</v>
          </cell>
          <cell r="C3165" t="str">
            <v xml:space="preserve">Itapaci </v>
          </cell>
          <cell r="H3165">
            <v>64.2</v>
          </cell>
        </row>
        <row r="3166">
          <cell r="A3166">
            <v>46198</v>
          </cell>
          <cell r="C3166" t="str">
            <v xml:space="preserve">Itapaci </v>
          </cell>
          <cell r="H3166">
            <v>32.76</v>
          </cell>
        </row>
        <row r="3167">
          <cell r="A3167">
            <v>46203</v>
          </cell>
          <cell r="C3167" t="str">
            <v xml:space="preserve">Itapaci </v>
          </cell>
          <cell r="H3167">
            <v>34.54</v>
          </cell>
        </row>
        <row r="3168">
          <cell r="A3168">
            <v>46203</v>
          </cell>
          <cell r="C3168" t="str">
            <v xml:space="preserve">Itapaci </v>
          </cell>
          <cell r="H3168">
            <v>34.380000000000003</v>
          </cell>
        </row>
        <row r="3169">
          <cell r="A3169">
            <v>46199</v>
          </cell>
          <cell r="C3169" t="str">
            <v xml:space="preserve">Bela Vista </v>
          </cell>
          <cell r="H3169">
            <v>47.72</v>
          </cell>
        </row>
        <row r="3170">
          <cell r="A3170">
            <v>46199</v>
          </cell>
          <cell r="C3170" t="str">
            <v xml:space="preserve">Bela Vista </v>
          </cell>
          <cell r="H3170">
            <v>37.94</v>
          </cell>
        </row>
        <row r="3171">
          <cell r="A3171">
            <v>46199</v>
          </cell>
          <cell r="C3171" t="str">
            <v xml:space="preserve">Bela Vista </v>
          </cell>
          <cell r="H3171">
            <v>53.44</v>
          </cell>
        </row>
        <row r="3172">
          <cell r="A3172">
            <v>46199</v>
          </cell>
          <cell r="C3172" t="str">
            <v xml:space="preserve">Bela Vista </v>
          </cell>
          <cell r="H3172">
            <v>36.92</v>
          </cell>
        </row>
        <row r="3173">
          <cell r="A3173">
            <v>46199</v>
          </cell>
          <cell r="C3173" t="str">
            <v xml:space="preserve">Bela Vista </v>
          </cell>
          <cell r="H3173">
            <v>37.5</v>
          </cell>
        </row>
        <row r="3174">
          <cell r="A3174">
            <v>46199</v>
          </cell>
          <cell r="C3174" t="str">
            <v xml:space="preserve">Bela Vista </v>
          </cell>
          <cell r="H3174">
            <v>38.159999999999997</v>
          </cell>
        </row>
        <row r="3175">
          <cell r="A3175">
            <v>46199</v>
          </cell>
          <cell r="C3175" t="str">
            <v xml:space="preserve">Bela Vista </v>
          </cell>
          <cell r="H3175">
            <v>38.619999999999997</v>
          </cell>
        </row>
        <row r="3176">
          <cell r="A3176">
            <v>46199</v>
          </cell>
          <cell r="C3176" t="str">
            <v xml:space="preserve">Bela Vista </v>
          </cell>
          <cell r="H3176">
            <v>38.159999999999997</v>
          </cell>
        </row>
        <row r="3177">
          <cell r="A3177">
            <v>46199</v>
          </cell>
          <cell r="C3177" t="str">
            <v xml:space="preserve">Bela Vista </v>
          </cell>
          <cell r="H3177">
            <v>36.08</v>
          </cell>
        </row>
        <row r="3178">
          <cell r="A3178">
            <v>46199</v>
          </cell>
          <cell r="C3178" t="str">
            <v xml:space="preserve">Bela Vista </v>
          </cell>
          <cell r="H3178">
            <v>38.659999999999997</v>
          </cell>
        </row>
        <row r="3179">
          <cell r="A3179">
            <v>46199</v>
          </cell>
          <cell r="C3179" t="str">
            <v xml:space="preserve">Bela Vista </v>
          </cell>
          <cell r="H3179">
            <v>38.14</v>
          </cell>
        </row>
        <row r="3180">
          <cell r="A3180">
            <v>46199</v>
          </cell>
          <cell r="C3180" t="str">
            <v xml:space="preserve">Bela Vista </v>
          </cell>
          <cell r="H3180">
            <v>35.64</v>
          </cell>
        </row>
        <row r="3181">
          <cell r="A3181">
            <v>46199</v>
          </cell>
          <cell r="C3181" t="str">
            <v xml:space="preserve">Bela Vista </v>
          </cell>
          <cell r="H3181">
            <v>36.520000000000003</v>
          </cell>
        </row>
        <row r="3182">
          <cell r="A3182">
            <v>46200</v>
          </cell>
          <cell r="C3182" t="str">
            <v xml:space="preserve">Bela Vista </v>
          </cell>
          <cell r="H3182">
            <v>40.08</v>
          </cell>
        </row>
        <row r="3183">
          <cell r="A3183">
            <v>46200</v>
          </cell>
          <cell r="C3183" t="str">
            <v xml:space="preserve">Bela Vista </v>
          </cell>
          <cell r="H3183">
            <v>39.4</v>
          </cell>
        </row>
        <row r="3184">
          <cell r="A3184">
            <v>46200</v>
          </cell>
          <cell r="C3184" t="str">
            <v xml:space="preserve">Bela Vista </v>
          </cell>
          <cell r="H3184">
            <v>39.799999999999997</v>
          </cell>
        </row>
        <row r="3185">
          <cell r="A3185">
            <v>46200</v>
          </cell>
          <cell r="C3185" t="str">
            <v xml:space="preserve">Bela Vista </v>
          </cell>
          <cell r="H3185">
            <v>37.340000000000003</v>
          </cell>
        </row>
        <row r="3186">
          <cell r="A3186">
            <v>46200</v>
          </cell>
          <cell r="C3186" t="str">
            <v xml:space="preserve">Bela Vista </v>
          </cell>
          <cell r="H3186">
            <v>37.82</v>
          </cell>
        </row>
        <row r="3187">
          <cell r="A3187">
            <v>46200</v>
          </cell>
          <cell r="C3187" t="str">
            <v xml:space="preserve">Bela Vista </v>
          </cell>
          <cell r="H3187">
            <v>36</v>
          </cell>
        </row>
        <row r="3188">
          <cell r="A3188">
            <v>46200</v>
          </cell>
          <cell r="C3188" t="str">
            <v xml:space="preserve">Bela Vista </v>
          </cell>
          <cell r="H3188">
            <v>42.18</v>
          </cell>
        </row>
        <row r="3189">
          <cell r="A3189">
            <v>46199</v>
          </cell>
          <cell r="C3189" t="str">
            <v xml:space="preserve">Itapaci </v>
          </cell>
          <cell r="H3189">
            <v>33.14</v>
          </cell>
        </row>
        <row r="3190">
          <cell r="A3190">
            <v>46199</v>
          </cell>
          <cell r="C3190" t="str">
            <v xml:space="preserve">Itapaci </v>
          </cell>
          <cell r="H3190">
            <v>31.7</v>
          </cell>
        </row>
        <row r="3191">
          <cell r="A3191">
            <v>46199</v>
          </cell>
          <cell r="C3191" t="str">
            <v xml:space="preserve">Itapaci </v>
          </cell>
          <cell r="H3191">
            <v>35.24</v>
          </cell>
        </row>
        <row r="3192">
          <cell r="A3192">
            <v>46199</v>
          </cell>
          <cell r="C3192" t="str">
            <v xml:space="preserve">Itapaci </v>
          </cell>
          <cell r="H3192">
            <v>49.08</v>
          </cell>
        </row>
        <row r="3193">
          <cell r="A3193">
            <v>46199</v>
          </cell>
          <cell r="C3193" t="str">
            <v xml:space="preserve">Itapaci </v>
          </cell>
          <cell r="H3193">
            <v>32.32</v>
          </cell>
        </row>
        <row r="3194">
          <cell r="A3194">
            <v>46199</v>
          </cell>
          <cell r="C3194" t="str">
            <v xml:space="preserve">Itapaci </v>
          </cell>
          <cell r="H3194">
            <v>34.340000000000003</v>
          </cell>
        </row>
        <row r="3195">
          <cell r="A3195">
            <v>46199</v>
          </cell>
          <cell r="C3195" t="str">
            <v xml:space="preserve">Itapaci </v>
          </cell>
          <cell r="H3195">
            <v>30.34</v>
          </cell>
        </row>
        <row r="3196">
          <cell r="A3196">
            <v>46199</v>
          </cell>
          <cell r="C3196" t="str">
            <v xml:space="preserve">Itapaci </v>
          </cell>
          <cell r="H3196">
            <v>33.92</v>
          </cell>
        </row>
        <row r="3197">
          <cell r="A3197">
            <v>46199</v>
          </cell>
          <cell r="C3197" t="str">
            <v xml:space="preserve">Itapaci </v>
          </cell>
          <cell r="H3197">
            <v>34.159999999999997</v>
          </cell>
        </row>
        <row r="3198">
          <cell r="A3198">
            <v>46199</v>
          </cell>
          <cell r="C3198" t="str">
            <v xml:space="preserve">Itapaci </v>
          </cell>
          <cell r="H3198">
            <v>45.06</v>
          </cell>
        </row>
        <row r="3199">
          <cell r="A3199">
            <v>46199</v>
          </cell>
          <cell r="C3199" t="str">
            <v xml:space="preserve">Itapaci </v>
          </cell>
          <cell r="H3199">
            <v>35.32</v>
          </cell>
        </row>
        <row r="3200">
          <cell r="A3200">
            <v>46199</v>
          </cell>
          <cell r="C3200" t="str">
            <v xml:space="preserve">Itapaci </v>
          </cell>
          <cell r="H3200">
            <v>33.08</v>
          </cell>
        </row>
        <row r="3201">
          <cell r="A3201">
            <v>46199</v>
          </cell>
          <cell r="C3201" t="str">
            <v xml:space="preserve">Itapaci </v>
          </cell>
          <cell r="H3201">
            <v>48.26</v>
          </cell>
        </row>
        <row r="3202">
          <cell r="A3202">
            <v>46199</v>
          </cell>
          <cell r="C3202" t="str">
            <v xml:space="preserve">Itapaci </v>
          </cell>
          <cell r="H3202">
            <v>33.9</v>
          </cell>
        </row>
        <row r="3203">
          <cell r="A3203">
            <v>46199</v>
          </cell>
          <cell r="C3203" t="str">
            <v xml:space="preserve">Itapaci </v>
          </cell>
          <cell r="H3203">
            <v>52.3</v>
          </cell>
        </row>
        <row r="3204">
          <cell r="A3204">
            <v>46199</v>
          </cell>
          <cell r="C3204" t="str">
            <v xml:space="preserve">Itapaci </v>
          </cell>
          <cell r="H3204">
            <v>34.46</v>
          </cell>
        </row>
        <row r="3205">
          <cell r="A3205">
            <v>46199</v>
          </cell>
          <cell r="C3205" t="str">
            <v xml:space="preserve">Itapaci </v>
          </cell>
          <cell r="H3205">
            <v>67.34</v>
          </cell>
        </row>
        <row r="3206">
          <cell r="A3206">
            <v>46199</v>
          </cell>
          <cell r="C3206" t="str">
            <v xml:space="preserve">Itapaci </v>
          </cell>
          <cell r="H3206">
            <v>49.1</v>
          </cell>
        </row>
        <row r="3207">
          <cell r="A3207">
            <v>46199</v>
          </cell>
          <cell r="C3207" t="str">
            <v xml:space="preserve">Itapaci </v>
          </cell>
          <cell r="H3207">
            <v>34.22</v>
          </cell>
        </row>
        <row r="3208">
          <cell r="A3208">
            <v>46199</v>
          </cell>
          <cell r="C3208" t="str">
            <v xml:space="preserve">Itapaci </v>
          </cell>
          <cell r="H3208">
            <v>64.92</v>
          </cell>
        </row>
        <row r="3209">
          <cell r="A3209">
            <v>46199</v>
          </cell>
          <cell r="C3209" t="str">
            <v xml:space="preserve">Itapaci </v>
          </cell>
          <cell r="H3209">
            <v>34.6</v>
          </cell>
        </row>
        <row r="3210">
          <cell r="A3210">
            <v>46199</v>
          </cell>
          <cell r="C3210" t="str">
            <v xml:space="preserve">Itapaci </v>
          </cell>
          <cell r="H3210">
            <v>34.08</v>
          </cell>
        </row>
        <row r="3211">
          <cell r="A3211">
            <v>46202</v>
          </cell>
          <cell r="C3211" t="str">
            <v xml:space="preserve">Itapaci </v>
          </cell>
          <cell r="H3211">
            <v>33.32</v>
          </cell>
        </row>
        <row r="3212">
          <cell r="A3212">
            <v>46200</v>
          </cell>
          <cell r="C3212" t="str">
            <v xml:space="preserve">Itapaci </v>
          </cell>
          <cell r="H3212">
            <v>34.18</v>
          </cell>
        </row>
        <row r="3213">
          <cell r="A3213">
            <v>46202</v>
          </cell>
          <cell r="C3213" t="str">
            <v xml:space="preserve">Itapaci </v>
          </cell>
          <cell r="H3213">
            <v>34.159999999999997</v>
          </cell>
        </row>
        <row r="3214">
          <cell r="A3214">
            <v>46199</v>
          </cell>
          <cell r="C3214" t="str">
            <v xml:space="preserve">Itapaci </v>
          </cell>
          <cell r="H3214">
            <v>33.5</v>
          </cell>
        </row>
        <row r="3215">
          <cell r="A3215">
            <v>46199</v>
          </cell>
          <cell r="C3215" t="str">
            <v xml:space="preserve">Itapaci </v>
          </cell>
          <cell r="H3215">
            <v>35.200000000000003</v>
          </cell>
        </row>
        <row r="3216">
          <cell r="A3216">
            <v>46200</v>
          </cell>
          <cell r="C3216" t="str">
            <v xml:space="preserve">Itapaci </v>
          </cell>
          <cell r="H3216">
            <v>29.12</v>
          </cell>
        </row>
        <row r="3217">
          <cell r="A3217">
            <v>46200</v>
          </cell>
          <cell r="C3217" t="str">
            <v xml:space="preserve">Itapaci </v>
          </cell>
          <cell r="H3217">
            <v>33.700000000000003</v>
          </cell>
        </row>
        <row r="3218">
          <cell r="A3218">
            <v>46203</v>
          </cell>
          <cell r="C3218" t="str">
            <v xml:space="preserve">Itapaci </v>
          </cell>
          <cell r="H3218">
            <v>32.200000000000003</v>
          </cell>
        </row>
        <row r="3219">
          <cell r="A3219">
            <v>46200</v>
          </cell>
          <cell r="C3219" t="str">
            <v xml:space="preserve">Itapaci </v>
          </cell>
          <cell r="H3219">
            <v>44.04</v>
          </cell>
        </row>
        <row r="3220">
          <cell r="A3220">
            <v>46200</v>
          </cell>
          <cell r="C3220" t="str">
            <v xml:space="preserve">Itapaci </v>
          </cell>
          <cell r="H3220">
            <v>69.62</v>
          </cell>
        </row>
        <row r="3221">
          <cell r="A3221">
            <v>46200</v>
          </cell>
          <cell r="C3221" t="str">
            <v xml:space="preserve">Itapaci </v>
          </cell>
          <cell r="H3221">
            <v>32.58</v>
          </cell>
        </row>
        <row r="3222">
          <cell r="A3222">
            <v>46200</v>
          </cell>
          <cell r="C3222" t="str">
            <v xml:space="preserve">Itapaci </v>
          </cell>
          <cell r="H3222">
            <v>67.62</v>
          </cell>
        </row>
        <row r="3223">
          <cell r="A3223">
            <v>46200</v>
          </cell>
          <cell r="C3223" t="str">
            <v xml:space="preserve">Itapaci </v>
          </cell>
          <cell r="H3223">
            <v>64.7</v>
          </cell>
        </row>
        <row r="3224">
          <cell r="A3224">
            <v>46200</v>
          </cell>
          <cell r="C3224" t="str">
            <v xml:space="preserve">Itapaci </v>
          </cell>
          <cell r="H3224">
            <v>32.74</v>
          </cell>
        </row>
        <row r="3225">
          <cell r="A3225">
            <v>46200</v>
          </cell>
          <cell r="C3225" t="str">
            <v xml:space="preserve">Itapaci </v>
          </cell>
          <cell r="H3225">
            <v>32.1</v>
          </cell>
        </row>
        <row r="3226">
          <cell r="A3226">
            <v>46200</v>
          </cell>
          <cell r="C3226" t="str">
            <v xml:space="preserve">Itapaci </v>
          </cell>
          <cell r="H3226">
            <v>34.479999999999997</v>
          </cell>
        </row>
        <row r="3227">
          <cell r="A3227">
            <v>46200</v>
          </cell>
          <cell r="C3227" t="str">
            <v xml:space="preserve">Itapaci </v>
          </cell>
          <cell r="H3227">
            <v>30.62</v>
          </cell>
        </row>
        <row r="3228">
          <cell r="A3228">
            <v>46200</v>
          </cell>
          <cell r="C3228" t="str">
            <v xml:space="preserve">Bela Vista </v>
          </cell>
          <cell r="H3228">
            <v>38.6</v>
          </cell>
        </row>
        <row r="3229">
          <cell r="A3229">
            <v>46200</v>
          </cell>
          <cell r="C3229" t="str">
            <v xml:space="preserve">Bela Vista </v>
          </cell>
          <cell r="H3229">
            <v>34.86</v>
          </cell>
        </row>
        <row r="3230">
          <cell r="A3230">
            <v>46200</v>
          </cell>
          <cell r="C3230" t="str">
            <v xml:space="preserve">Bela Vista </v>
          </cell>
          <cell r="H3230">
            <v>38.58</v>
          </cell>
        </row>
        <row r="3231">
          <cell r="A3231">
            <v>46200</v>
          </cell>
          <cell r="C3231" t="str">
            <v xml:space="preserve">Bela Vista </v>
          </cell>
          <cell r="H3231">
            <v>38.26</v>
          </cell>
        </row>
        <row r="3232">
          <cell r="A3232">
            <v>46200</v>
          </cell>
          <cell r="C3232" t="str">
            <v xml:space="preserve">Bela Vista </v>
          </cell>
          <cell r="H3232">
            <v>38.479999999999997</v>
          </cell>
        </row>
        <row r="3233">
          <cell r="A3233">
            <v>46200</v>
          </cell>
          <cell r="C3233" t="str">
            <v xml:space="preserve">Bela Vista </v>
          </cell>
          <cell r="H3233">
            <v>38.9</v>
          </cell>
        </row>
        <row r="3234">
          <cell r="A3234">
            <v>46200</v>
          </cell>
          <cell r="C3234" t="str">
            <v xml:space="preserve">Bela Vista </v>
          </cell>
          <cell r="H3234">
            <v>38.619999999999997</v>
          </cell>
        </row>
        <row r="3235">
          <cell r="A3235">
            <v>46200</v>
          </cell>
          <cell r="C3235" t="str">
            <v xml:space="preserve">Bela Vista </v>
          </cell>
          <cell r="H3235">
            <v>38.06</v>
          </cell>
        </row>
        <row r="3236">
          <cell r="A3236">
            <v>46200</v>
          </cell>
          <cell r="C3236" t="str">
            <v xml:space="preserve">Bela Vista </v>
          </cell>
          <cell r="H3236">
            <v>32.4</v>
          </cell>
        </row>
        <row r="3237">
          <cell r="A3237">
            <v>46200</v>
          </cell>
          <cell r="C3237" t="str">
            <v xml:space="preserve">Bela Vista </v>
          </cell>
          <cell r="H3237">
            <v>32.020000000000003</v>
          </cell>
        </row>
        <row r="3238">
          <cell r="A3238">
            <v>46200</v>
          </cell>
          <cell r="C3238" t="str">
            <v xml:space="preserve">Bela Vista </v>
          </cell>
          <cell r="H3238">
            <v>36.68</v>
          </cell>
        </row>
        <row r="3239">
          <cell r="A3239">
            <v>46200</v>
          </cell>
          <cell r="C3239" t="str">
            <v xml:space="preserve">Bela Vista </v>
          </cell>
          <cell r="H3239">
            <v>37.24</v>
          </cell>
        </row>
        <row r="3240">
          <cell r="A3240">
            <v>46200</v>
          </cell>
          <cell r="C3240" t="str">
            <v xml:space="preserve">Bela Vista </v>
          </cell>
          <cell r="H3240">
            <v>37.299999999999997</v>
          </cell>
        </row>
        <row r="3241">
          <cell r="A3241">
            <v>46200</v>
          </cell>
          <cell r="C3241" t="str">
            <v xml:space="preserve">Bela Vista </v>
          </cell>
          <cell r="H3241">
            <v>37.159999999999997</v>
          </cell>
        </row>
        <row r="3242">
          <cell r="A3242">
            <v>46200</v>
          </cell>
          <cell r="C3242" t="str">
            <v xml:space="preserve">Bela Vista </v>
          </cell>
          <cell r="H3242">
            <v>37.14</v>
          </cell>
        </row>
        <row r="3243">
          <cell r="A3243">
            <v>46200</v>
          </cell>
          <cell r="C3243" t="str">
            <v xml:space="preserve">Bela Vista </v>
          </cell>
          <cell r="H3243">
            <v>38.08</v>
          </cell>
        </row>
        <row r="3244">
          <cell r="A3244">
            <v>46202</v>
          </cell>
          <cell r="C3244" t="str">
            <v xml:space="preserve">Bela Vista </v>
          </cell>
          <cell r="H3244">
            <v>39.72</v>
          </cell>
        </row>
        <row r="3245">
          <cell r="A3245">
            <v>46202</v>
          </cell>
          <cell r="C3245" t="str">
            <v xml:space="preserve">Bela Vista </v>
          </cell>
          <cell r="H3245">
            <v>38.9</v>
          </cell>
        </row>
        <row r="3246">
          <cell r="A3246">
            <v>46202</v>
          </cell>
          <cell r="C3246" t="str">
            <v xml:space="preserve">Bela Vista </v>
          </cell>
          <cell r="H3246">
            <v>36.22</v>
          </cell>
        </row>
        <row r="3247">
          <cell r="A3247">
            <v>46202</v>
          </cell>
          <cell r="C3247" t="str">
            <v xml:space="preserve">Bela Vista </v>
          </cell>
          <cell r="H3247">
            <v>35.9</v>
          </cell>
        </row>
        <row r="3248">
          <cell r="A3248">
            <v>46202</v>
          </cell>
          <cell r="C3248" t="str">
            <v xml:space="preserve">Bela Vista </v>
          </cell>
          <cell r="H3248">
            <v>38.659999999999997</v>
          </cell>
        </row>
        <row r="3249">
          <cell r="A3249">
            <v>46202</v>
          </cell>
          <cell r="C3249" t="str">
            <v xml:space="preserve">Bela Vista </v>
          </cell>
          <cell r="H3249">
            <v>31.08</v>
          </cell>
        </row>
        <row r="3250">
          <cell r="A3250">
            <v>46202</v>
          </cell>
          <cell r="C3250" t="str">
            <v xml:space="preserve">Bela Vista </v>
          </cell>
          <cell r="H3250">
            <v>36.86</v>
          </cell>
        </row>
        <row r="3251">
          <cell r="A3251">
            <v>46202</v>
          </cell>
          <cell r="C3251" t="str">
            <v xml:space="preserve">Bela Vista </v>
          </cell>
          <cell r="H3251">
            <v>30.78</v>
          </cell>
        </row>
        <row r="3252">
          <cell r="A3252">
            <v>46203</v>
          </cell>
          <cell r="C3252" t="str">
            <v xml:space="preserve">Bela Vista </v>
          </cell>
          <cell r="H3252">
            <v>40</v>
          </cell>
        </row>
        <row r="3253">
          <cell r="A3253">
            <v>46203</v>
          </cell>
          <cell r="C3253" t="str">
            <v xml:space="preserve">Bela Vista </v>
          </cell>
          <cell r="H3253">
            <v>38.96</v>
          </cell>
        </row>
        <row r="3254">
          <cell r="A3254">
            <v>46203</v>
          </cell>
          <cell r="C3254" t="str">
            <v xml:space="preserve">Bela Vista </v>
          </cell>
          <cell r="H3254">
            <v>35.82</v>
          </cell>
        </row>
        <row r="3255">
          <cell r="A3255">
            <v>46203</v>
          </cell>
          <cell r="C3255" t="str">
            <v xml:space="preserve">Bela Vista </v>
          </cell>
          <cell r="H3255">
            <v>38.340000000000003</v>
          </cell>
        </row>
        <row r="3256">
          <cell r="A3256">
            <v>46203</v>
          </cell>
          <cell r="C3256" t="str">
            <v xml:space="preserve">Bela Vista </v>
          </cell>
          <cell r="H3256">
            <v>37.64</v>
          </cell>
        </row>
        <row r="3257">
          <cell r="A3257">
            <v>46203</v>
          </cell>
          <cell r="C3257" t="str">
            <v xml:space="preserve">Bela Vista </v>
          </cell>
          <cell r="H3257">
            <v>37.24</v>
          </cell>
        </row>
        <row r="3258">
          <cell r="A3258">
            <v>46202</v>
          </cell>
          <cell r="C3258" t="str">
            <v xml:space="preserve">Itapaci </v>
          </cell>
          <cell r="H3258">
            <v>46.6</v>
          </cell>
        </row>
        <row r="3259">
          <cell r="A3259">
            <v>46202</v>
          </cell>
          <cell r="C3259" t="str">
            <v xml:space="preserve">Itapaci </v>
          </cell>
          <cell r="H3259">
            <v>48.44</v>
          </cell>
        </row>
        <row r="3260">
          <cell r="A3260">
            <v>46202</v>
          </cell>
          <cell r="C3260" t="str">
            <v xml:space="preserve">Itapaci </v>
          </cell>
          <cell r="H3260">
            <v>34.46</v>
          </cell>
        </row>
        <row r="3261">
          <cell r="A3261">
            <v>46202</v>
          </cell>
          <cell r="C3261" t="str">
            <v xml:space="preserve">Itapaci </v>
          </cell>
          <cell r="H3261">
            <v>34.9</v>
          </cell>
        </row>
        <row r="3262">
          <cell r="A3262">
            <v>46202</v>
          </cell>
          <cell r="C3262" t="str">
            <v xml:space="preserve">Itapaci </v>
          </cell>
          <cell r="H3262">
            <v>64.36</v>
          </cell>
        </row>
        <row r="3263">
          <cell r="A3263">
            <v>46202</v>
          </cell>
          <cell r="C3263" t="str">
            <v xml:space="preserve">Itapaci </v>
          </cell>
          <cell r="H3263">
            <v>65.08</v>
          </cell>
        </row>
        <row r="3264">
          <cell r="A3264">
            <v>46202</v>
          </cell>
          <cell r="C3264" t="str">
            <v xml:space="preserve">Itapaci </v>
          </cell>
          <cell r="H3264">
            <v>33.32</v>
          </cell>
        </row>
        <row r="3265">
          <cell r="A3265">
            <v>46202</v>
          </cell>
          <cell r="C3265" t="str">
            <v xml:space="preserve">Itapaci </v>
          </cell>
          <cell r="H3265">
            <v>34.26</v>
          </cell>
        </row>
        <row r="3266">
          <cell r="A3266">
            <v>46202</v>
          </cell>
          <cell r="C3266" t="str">
            <v xml:space="preserve">Itapaci </v>
          </cell>
          <cell r="H3266">
            <v>65.98</v>
          </cell>
        </row>
        <row r="3267">
          <cell r="A3267">
            <v>46202</v>
          </cell>
          <cell r="C3267" t="str">
            <v xml:space="preserve">Itapaci </v>
          </cell>
          <cell r="H3267">
            <v>30.96</v>
          </cell>
        </row>
        <row r="3268">
          <cell r="A3268">
            <v>46202</v>
          </cell>
          <cell r="C3268" t="str">
            <v xml:space="preserve">Itapaci </v>
          </cell>
          <cell r="H3268">
            <v>35.18</v>
          </cell>
        </row>
        <row r="3269">
          <cell r="A3269">
            <v>46202</v>
          </cell>
          <cell r="C3269" t="str">
            <v xml:space="preserve">Itapaci </v>
          </cell>
          <cell r="H3269">
            <v>53.76</v>
          </cell>
        </row>
        <row r="3270">
          <cell r="A3270">
            <v>46202</v>
          </cell>
          <cell r="C3270" t="str">
            <v xml:space="preserve">Itapaci </v>
          </cell>
          <cell r="H3270">
            <v>47.26</v>
          </cell>
        </row>
        <row r="3271">
          <cell r="A3271">
            <v>46202</v>
          </cell>
          <cell r="C3271" t="str">
            <v xml:space="preserve">Itapaci </v>
          </cell>
          <cell r="H3271">
            <v>65.34</v>
          </cell>
        </row>
        <row r="3272">
          <cell r="A3272">
            <v>46202</v>
          </cell>
          <cell r="C3272" t="str">
            <v xml:space="preserve">Itapaci </v>
          </cell>
          <cell r="H3272">
            <v>44.34</v>
          </cell>
        </row>
        <row r="3273">
          <cell r="A3273">
            <v>46202</v>
          </cell>
          <cell r="C3273" t="str">
            <v xml:space="preserve">Itapaci </v>
          </cell>
          <cell r="H3273">
            <v>42.62</v>
          </cell>
        </row>
        <row r="3274">
          <cell r="A3274">
            <v>46202</v>
          </cell>
          <cell r="C3274" t="str">
            <v xml:space="preserve">Itapaci </v>
          </cell>
          <cell r="H3274">
            <v>34.68</v>
          </cell>
        </row>
        <row r="3275">
          <cell r="A3275">
            <v>46202</v>
          </cell>
          <cell r="C3275" t="str">
            <v xml:space="preserve">Itapaci </v>
          </cell>
          <cell r="H3275">
            <v>33.6</v>
          </cell>
        </row>
        <row r="3276">
          <cell r="A3276">
            <v>46203</v>
          </cell>
          <cell r="C3276" t="str">
            <v xml:space="preserve">Itapaci </v>
          </cell>
          <cell r="H3276">
            <v>34.6</v>
          </cell>
        </row>
        <row r="3277">
          <cell r="A3277">
            <v>46203</v>
          </cell>
          <cell r="C3277" t="str">
            <v xml:space="preserve">Itapaci </v>
          </cell>
          <cell r="H3277">
            <v>35.9</v>
          </cell>
        </row>
        <row r="3278">
          <cell r="A3278">
            <v>46203</v>
          </cell>
          <cell r="C3278" t="str">
            <v xml:space="preserve">Itapaci </v>
          </cell>
          <cell r="H3278">
            <v>32.1</v>
          </cell>
        </row>
        <row r="3279">
          <cell r="A3279">
            <v>46203</v>
          </cell>
          <cell r="C3279" t="str">
            <v xml:space="preserve">Itapaci </v>
          </cell>
          <cell r="H3279">
            <v>33.9</v>
          </cell>
        </row>
        <row r="3280">
          <cell r="A3280">
            <v>46203</v>
          </cell>
          <cell r="C3280" t="str">
            <v xml:space="preserve">Itapaci </v>
          </cell>
          <cell r="H3280">
            <v>35.840000000000003</v>
          </cell>
        </row>
        <row r="3281">
          <cell r="A3281">
            <v>46203</v>
          </cell>
          <cell r="C3281" t="str">
            <v xml:space="preserve">Itapaci </v>
          </cell>
          <cell r="H3281">
            <v>35.119999999999997</v>
          </cell>
        </row>
        <row r="3282">
          <cell r="A3282">
            <v>46203</v>
          </cell>
          <cell r="C3282" t="str">
            <v xml:space="preserve">Itapaci </v>
          </cell>
          <cell r="H3282">
            <v>33.68</v>
          </cell>
        </row>
        <row r="3283">
          <cell r="A3283">
            <v>46203</v>
          </cell>
          <cell r="C3283" t="str">
            <v xml:space="preserve">Itapaci </v>
          </cell>
          <cell r="H3283">
            <v>64.08</v>
          </cell>
        </row>
        <row r="3284">
          <cell r="A3284">
            <v>46203</v>
          </cell>
          <cell r="C3284" t="str">
            <v xml:space="preserve">Itapaci </v>
          </cell>
          <cell r="H3284">
            <v>36.6</v>
          </cell>
        </row>
        <row r="3285">
          <cell r="A3285">
            <v>46203</v>
          </cell>
          <cell r="C3285" t="str">
            <v xml:space="preserve">Itapaci </v>
          </cell>
          <cell r="H3285">
            <v>33.92</v>
          </cell>
        </row>
        <row r="3286">
          <cell r="A3286">
            <v>46203</v>
          </cell>
          <cell r="C3286" t="str">
            <v xml:space="preserve">Itapaci </v>
          </cell>
          <cell r="H3286">
            <v>34.44</v>
          </cell>
        </row>
        <row r="3287">
          <cell r="A3287">
            <v>46203</v>
          </cell>
          <cell r="C3287" t="str">
            <v xml:space="preserve">Itapaci </v>
          </cell>
          <cell r="H3287">
            <v>34.880000000000003</v>
          </cell>
        </row>
        <row r="3288">
          <cell r="A3288">
            <v>46203</v>
          </cell>
          <cell r="C3288" t="str">
            <v xml:space="preserve">Itapaci </v>
          </cell>
          <cell r="H3288">
            <v>34.200000000000003</v>
          </cell>
        </row>
        <row r="3289">
          <cell r="A3289">
            <v>46203</v>
          </cell>
          <cell r="C3289" t="str">
            <v xml:space="preserve">Itapaci </v>
          </cell>
          <cell r="H3289">
            <v>49.4</v>
          </cell>
        </row>
        <row r="3290">
          <cell r="A3290">
            <v>46203</v>
          </cell>
          <cell r="C3290" t="str">
            <v xml:space="preserve">Itapaci </v>
          </cell>
          <cell r="H3290">
            <v>50.46</v>
          </cell>
        </row>
        <row r="3291">
          <cell r="A3291">
            <v>46203</v>
          </cell>
          <cell r="C3291" t="str">
            <v xml:space="preserve">Itapaci </v>
          </cell>
          <cell r="H3291">
            <v>64.3</v>
          </cell>
        </row>
        <row r="3292">
          <cell r="A3292">
            <v>46203</v>
          </cell>
          <cell r="C3292" t="str">
            <v xml:space="preserve">Itapaci </v>
          </cell>
          <cell r="H3292">
            <v>67.72</v>
          </cell>
        </row>
        <row r="3293">
          <cell r="A3293">
            <v>46203</v>
          </cell>
          <cell r="C3293" t="str">
            <v xml:space="preserve">Itapaci </v>
          </cell>
          <cell r="H3293">
            <v>36.299999999999997</v>
          </cell>
        </row>
        <row r="3294">
          <cell r="A3294">
            <v>46203</v>
          </cell>
          <cell r="C3294" t="str">
            <v xml:space="preserve">Itapaci </v>
          </cell>
          <cell r="H3294">
            <v>34.44</v>
          </cell>
        </row>
        <row r="3295">
          <cell r="A3295">
            <v>46203</v>
          </cell>
          <cell r="C3295" t="str">
            <v xml:space="preserve">Itapaci </v>
          </cell>
          <cell r="H3295">
            <v>65.62</v>
          </cell>
        </row>
        <row r="3296">
          <cell r="A3296">
            <v>46203</v>
          </cell>
          <cell r="C3296" t="str">
            <v xml:space="preserve">Itapaci </v>
          </cell>
          <cell r="H3296">
            <v>34.380000000000003</v>
          </cell>
        </row>
        <row r="3297">
          <cell r="A3297">
            <v>46203</v>
          </cell>
          <cell r="C3297" t="str">
            <v xml:space="preserve">Itapaci </v>
          </cell>
          <cell r="H3297">
            <v>30.42</v>
          </cell>
        </row>
        <row r="3298">
          <cell r="A3298">
            <v>46203</v>
          </cell>
          <cell r="C3298" t="str">
            <v xml:space="preserve">Itapaci </v>
          </cell>
          <cell r="H3298">
            <v>35.840000000000003</v>
          </cell>
        </row>
        <row r="3299">
          <cell r="A3299">
            <v>46203</v>
          </cell>
          <cell r="C3299" t="str">
            <v xml:space="preserve">Itapaci </v>
          </cell>
          <cell r="H3299">
            <v>65.66</v>
          </cell>
        </row>
        <row r="3300">
          <cell r="A3300">
            <v>46203</v>
          </cell>
          <cell r="C3300" t="str">
            <v xml:space="preserve">Itapaci </v>
          </cell>
          <cell r="H3300">
            <v>36.68</v>
          </cell>
        </row>
        <row r="3301">
          <cell r="A3301">
            <v>46203</v>
          </cell>
          <cell r="C3301" t="str">
            <v xml:space="preserve">Itapaci </v>
          </cell>
          <cell r="H3301">
            <v>43.6</v>
          </cell>
        </row>
        <row r="3302">
          <cell r="A3302">
            <v>46203</v>
          </cell>
          <cell r="C3302" t="str">
            <v xml:space="preserve">Itapaci </v>
          </cell>
          <cell r="H3302">
            <v>40.58</v>
          </cell>
        </row>
        <row r="3303">
          <cell r="A3303">
            <v>46203</v>
          </cell>
          <cell r="C3303" t="str">
            <v xml:space="preserve">Itapaci </v>
          </cell>
          <cell r="H3303">
            <v>34.92</v>
          </cell>
        </row>
        <row r="3304">
          <cell r="A3304">
            <v>46203</v>
          </cell>
          <cell r="C3304" t="str">
            <v xml:space="preserve">Itapaci </v>
          </cell>
          <cell r="H3304">
            <v>33.18</v>
          </cell>
        </row>
        <row r="3305">
          <cell r="A3305">
            <v>46203</v>
          </cell>
          <cell r="C3305" t="str">
            <v xml:space="preserve">Itapaci </v>
          </cell>
          <cell r="H3305">
            <v>53.74</v>
          </cell>
        </row>
        <row r="3306">
          <cell r="A3306">
            <v>46203</v>
          </cell>
          <cell r="C3306" t="str">
            <v xml:space="preserve">Itapaci </v>
          </cell>
          <cell r="H3306">
            <v>52.92</v>
          </cell>
        </row>
        <row r="3307">
          <cell r="A3307">
            <v>46203</v>
          </cell>
          <cell r="C3307" t="str">
            <v xml:space="preserve">Itapaci </v>
          </cell>
          <cell r="H3307">
            <v>34</v>
          </cell>
        </row>
        <row r="3308">
          <cell r="A3308">
            <v>46203</v>
          </cell>
          <cell r="C3308" t="str">
            <v xml:space="preserve">Itapaci </v>
          </cell>
          <cell r="H3308">
            <v>34.299999999999997</v>
          </cell>
        </row>
        <row r="3309">
          <cell r="A3309">
            <v>46203</v>
          </cell>
          <cell r="C3309" t="str">
            <v xml:space="preserve">Itapaci </v>
          </cell>
          <cell r="H3309">
            <v>35.56</v>
          </cell>
        </row>
        <row r="3310">
          <cell r="A3310">
            <v>46203</v>
          </cell>
          <cell r="C3310" t="str">
            <v xml:space="preserve">Itapaci </v>
          </cell>
          <cell r="H3310">
            <v>34.5</v>
          </cell>
        </row>
        <row r="3311">
          <cell r="A3311">
            <v>46203</v>
          </cell>
          <cell r="C3311" t="str">
            <v xml:space="preserve">Itapaci </v>
          </cell>
          <cell r="H3311">
            <v>63.12</v>
          </cell>
        </row>
        <row r="3312">
          <cell r="A3312">
            <v>46203</v>
          </cell>
          <cell r="C3312" t="str">
            <v xml:space="preserve">Itapaci </v>
          </cell>
          <cell r="H3312">
            <v>34.4</v>
          </cell>
        </row>
        <row r="3313">
          <cell r="A3313">
            <v>46203</v>
          </cell>
          <cell r="C3313" t="str">
            <v xml:space="preserve">Bela Vista </v>
          </cell>
          <cell r="H3313">
            <v>35.659999999999997</v>
          </cell>
        </row>
        <row r="3314">
          <cell r="A3314">
            <v>46203</v>
          </cell>
          <cell r="C3314" t="str">
            <v xml:space="preserve">Bela Vista </v>
          </cell>
          <cell r="H3314">
            <v>48.5</v>
          </cell>
        </row>
        <row r="3315">
          <cell r="A3315">
            <v>46203</v>
          </cell>
          <cell r="C3315" t="str">
            <v xml:space="preserve">Bela Vista </v>
          </cell>
          <cell r="H3315">
            <v>34.44</v>
          </cell>
        </row>
        <row r="3316">
          <cell r="A3316">
            <v>46203</v>
          </cell>
          <cell r="C3316" t="str">
            <v xml:space="preserve">Bela Vista </v>
          </cell>
          <cell r="H3316">
            <v>39.76</v>
          </cell>
        </row>
        <row r="3317">
          <cell r="A3317">
            <v>46203</v>
          </cell>
          <cell r="C3317" t="str">
            <v xml:space="preserve">Bela Vista </v>
          </cell>
          <cell r="H3317">
            <v>38.4</v>
          </cell>
        </row>
        <row r="3318">
          <cell r="A3318">
            <v>46203</v>
          </cell>
          <cell r="C3318" t="str">
            <v xml:space="preserve">Bela Vista </v>
          </cell>
          <cell r="H3318">
            <v>35.68</v>
          </cell>
        </row>
        <row r="3319">
          <cell r="A3319">
            <v>46203</v>
          </cell>
          <cell r="C3319" t="str">
            <v xml:space="preserve">Bela Vista </v>
          </cell>
          <cell r="H3319">
            <v>39.9</v>
          </cell>
        </row>
        <row r="3320">
          <cell r="A3320">
            <v>46203</v>
          </cell>
          <cell r="C3320" t="str">
            <v xml:space="preserve">Bela Vista </v>
          </cell>
          <cell r="H3320">
            <v>40.06</v>
          </cell>
        </row>
        <row r="3321">
          <cell r="A3321">
            <v>46203</v>
          </cell>
          <cell r="C3321" t="str">
            <v xml:space="preserve">Bela Vista </v>
          </cell>
          <cell r="H3321">
            <v>39.96</v>
          </cell>
        </row>
        <row r="3322">
          <cell r="A3322">
            <v>46203</v>
          </cell>
          <cell r="C3322" t="str">
            <v xml:space="preserve">Bela Vista </v>
          </cell>
          <cell r="H3322">
            <v>45.5</v>
          </cell>
        </row>
        <row r="3323">
          <cell r="A3323">
            <v>46203</v>
          </cell>
          <cell r="C3323" t="str">
            <v xml:space="preserve">Bela Vista </v>
          </cell>
          <cell r="H3323">
            <v>38.619999999999997</v>
          </cell>
        </row>
        <row r="3324">
          <cell r="A3324">
            <v>46203</v>
          </cell>
          <cell r="C3324" t="str">
            <v xml:space="preserve">Bela Vista </v>
          </cell>
          <cell r="H3324">
            <v>51.74</v>
          </cell>
        </row>
        <row r="3325">
          <cell r="A3325">
            <v>46203</v>
          </cell>
          <cell r="C3325" t="str">
            <v xml:space="preserve">Bela Vista </v>
          </cell>
          <cell r="H3325">
            <v>37.26</v>
          </cell>
        </row>
        <row r="3326">
          <cell r="A3326">
            <v>46204</v>
          </cell>
          <cell r="C3326" t="str">
            <v xml:space="preserve">Bela Vista </v>
          </cell>
          <cell r="H3326">
            <v>39.700000000000003</v>
          </cell>
        </row>
        <row r="3327">
          <cell r="A3327">
            <v>46204</v>
          </cell>
          <cell r="C3327" t="str">
            <v xml:space="preserve">Bela Vista </v>
          </cell>
          <cell r="H3327">
            <v>36.64</v>
          </cell>
        </row>
        <row r="3328">
          <cell r="A3328">
            <v>46204</v>
          </cell>
          <cell r="C3328" t="str">
            <v xml:space="preserve">Bela Vista </v>
          </cell>
          <cell r="H3328">
            <v>40.82</v>
          </cell>
        </row>
        <row r="3329">
          <cell r="A3329">
            <v>46204</v>
          </cell>
          <cell r="C3329" t="str">
            <v xml:space="preserve">Bela Vista </v>
          </cell>
          <cell r="H3329">
            <v>39.799999999999997</v>
          </cell>
        </row>
        <row r="3330">
          <cell r="A3330">
            <v>46204</v>
          </cell>
          <cell r="C3330" t="str">
            <v xml:space="preserve">Bela Vista </v>
          </cell>
          <cell r="H3330">
            <v>40.24</v>
          </cell>
        </row>
        <row r="3331">
          <cell r="A3331">
            <v>46204</v>
          </cell>
          <cell r="C3331" t="str">
            <v xml:space="preserve">Bela Vista </v>
          </cell>
          <cell r="H3331">
            <v>41.2</v>
          </cell>
        </row>
        <row r="3332">
          <cell r="A3332">
            <v>46204</v>
          </cell>
          <cell r="C3332" t="str">
            <v xml:space="preserve">Bela Vista </v>
          </cell>
          <cell r="H3332">
            <v>40.46</v>
          </cell>
        </row>
        <row r="3333">
          <cell r="A3333">
            <v>46204</v>
          </cell>
          <cell r="C3333" t="str">
            <v xml:space="preserve">Bela Vista </v>
          </cell>
          <cell r="H3333">
            <v>45.74</v>
          </cell>
        </row>
        <row r="3334">
          <cell r="A3334">
            <v>46204</v>
          </cell>
          <cell r="C3334" t="str">
            <v xml:space="preserve">Bela Vista </v>
          </cell>
          <cell r="H3334">
            <v>40.119999999999997</v>
          </cell>
        </row>
        <row r="3335">
          <cell r="A3335">
            <v>46204</v>
          </cell>
          <cell r="C3335" t="str">
            <v xml:space="preserve">Bela Vista </v>
          </cell>
          <cell r="H3335">
            <v>45.48</v>
          </cell>
        </row>
        <row r="3336">
          <cell r="A3336">
            <v>46204</v>
          </cell>
          <cell r="C3336" t="str">
            <v xml:space="preserve">Bela Vista </v>
          </cell>
          <cell r="H3336">
            <v>53.68</v>
          </cell>
        </row>
        <row r="3337">
          <cell r="A3337">
            <v>46204</v>
          </cell>
          <cell r="C3337" t="str">
            <v xml:space="preserve">Itapaci </v>
          </cell>
          <cell r="H3337">
            <v>35.42</v>
          </cell>
        </row>
        <row r="3338">
          <cell r="A3338">
            <v>46203</v>
          </cell>
          <cell r="C3338" t="str">
            <v xml:space="preserve">Itapaci </v>
          </cell>
          <cell r="H3338">
            <v>32.78</v>
          </cell>
        </row>
        <row r="3339">
          <cell r="A3339">
            <v>46203</v>
          </cell>
          <cell r="C3339" t="str">
            <v xml:space="preserve">Itapaci </v>
          </cell>
          <cell r="H3339">
            <v>33.78</v>
          </cell>
        </row>
        <row r="3340">
          <cell r="A3340">
            <v>46203</v>
          </cell>
          <cell r="C3340" t="str">
            <v xml:space="preserve">Itapaci </v>
          </cell>
          <cell r="H3340">
            <v>35.74</v>
          </cell>
        </row>
        <row r="3341">
          <cell r="A3341">
            <v>46203</v>
          </cell>
          <cell r="C3341" t="str">
            <v xml:space="preserve">Itapaci </v>
          </cell>
          <cell r="H3341">
            <v>67.5</v>
          </cell>
        </row>
        <row r="3342">
          <cell r="A3342">
            <v>46203</v>
          </cell>
          <cell r="C3342" t="str">
            <v xml:space="preserve">Itapaci </v>
          </cell>
          <cell r="H3342">
            <v>35.44</v>
          </cell>
        </row>
        <row r="3343">
          <cell r="A3343">
            <v>46203</v>
          </cell>
          <cell r="C3343" t="str">
            <v xml:space="preserve">Itapaci </v>
          </cell>
          <cell r="H3343">
            <v>69.3</v>
          </cell>
        </row>
        <row r="3344">
          <cell r="A3344">
            <v>46203</v>
          </cell>
          <cell r="C3344" t="str">
            <v xml:space="preserve">Itapaci </v>
          </cell>
          <cell r="H3344">
            <v>67.2</v>
          </cell>
        </row>
        <row r="3345">
          <cell r="A3345">
            <v>46203</v>
          </cell>
          <cell r="C3345" t="str">
            <v xml:space="preserve">Itapaci </v>
          </cell>
          <cell r="H3345">
            <v>37.380000000000003</v>
          </cell>
        </row>
        <row r="3346">
          <cell r="A3346">
            <v>46203</v>
          </cell>
          <cell r="C3346" t="str">
            <v xml:space="preserve">Itapaci </v>
          </cell>
          <cell r="H3346">
            <v>71.12</v>
          </cell>
        </row>
        <row r="3347">
          <cell r="A3347">
            <v>46203</v>
          </cell>
          <cell r="C3347" t="str">
            <v xml:space="preserve">Itapaci </v>
          </cell>
          <cell r="H3347">
            <v>36.380000000000003</v>
          </cell>
        </row>
        <row r="3348">
          <cell r="A3348">
            <v>46203</v>
          </cell>
          <cell r="C3348" t="str">
            <v xml:space="preserve">Itapaci </v>
          </cell>
          <cell r="H3348">
            <v>35.06</v>
          </cell>
        </row>
        <row r="3349">
          <cell r="A3349">
            <v>46203</v>
          </cell>
          <cell r="C3349" t="str">
            <v xml:space="preserve">Itapaci </v>
          </cell>
          <cell r="H3349">
            <v>49.82</v>
          </cell>
        </row>
        <row r="3350">
          <cell r="A3350">
            <v>46203</v>
          </cell>
          <cell r="C3350" t="str">
            <v xml:space="preserve">Itapaci </v>
          </cell>
          <cell r="H3350">
            <v>31.68</v>
          </cell>
        </row>
        <row r="3351">
          <cell r="A3351">
            <v>46203</v>
          </cell>
          <cell r="C3351" t="str">
            <v xml:space="preserve">Itapaci </v>
          </cell>
          <cell r="H3351">
            <v>48.34</v>
          </cell>
        </row>
        <row r="3352">
          <cell r="A3352">
            <v>46203</v>
          </cell>
          <cell r="C3352" t="str">
            <v xml:space="preserve">Itapaci </v>
          </cell>
          <cell r="H3352">
            <v>30.4</v>
          </cell>
        </row>
        <row r="3353">
          <cell r="A3353">
            <v>46203</v>
          </cell>
          <cell r="C3353" t="str">
            <v xml:space="preserve">Itapaci </v>
          </cell>
          <cell r="H3353">
            <v>35.1</v>
          </cell>
        </row>
        <row r="3354">
          <cell r="A3354">
            <v>46203</v>
          </cell>
          <cell r="C3354" t="str">
            <v xml:space="preserve">Itapaci </v>
          </cell>
          <cell r="H3354">
            <v>35.479999999999997</v>
          </cell>
        </row>
        <row r="3355">
          <cell r="A3355">
            <v>46203</v>
          </cell>
          <cell r="C3355" t="str">
            <v xml:space="preserve">Itapaci </v>
          </cell>
          <cell r="H3355">
            <v>36.1</v>
          </cell>
        </row>
        <row r="3356">
          <cell r="A3356">
            <v>46203</v>
          </cell>
          <cell r="C3356" t="str">
            <v xml:space="preserve">Itapaci </v>
          </cell>
          <cell r="H3356">
            <v>35.340000000000003</v>
          </cell>
        </row>
        <row r="3357">
          <cell r="A3357">
            <v>46203</v>
          </cell>
          <cell r="C3357" t="str">
            <v xml:space="preserve">Itapaci </v>
          </cell>
          <cell r="H3357">
            <v>57.02</v>
          </cell>
        </row>
        <row r="3358">
          <cell r="A3358">
            <v>46203</v>
          </cell>
          <cell r="C3358" t="str">
            <v xml:space="preserve">Itapaci </v>
          </cell>
          <cell r="H3358">
            <v>34.520000000000003</v>
          </cell>
        </row>
        <row r="3359">
          <cell r="A3359">
            <v>46204</v>
          </cell>
          <cell r="C3359" t="str">
            <v xml:space="preserve">Itapaci </v>
          </cell>
          <cell r="H3359">
            <v>31.1</v>
          </cell>
        </row>
        <row r="3360">
          <cell r="A3360">
            <v>46204</v>
          </cell>
          <cell r="C3360" t="str">
            <v xml:space="preserve">Itapaci </v>
          </cell>
          <cell r="H3360">
            <v>35.18</v>
          </cell>
        </row>
        <row r="3361">
          <cell r="A3361">
            <v>46203</v>
          </cell>
          <cell r="C3361" t="str">
            <v xml:space="preserve">Itapaci </v>
          </cell>
          <cell r="H3361">
            <v>54.34</v>
          </cell>
        </row>
        <row r="3362">
          <cell r="A3362">
            <v>46204</v>
          </cell>
          <cell r="C3362" t="str">
            <v xml:space="preserve">Itapaci </v>
          </cell>
          <cell r="H3362">
            <v>65.760000000000005</v>
          </cell>
        </row>
        <row r="3363">
          <cell r="A3363">
            <v>46204</v>
          </cell>
          <cell r="C3363" t="str">
            <v xml:space="preserve">Itapaci </v>
          </cell>
          <cell r="H3363">
            <v>40.340000000000003</v>
          </cell>
        </row>
        <row r="3364">
          <cell r="A3364">
            <v>46204</v>
          </cell>
          <cell r="C3364" t="str">
            <v xml:space="preserve">Itapaci </v>
          </cell>
          <cell r="H3364">
            <v>39.6</v>
          </cell>
        </row>
        <row r="3365">
          <cell r="A3365">
            <v>46204</v>
          </cell>
          <cell r="C3365" t="str">
            <v xml:space="preserve">Itapaci </v>
          </cell>
          <cell r="H3365">
            <v>67.819999999999993</v>
          </cell>
        </row>
        <row r="3366">
          <cell r="A3366">
            <v>46204</v>
          </cell>
          <cell r="C3366" t="str">
            <v xml:space="preserve">Itapaci </v>
          </cell>
          <cell r="H3366">
            <v>35.56</v>
          </cell>
        </row>
        <row r="3367">
          <cell r="A3367">
            <v>46204</v>
          </cell>
          <cell r="C3367" t="str">
            <v xml:space="preserve">Itapaci </v>
          </cell>
          <cell r="H3367">
            <v>34.380000000000003</v>
          </cell>
        </row>
        <row r="3368">
          <cell r="A3368">
            <v>46204</v>
          </cell>
          <cell r="C3368" t="str">
            <v xml:space="preserve">Itapaci </v>
          </cell>
          <cell r="H3368">
            <v>64.38</v>
          </cell>
        </row>
        <row r="3369">
          <cell r="A3369">
            <v>46203</v>
          </cell>
          <cell r="C3369" t="str">
            <v xml:space="preserve">Itapaci </v>
          </cell>
          <cell r="H3369">
            <v>42.98</v>
          </cell>
        </row>
        <row r="3370">
          <cell r="A3370">
            <v>46204</v>
          </cell>
          <cell r="C3370" t="str">
            <v xml:space="preserve">Itapaci </v>
          </cell>
          <cell r="H3370">
            <v>33.96</v>
          </cell>
        </row>
        <row r="3371">
          <cell r="A3371">
            <v>46204</v>
          </cell>
          <cell r="C3371" t="str">
            <v xml:space="preserve">Itapaci </v>
          </cell>
          <cell r="H3371">
            <v>33.520000000000003</v>
          </cell>
        </row>
        <row r="3372">
          <cell r="A3372">
            <v>46204</v>
          </cell>
          <cell r="C3372" t="str">
            <v xml:space="preserve">Itapaci </v>
          </cell>
          <cell r="H3372">
            <v>35.94</v>
          </cell>
        </row>
        <row r="3373">
          <cell r="A3373">
            <v>46204</v>
          </cell>
          <cell r="C3373" t="str">
            <v xml:space="preserve">Itapaci </v>
          </cell>
          <cell r="H3373">
            <v>32.36</v>
          </cell>
        </row>
        <row r="3374">
          <cell r="A3374">
            <v>46205</v>
          </cell>
          <cell r="C3374" t="str">
            <v xml:space="preserve">Itapaci </v>
          </cell>
          <cell r="H3374">
            <v>33.18</v>
          </cell>
        </row>
        <row r="3375">
          <cell r="A3375">
            <v>46204</v>
          </cell>
          <cell r="C3375" t="str">
            <v xml:space="preserve">Itapaci </v>
          </cell>
          <cell r="H3375">
            <v>34.76</v>
          </cell>
        </row>
        <row r="3376">
          <cell r="A3376">
            <v>46204</v>
          </cell>
          <cell r="C3376" t="str">
            <v xml:space="preserve">Itapaci </v>
          </cell>
          <cell r="H3376">
            <v>35.4</v>
          </cell>
        </row>
        <row r="3377">
          <cell r="A3377">
            <v>46204</v>
          </cell>
          <cell r="C3377" t="str">
            <v xml:space="preserve">Itapaci </v>
          </cell>
          <cell r="H3377">
            <v>34.840000000000003</v>
          </cell>
        </row>
        <row r="3378">
          <cell r="A3378">
            <v>46205</v>
          </cell>
          <cell r="C3378" t="str">
            <v xml:space="preserve">Itapaci </v>
          </cell>
          <cell r="H3378">
            <v>32.82</v>
          </cell>
        </row>
        <row r="3379">
          <cell r="A3379">
            <v>46204</v>
          </cell>
          <cell r="C3379" t="str">
            <v xml:space="preserve">Itapaci </v>
          </cell>
          <cell r="H3379">
            <v>75.06</v>
          </cell>
        </row>
        <row r="3380">
          <cell r="A3380">
            <v>46204</v>
          </cell>
          <cell r="C3380" t="str">
            <v xml:space="preserve">Itapaci </v>
          </cell>
          <cell r="H3380">
            <v>65.680000000000007</v>
          </cell>
        </row>
        <row r="3381">
          <cell r="A3381">
            <v>46204</v>
          </cell>
          <cell r="C3381" t="str">
            <v xml:space="preserve">Itapaci </v>
          </cell>
          <cell r="H3381">
            <v>35.58</v>
          </cell>
        </row>
        <row r="3382">
          <cell r="A3382">
            <v>46204</v>
          </cell>
          <cell r="C3382" t="str">
            <v xml:space="preserve">Itapaci </v>
          </cell>
          <cell r="H3382">
            <v>30.06</v>
          </cell>
        </row>
        <row r="3383">
          <cell r="A3383">
            <v>46204</v>
          </cell>
          <cell r="C3383" t="str">
            <v xml:space="preserve">Itapaci </v>
          </cell>
          <cell r="H3383">
            <v>33.36</v>
          </cell>
        </row>
        <row r="3384">
          <cell r="A3384">
            <v>46204</v>
          </cell>
          <cell r="C3384" t="str">
            <v xml:space="preserve">Itapaci </v>
          </cell>
          <cell r="H3384">
            <v>64.739999999999995</v>
          </cell>
        </row>
        <row r="3385">
          <cell r="A3385">
            <v>46204</v>
          </cell>
          <cell r="C3385" t="str">
            <v xml:space="preserve">Itapaci </v>
          </cell>
          <cell r="H3385">
            <v>65.260000000000005</v>
          </cell>
        </row>
        <row r="3386">
          <cell r="A3386">
            <v>46205</v>
          </cell>
          <cell r="C3386" t="str">
            <v xml:space="preserve">Itapaci </v>
          </cell>
          <cell r="H3386">
            <v>36.299999999999997</v>
          </cell>
        </row>
        <row r="3387">
          <cell r="A3387">
            <v>46204</v>
          </cell>
          <cell r="C3387" t="str">
            <v xml:space="preserve">Itapaci </v>
          </cell>
          <cell r="H3387">
            <v>34.56</v>
          </cell>
        </row>
        <row r="3388">
          <cell r="A3388">
            <v>46204</v>
          </cell>
          <cell r="C3388" t="str">
            <v xml:space="preserve">Itapaci </v>
          </cell>
          <cell r="H3388">
            <v>51.86</v>
          </cell>
        </row>
        <row r="3389">
          <cell r="A3389">
            <v>46204</v>
          </cell>
          <cell r="C3389" t="str">
            <v xml:space="preserve">Bela Vista </v>
          </cell>
          <cell r="H3389">
            <v>36.96</v>
          </cell>
        </row>
        <row r="3390">
          <cell r="A3390">
            <v>46204</v>
          </cell>
          <cell r="C3390" t="str">
            <v xml:space="preserve">Bela Vista </v>
          </cell>
          <cell r="H3390">
            <v>37.619999999999997</v>
          </cell>
        </row>
        <row r="3391">
          <cell r="A3391">
            <v>46204</v>
          </cell>
          <cell r="C3391" t="str">
            <v xml:space="preserve">Bela Vista </v>
          </cell>
          <cell r="H3391">
            <v>39.58</v>
          </cell>
        </row>
        <row r="3392">
          <cell r="A3392">
            <v>46204</v>
          </cell>
          <cell r="C3392" t="str">
            <v xml:space="preserve">Bela Vista </v>
          </cell>
          <cell r="H3392">
            <v>40.22</v>
          </cell>
        </row>
        <row r="3393">
          <cell r="A3393">
            <v>46204</v>
          </cell>
          <cell r="C3393" t="str">
            <v xml:space="preserve">Bela Vista </v>
          </cell>
          <cell r="H3393">
            <v>39.44</v>
          </cell>
        </row>
        <row r="3394">
          <cell r="A3394">
            <v>46204</v>
          </cell>
          <cell r="C3394" t="str">
            <v xml:space="preserve">Bela Vista </v>
          </cell>
          <cell r="H3394">
            <v>38.200000000000003</v>
          </cell>
        </row>
        <row r="3395">
          <cell r="A3395">
            <v>46204</v>
          </cell>
          <cell r="C3395" t="str">
            <v xml:space="preserve">Bela Vista </v>
          </cell>
          <cell r="H3395">
            <v>39.04</v>
          </cell>
        </row>
        <row r="3396">
          <cell r="A3396">
            <v>46204</v>
          </cell>
          <cell r="C3396" t="str">
            <v xml:space="preserve">Bela Vista </v>
          </cell>
          <cell r="H3396">
            <v>46.92</v>
          </cell>
        </row>
        <row r="3397">
          <cell r="A3397">
            <v>46204</v>
          </cell>
          <cell r="C3397" t="str">
            <v xml:space="preserve">Bela Vista </v>
          </cell>
          <cell r="H3397">
            <v>39.159999999999997</v>
          </cell>
        </row>
        <row r="3398">
          <cell r="A3398">
            <v>46204</v>
          </cell>
          <cell r="C3398" t="str">
            <v xml:space="preserve">Bela Vista </v>
          </cell>
          <cell r="H3398">
            <v>39.799999999999997</v>
          </cell>
        </row>
        <row r="3399">
          <cell r="A3399">
            <v>46204</v>
          </cell>
          <cell r="C3399" t="str">
            <v xml:space="preserve">Bela Vista </v>
          </cell>
          <cell r="H3399">
            <v>52.02</v>
          </cell>
        </row>
        <row r="3400">
          <cell r="A3400">
            <v>46204</v>
          </cell>
          <cell r="C3400" t="str">
            <v xml:space="preserve">Bela Vista </v>
          </cell>
          <cell r="H3400">
            <v>38.96</v>
          </cell>
        </row>
        <row r="3401">
          <cell r="A3401">
            <v>46204</v>
          </cell>
          <cell r="C3401" t="str">
            <v xml:space="preserve">Bela Vista </v>
          </cell>
          <cell r="H3401">
            <v>37.36</v>
          </cell>
        </row>
        <row r="3402">
          <cell r="A3402">
            <v>46204</v>
          </cell>
          <cell r="C3402" t="str">
            <v xml:space="preserve">Bela Vista </v>
          </cell>
          <cell r="H3402">
            <v>37.36</v>
          </cell>
        </row>
        <row r="3403">
          <cell r="A3403">
            <v>46204</v>
          </cell>
          <cell r="C3403" t="str">
            <v xml:space="preserve">Bela Vista </v>
          </cell>
          <cell r="H3403">
            <v>42.24</v>
          </cell>
        </row>
        <row r="3404">
          <cell r="A3404">
            <v>46204</v>
          </cell>
          <cell r="C3404" t="str">
            <v xml:space="preserve">Bela Vista </v>
          </cell>
          <cell r="H3404">
            <v>51.92</v>
          </cell>
        </row>
        <row r="3405">
          <cell r="A3405">
            <v>46204</v>
          </cell>
          <cell r="C3405" t="str">
            <v xml:space="preserve">Bela Vista </v>
          </cell>
          <cell r="H3405">
            <v>38.32</v>
          </cell>
        </row>
        <row r="3406">
          <cell r="A3406">
            <v>46204</v>
          </cell>
          <cell r="C3406" t="str">
            <v xml:space="preserve">Bela Vista </v>
          </cell>
          <cell r="H3406">
            <v>38.92</v>
          </cell>
        </row>
        <row r="3407">
          <cell r="A3407">
            <v>46204</v>
          </cell>
          <cell r="C3407" t="str">
            <v xml:space="preserve">Bela Vista </v>
          </cell>
          <cell r="H3407">
            <v>41.52</v>
          </cell>
        </row>
        <row r="3408">
          <cell r="A3408">
            <v>46204</v>
          </cell>
          <cell r="C3408" t="str">
            <v xml:space="preserve">Bela Vista </v>
          </cell>
          <cell r="H3408">
            <v>37.020000000000003</v>
          </cell>
        </row>
        <row r="3409">
          <cell r="A3409">
            <v>46204</v>
          </cell>
          <cell r="C3409" t="str">
            <v xml:space="preserve">Bela Vista </v>
          </cell>
          <cell r="H3409">
            <v>39.4</v>
          </cell>
        </row>
        <row r="3410">
          <cell r="A3410">
            <v>46204</v>
          </cell>
          <cell r="C3410" t="str">
            <v xml:space="preserve">Bela Vista </v>
          </cell>
          <cell r="H3410">
            <v>51.06</v>
          </cell>
        </row>
        <row r="3411">
          <cell r="A3411">
            <v>46204</v>
          </cell>
          <cell r="C3411" t="str">
            <v xml:space="preserve">Bela Vista </v>
          </cell>
          <cell r="H3411">
            <v>39.520000000000003</v>
          </cell>
        </row>
        <row r="3412">
          <cell r="A3412">
            <v>46204</v>
          </cell>
          <cell r="C3412" t="str">
            <v xml:space="preserve">Bela Vista </v>
          </cell>
          <cell r="H3412">
            <v>36.299999999999997</v>
          </cell>
        </row>
        <row r="3413">
          <cell r="A3413">
            <v>46204</v>
          </cell>
          <cell r="C3413" t="str">
            <v xml:space="preserve">Bela Vista </v>
          </cell>
          <cell r="H3413">
            <v>37.159999999999997</v>
          </cell>
        </row>
        <row r="3414">
          <cell r="A3414">
            <v>46205</v>
          </cell>
          <cell r="C3414" t="str">
            <v xml:space="preserve">Bela Vista </v>
          </cell>
          <cell r="H3414">
            <v>39.4</v>
          </cell>
        </row>
        <row r="3415">
          <cell r="A3415">
            <v>46205</v>
          </cell>
          <cell r="C3415" t="str">
            <v xml:space="preserve">Bela Vista </v>
          </cell>
          <cell r="H3415">
            <v>35.9</v>
          </cell>
        </row>
        <row r="3416">
          <cell r="A3416">
            <v>46205</v>
          </cell>
          <cell r="C3416" t="str">
            <v xml:space="preserve">Bela Vista </v>
          </cell>
          <cell r="H3416">
            <v>48.48</v>
          </cell>
        </row>
        <row r="3417">
          <cell r="A3417">
            <v>46205</v>
          </cell>
          <cell r="C3417" t="str">
            <v xml:space="preserve">Bela Vista </v>
          </cell>
          <cell r="H3417">
            <v>39.1</v>
          </cell>
        </row>
        <row r="3418">
          <cell r="A3418">
            <v>46205</v>
          </cell>
          <cell r="C3418" t="str">
            <v xml:space="preserve">Bela Vista </v>
          </cell>
          <cell r="H3418">
            <v>39.26</v>
          </cell>
        </row>
        <row r="3419">
          <cell r="A3419">
            <v>46205</v>
          </cell>
          <cell r="C3419" t="str">
            <v xml:space="preserve">Bela Vista </v>
          </cell>
          <cell r="H3419">
            <v>47.3</v>
          </cell>
        </row>
        <row r="3420">
          <cell r="A3420">
            <v>46205</v>
          </cell>
          <cell r="C3420" t="str">
            <v xml:space="preserve">Bela Vista </v>
          </cell>
          <cell r="H3420">
            <v>41.16</v>
          </cell>
        </row>
        <row r="3421">
          <cell r="A3421">
            <v>46205</v>
          </cell>
          <cell r="C3421" t="str">
            <v xml:space="preserve">Bela Vista </v>
          </cell>
          <cell r="H3421">
            <v>36.94</v>
          </cell>
        </row>
        <row r="3422">
          <cell r="A3422">
            <v>46205</v>
          </cell>
          <cell r="C3422" t="str">
            <v xml:space="preserve">Bela Vista </v>
          </cell>
          <cell r="H3422">
            <v>50.5</v>
          </cell>
        </row>
        <row r="3423">
          <cell r="A3423">
            <v>46205</v>
          </cell>
          <cell r="C3423" t="str">
            <v xml:space="preserve">Bela Vista </v>
          </cell>
          <cell r="H3423">
            <v>38.86</v>
          </cell>
        </row>
        <row r="3424">
          <cell r="A3424">
            <v>46205</v>
          </cell>
          <cell r="C3424" t="str">
            <v xml:space="preserve">Bela Vista </v>
          </cell>
          <cell r="H3424">
            <v>37.880000000000003</v>
          </cell>
        </row>
        <row r="3425">
          <cell r="A3425">
            <v>46205</v>
          </cell>
          <cell r="C3425" t="str">
            <v xml:space="preserve">Bela Vista </v>
          </cell>
          <cell r="H3425">
            <v>37.4</v>
          </cell>
        </row>
        <row r="3426">
          <cell r="A3426">
            <v>46205</v>
          </cell>
          <cell r="C3426" t="str">
            <v xml:space="preserve">Bela Vista </v>
          </cell>
          <cell r="H3426">
            <v>40.78</v>
          </cell>
        </row>
        <row r="3427">
          <cell r="A3427">
            <v>46205</v>
          </cell>
          <cell r="C3427" t="str">
            <v xml:space="preserve">Bela Vista </v>
          </cell>
          <cell r="H3427">
            <v>51.94</v>
          </cell>
        </row>
        <row r="3428">
          <cell r="A3428">
            <v>46204</v>
          </cell>
          <cell r="C3428" t="str">
            <v xml:space="preserve">Itapaci </v>
          </cell>
          <cell r="H3428">
            <v>33.700000000000003</v>
          </cell>
        </row>
        <row r="3429">
          <cell r="A3429">
            <v>46204</v>
          </cell>
          <cell r="C3429" t="str">
            <v xml:space="preserve">Itapaci </v>
          </cell>
          <cell r="H3429">
            <v>35.42</v>
          </cell>
        </row>
        <row r="3430">
          <cell r="A3430">
            <v>46204</v>
          </cell>
          <cell r="C3430" t="str">
            <v xml:space="preserve">Itapaci </v>
          </cell>
          <cell r="H3430">
            <v>47.94</v>
          </cell>
        </row>
        <row r="3431">
          <cell r="A3431">
            <v>46204</v>
          </cell>
          <cell r="C3431" t="str">
            <v xml:space="preserve">Itapaci </v>
          </cell>
          <cell r="H3431">
            <v>57.56</v>
          </cell>
        </row>
        <row r="3432">
          <cell r="A3432">
            <v>46204</v>
          </cell>
          <cell r="C3432" t="str">
            <v xml:space="preserve">Itapaci </v>
          </cell>
          <cell r="H3432">
            <v>35.92</v>
          </cell>
        </row>
        <row r="3433">
          <cell r="A3433">
            <v>46204</v>
          </cell>
          <cell r="C3433" t="str">
            <v xml:space="preserve">Itapaci </v>
          </cell>
          <cell r="H3433">
            <v>42.28</v>
          </cell>
        </row>
        <row r="3434">
          <cell r="A3434">
            <v>46204</v>
          </cell>
          <cell r="C3434" t="str">
            <v xml:space="preserve">Itapaci </v>
          </cell>
          <cell r="H3434">
            <v>41.76</v>
          </cell>
        </row>
        <row r="3435">
          <cell r="A3435">
            <v>46204</v>
          </cell>
          <cell r="C3435" t="str">
            <v xml:space="preserve">Itapaci </v>
          </cell>
          <cell r="H3435">
            <v>32.9</v>
          </cell>
        </row>
        <row r="3436">
          <cell r="A3436">
            <v>46204</v>
          </cell>
          <cell r="C3436" t="str">
            <v xml:space="preserve">Itapaci </v>
          </cell>
          <cell r="H3436">
            <v>34.96</v>
          </cell>
        </row>
        <row r="3437">
          <cell r="A3437">
            <v>46204</v>
          </cell>
          <cell r="C3437" t="str">
            <v xml:space="preserve">Itapaci </v>
          </cell>
          <cell r="H3437">
            <v>53.76</v>
          </cell>
        </row>
        <row r="3438">
          <cell r="A3438">
            <v>46204</v>
          </cell>
          <cell r="C3438" t="str">
            <v xml:space="preserve">Itapaci </v>
          </cell>
          <cell r="H3438">
            <v>42.48</v>
          </cell>
        </row>
        <row r="3439">
          <cell r="A3439">
            <v>46204</v>
          </cell>
          <cell r="C3439" t="str">
            <v xml:space="preserve">Itapaci </v>
          </cell>
          <cell r="H3439">
            <v>67.56</v>
          </cell>
        </row>
        <row r="3440">
          <cell r="A3440">
            <v>46204</v>
          </cell>
          <cell r="C3440" t="str">
            <v xml:space="preserve">Itapaci </v>
          </cell>
          <cell r="H3440">
            <v>41.16</v>
          </cell>
        </row>
        <row r="3441">
          <cell r="A3441">
            <v>46204</v>
          </cell>
          <cell r="C3441" t="str">
            <v xml:space="preserve">Itapaci </v>
          </cell>
          <cell r="H3441">
            <v>35.299999999999997</v>
          </cell>
        </row>
        <row r="3442">
          <cell r="A3442">
            <v>46204</v>
          </cell>
          <cell r="C3442" t="str">
            <v xml:space="preserve">Itapaci </v>
          </cell>
          <cell r="H3442">
            <v>35.28</v>
          </cell>
        </row>
        <row r="3443">
          <cell r="A3443">
            <v>46204</v>
          </cell>
          <cell r="C3443" t="str">
            <v xml:space="preserve">Itapaci </v>
          </cell>
          <cell r="H3443">
            <v>35.82</v>
          </cell>
        </row>
        <row r="3444">
          <cell r="A3444">
            <v>46204</v>
          </cell>
          <cell r="C3444" t="str">
            <v xml:space="preserve">Itapaci </v>
          </cell>
          <cell r="H3444">
            <v>34.06</v>
          </cell>
        </row>
        <row r="3445">
          <cell r="A3445">
            <v>46204</v>
          </cell>
          <cell r="C3445" t="str">
            <v xml:space="preserve">Itapaci </v>
          </cell>
          <cell r="H3445">
            <v>34.94</v>
          </cell>
        </row>
        <row r="3446">
          <cell r="A3446">
            <v>46205</v>
          </cell>
          <cell r="C3446" t="str">
            <v xml:space="preserve">Itapaci </v>
          </cell>
          <cell r="H3446">
            <v>34.619999999999997</v>
          </cell>
        </row>
        <row r="3447">
          <cell r="A3447">
            <v>46205</v>
          </cell>
          <cell r="C3447" t="str">
            <v xml:space="preserve">Itapaci </v>
          </cell>
          <cell r="H3447">
            <v>32.96</v>
          </cell>
        </row>
        <row r="3448">
          <cell r="A3448">
            <v>46204</v>
          </cell>
          <cell r="C3448" t="str">
            <v xml:space="preserve">Itapaci </v>
          </cell>
          <cell r="H3448">
            <v>34.5</v>
          </cell>
        </row>
        <row r="3449">
          <cell r="A3449">
            <v>46204</v>
          </cell>
          <cell r="C3449" t="str">
            <v xml:space="preserve">Itapaci </v>
          </cell>
          <cell r="H3449">
            <v>34.799999999999997</v>
          </cell>
        </row>
        <row r="3450">
          <cell r="A3450">
            <v>46204</v>
          </cell>
          <cell r="C3450" t="str">
            <v xml:space="preserve">Itapaci </v>
          </cell>
          <cell r="H3450">
            <v>34.76</v>
          </cell>
        </row>
        <row r="3451">
          <cell r="A3451">
            <v>46204</v>
          </cell>
          <cell r="C3451" t="str">
            <v xml:space="preserve">Itapaci </v>
          </cell>
          <cell r="H3451">
            <v>37.4</v>
          </cell>
        </row>
        <row r="3452">
          <cell r="A3452">
            <v>46204</v>
          </cell>
          <cell r="C3452" t="str">
            <v xml:space="preserve">Itapaci </v>
          </cell>
          <cell r="H3452">
            <v>71.540000000000006</v>
          </cell>
        </row>
        <row r="3453">
          <cell r="A3453">
            <v>46204</v>
          </cell>
          <cell r="C3453" t="str">
            <v xml:space="preserve">Itapaci </v>
          </cell>
          <cell r="H3453">
            <v>36.28</v>
          </cell>
        </row>
        <row r="3454">
          <cell r="A3454">
            <v>46204</v>
          </cell>
          <cell r="C3454" t="str">
            <v xml:space="preserve">Itapaci </v>
          </cell>
          <cell r="H3454">
            <v>32</v>
          </cell>
        </row>
        <row r="3455">
          <cell r="A3455">
            <v>46204</v>
          </cell>
          <cell r="C3455" t="str">
            <v xml:space="preserve">Itapaci </v>
          </cell>
          <cell r="H3455">
            <v>65.599999999999994</v>
          </cell>
        </row>
        <row r="3456">
          <cell r="A3456">
            <v>46204</v>
          </cell>
          <cell r="C3456" t="str">
            <v xml:space="preserve">Itapaci </v>
          </cell>
          <cell r="H3456">
            <v>65.06</v>
          </cell>
        </row>
        <row r="3457">
          <cell r="A3457">
            <v>46204</v>
          </cell>
          <cell r="C3457" t="str">
            <v xml:space="preserve">Itapaci </v>
          </cell>
          <cell r="H3457">
            <v>35.380000000000003</v>
          </cell>
        </row>
        <row r="3458">
          <cell r="A3458">
            <v>46204</v>
          </cell>
          <cell r="C3458" t="str">
            <v xml:space="preserve">Itapaci </v>
          </cell>
          <cell r="H3458">
            <v>33.4</v>
          </cell>
        </row>
        <row r="3459">
          <cell r="A3459">
            <v>46205</v>
          </cell>
          <cell r="C3459" t="str">
            <v xml:space="preserve">Itapaci </v>
          </cell>
          <cell r="H3459">
            <v>34.200000000000003</v>
          </cell>
        </row>
        <row r="3460">
          <cell r="A3460">
            <v>46204</v>
          </cell>
          <cell r="C3460" t="str">
            <v xml:space="preserve">Itapaci </v>
          </cell>
          <cell r="H3460">
            <v>35.76</v>
          </cell>
        </row>
        <row r="3461">
          <cell r="A3461">
            <v>46204</v>
          </cell>
          <cell r="C3461" t="str">
            <v xml:space="preserve">Itapaci </v>
          </cell>
          <cell r="H3461">
            <v>42.82</v>
          </cell>
        </row>
        <row r="3462">
          <cell r="A3462">
            <v>46204</v>
          </cell>
          <cell r="C3462" t="str">
            <v xml:space="preserve">Itapaci </v>
          </cell>
          <cell r="H3462">
            <v>42.72</v>
          </cell>
        </row>
        <row r="3463">
          <cell r="A3463">
            <v>46205</v>
          </cell>
          <cell r="C3463" t="str">
            <v xml:space="preserve">Itapaci </v>
          </cell>
          <cell r="H3463">
            <v>65.7</v>
          </cell>
        </row>
        <row r="3464">
          <cell r="A3464">
            <v>46205</v>
          </cell>
          <cell r="C3464" t="str">
            <v xml:space="preserve">Itapaci </v>
          </cell>
          <cell r="H3464">
            <v>30.66</v>
          </cell>
        </row>
        <row r="3465">
          <cell r="A3465">
            <v>46205</v>
          </cell>
          <cell r="C3465" t="str">
            <v xml:space="preserve">Itapaci </v>
          </cell>
          <cell r="H3465">
            <v>64.739999999999995</v>
          </cell>
        </row>
        <row r="3466">
          <cell r="A3466">
            <v>46205</v>
          </cell>
          <cell r="C3466" t="str">
            <v xml:space="preserve">Itapaci </v>
          </cell>
          <cell r="H3466">
            <v>33.94</v>
          </cell>
        </row>
        <row r="3467">
          <cell r="A3467">
            <v>46205</v>
          </cell>
          <cell r="C3467" t="str">
            <v xml:space="preserve">Itapaci </v>
          </cell>
          <cell r="H3467">
            <v>69.72</v>
          </cell>
        </row>
        <row r="3468">
          <cell r="A3468">
            <v>46207</v>
          </cell>
          <cell r="C3468" t="str">
            <v xml:space="preserve">Itapaci </v>
          </cell>
          <cell r="H3468">
            <v>35.520000000000003</v>
          </cell>
        </row>
        <row r="3469">
          <cell r="A3469">
            <v>46205</v>
          </cell>
          <cell r="C3469" t="str">
            <v xml:space="preserve">Itapaci </v>
          </cell>
          <cell r="H3469">
            <v>51.44</v>
          </cell>
        </row>
        <row r="3470">
          <cell r="A3470">
            <v>46205</v>
          </cell>
          <cell r="C3470" t="str">
            <v xml:space="preserve">Itapaci </v>
          </cell>
          <cell r="H3470">
            <v>52.98</v>
          </cell>
        </row>
        <row r="3471">
          <cell r="A3471">
            <v>46205</v>
          </cell>
          <cell r="C3471" t="str">
            <v xml:space="preserve">Itapaci </v>
          </cell>
          <cell r="H3471">
            <v>41.6</v>
          </cell>
        </row>
        <row r="3472">
          <cell r="A3472">
            <v>46205</v>
          </cell>
          <cell r="C3472" t="str">
            <v xml:space="preserve">Itapaci </v>
          </cell>
          <cell r="H3472">
            <v>34.799999999999997</v>
          </cell>
        </row>
        <row r="3473">
          <cell r="A3473">
            <v>46205</v>
          </cell>
          <cell r="C3473" t="str">
            <v xml:space="preserve">Itapaci </v>
          </cell>
          <cell r="H3473">
            <v>41.24</v>
          </cell>
        </row>
        <row r="3474">
          <cell r="A3474">
            <v>46205</v>
          </cell>
          <cell r="C3474" t="str">
            <v xml:space="preserve">Itapaci </v>
          </cell>
          <cell r="H3474">
            <v>33.76</v>
          </cell>
        </row>
        <row r="3475">
          <cell r="A3475">
            <v>46205</v>
          </cell>
          <cell r="C3475" t="str">
            <v xml:space="preserve">Itapaci </v>
          </cell>
          <cell r="H3475">
            <v>36.299999999999997</v>
          </cell>
        </row>
        <row r="3476">
          <cell r="A3476">
            <v>46205</v>
          </cell>
          <cell r="C3476" t="str">
            <v xml:space="preserve">Itapaci </v>
          </cell>
          <cell r="H3476">
            <v>35.9</v>
          </cell>
        </row>
        <row r="3477">
          <cell r="A3477">
            <v>46205</v>
          </cell>
          <cell r="C3477" t="str">
            <v xml:space="preserve">Itapaci </v>
          </cell>
          <cell r="H3477">
            <v>38.22</v>
          </cell>
        </row>
        <row r="3478">
          <cell r="A3478">
            <v>46205</v>
          </cell>
          <cell r="C3478" t="str">
            <v xml:space="preserve">Itapaci </v>
          </cell>
          <cell r="H3478">
            <v>31.26</v>
          </cell>
        </row>
        <row r="3479">
          <cell r="A3479">
            <v>46205</v>
          </cell>
          <cell r="C3479" t="str">
            <v xml:space="preserve">Bela Vista </v>
          </cell>
          <cell r="H3479">
            <v>40.28</v>
          </cell>
        </row>
        <row r="3480">
          <cell r="A3480">
            <v>46205</v>
          </cell>
          <cell r="C3480" t="str">
            <v xml:space="preserve">Bela Vista </v>
          </cell>
          <cell r="H3480">
            <v>39.299999999999997</v>
          </cell>
        </row>
        <row r="3481">
          <cell r="A3481">
            <v>46205</v>
          </cell>
          <cell r="C3481" t="str">
            <v xml:space="preserve">Bela Vista </v>
          </cell>
          <cell r="H3481">
            <v>39.58</v>
          </cell>
        </row>
        <row r="3482">
          <cell r="A3482">
            <v>46205</v>
          </cell>
          <cell r="C3482" t="str">
            <v xml:space="preserve">Bela Vista </v>
          </cell>
          <cell r="H3482">
            <v>47.72</v>
          </cell>
        </row>
        <row r="3483">
          <cell r="A3483">
            <v>46205</v>
          </cell>
          <cell r="C3483" t="str">
            <v xml:space="preserve">Bela Vista </v>
          </cell>
          <cell r="H3483">
            <v>37</v>
          </cell>
        </row>
        <row r="3484">
          <cell r="A3484">
            <v>46205</v>
          </cell>
          <cell r="C3484" t="str">
            <v xml:space="preserve">Bela Vista </v>
          </cell>
          <cell r="H3484">
            <v>49.68</v>
          </cell>
        </row>
        <row r="3485">
          <cell r="A3485">
            <v>46205</v>
          </cell>
          <cell r="C3485" t="str">
            <v xml:space="preserve">Bela Vista </v>
          </cell>
          <cell r="H3485">
            <v>37.46</v>
          </cell>
        </row>
        <row r="3486">
          <cell r="A3486">
            <v>46205</v>
          </cell>
          <cell r="C3486" t="str">
            <v xml:space="preserve">Bela Vista </v>
          </cell>
          <cell r="H3486">
            <v>37.92</v>
          </cell>
        </row>
        <row r="3487">
          <cell r="A3487">
            <v>46205</v>
          </cell>
          <cell r="C3487" t="str">
            <v xml:space="preserve">Bela Vista </v>
          </cell>
          <cell r="H3487">
            <v>39.14</v>
          </cell>
        </row>
        <row r="3488">
          <cell r="A3488">
            <v>46205</v>
          </cell>
          <cell r="C3488" t="str">
            <v xml:space="preserve">Bela Vista </v>
          </cell>
          <cell r="H3488">
            <v>39</v>
          </cell>
        </row>
        <row r="3489">
          <cell r="A3489">
            <v>46205</v>
          </cell>
          <cell r="C3489" t="str">
            <v xml:space="preserve">Bela Vista </v>
          </cell>
          <cell r="H3489">
            <v>36.68</v>
          </cell>
        </row>
        <row r="3490">
          <cell r="A3490">
            <v>46205</v>
          </cell>
          <cell r="C3490" t="str">
            <v xml:space="preserve">Bela Vista </v>
          </cell>
          <cell r="H3490">
            <v>45</v>
          </cell>
        </row>
        <row r="3491">
          <cell r="A3491">
            <v>46205</v>
          </cell>
          <cell r="C3491" t="str">
            <v xml:space="preserve">Bela Vista </v>
          </cell>
          <cell r="H3491">
            <v>39</v>
          </cell>
        </row>
        <row r="3492">
          <cell r="A3492">
            <v>46205</v>
          </cell>
          <cell r="C3492" t="str">
            <v xml:space="preserve">Bela Vista </v>
          </cell>
          <cell r="H3492">
            <v>41.12</v>
          </cell>
        </row>
        <row r="3493">
          <cell r="A3493">
            <v>46205</v>
          </cell>
          <cell r="C3493" t="str">
            <v xml:space="preserve">Bela Vista </v>
          </cell>
          <cell r="H3493">
            <v>38.979999999999997</v>
          </cell>
        </row>
        <row r="3494">
          <cell r="A3494">
            <v>46205</v>
          </cell>
          <cell r="C3494" t="str">
            <v xml:space="preserve">Bela Vista </v>
          </cell>
          <cell r="H3494">
            <v>39.799999999999997</v>
          </cell>
        </row>
        <row r="3495">
          <cell r="A3495">
            <v>46205</v>
          </cell>
          <cell r="C3495" t="str">
            <v xml:space="preserve">Bela Vista </v>
          </cell>
          <cell r="H3495">
            <v>36.520000000000003</v>
          </cell>
        </row>
        <row r="3496">
          <cell r="A3496">
            <v>46205</v>
          </cell>
          <cell r="C3496" t="str">
            <v xml:space="preserve">Bela Vista </v>
          </cell>
          <cell r="H3496">
            <v>47.7</v>
          </cell>
        </row>
        <row r="3497">
          <cell r="A3497">
            <v>46205</v>
          </cell>
          <cell r="C3497" t="str">
            <v xml:space="preserve">Bela Vista </v>
          </cell>
          <cell r="H3497">
            <v>39.72</v>
          </cell>
        </row>
        <row r="3498">
          <cell r="A3498">
            <v>46205</v>
          </cell>
          <cell r="C3498" t="str">
            <v xml:space="preserve">Bela Vista </v>
          </cell>
          <cell r="H3498">
            <v>44.12</v>
          </cell>
        </row>
        <row r="3499">
          <cell r="A3499">
            <v>46206</v>
          </cell>
          <cell r="C3499" t="str">
            <v xml:space="preserve">Bela Vista </v>
          </cell>
          <cell r="H3499">
            <v>39.5</v>
          </cell>
        </row>
        <row r="3500">
          <cell r="A3500">
            <v>46206</v>
          </cell>
          <cell r="C3500" t="str">
            <v xml:space="preserve">Bela Vista </v>
          </cell>
          <cell r="H3500">
            <v>44.2</v>
          </cell>
        </row>
        <row r="3501">
          <cell r="A3501">
            <v>46206</v>
          </cell>
          <cell r="C3501" t="str">
            <v xml:space="preserve">Bela Vista </v>
          </cell>
          <cell r="H3501">
            <v>38.24</v>
          </cell>
        </row>
        <row r="3502">
          <cell r="A3502">
            <v>46206</v>
          </cell>
          <cell r="C3502" t="str">
            <v xml:space="preserve">Bela Vista </v>
          </cell>
          <cell r="H3502">
            <v>38.880000000000003</v>
          </cell>
        </row>
        <row r="3503">
          <cell r="A3503">
            <v>46206</v>
          </cell>
          <cell r="C3503" t="str">
            <v xml:space="preserve">Bela Vista </v>
          </cell>
          <cell r="H3503">
            <v>48.1</v>
          </cell>
        </row>
        <row r="3504">
          <cell r="A3504">
            <v>46205</v>
          </cell>
          <cell r="C3504" t="str">
            <v xml:space="preserve">Itapaci </v>
          </cell>
          <cell r="H3504">
            <v>69.12</v>
          </cell>
        </row>
        <row r="3505">
          <cell r="A3505">
            <v>46205</v>
          </cell>
          <cell r="C3505" t="str">
            <v xml:space="preserve">Itapaci </v>
          </cell>
          <cell r="H3505">
            <v>29.22</v>
          </cell>
        </row>
        <row r="3506">
          <cell r="A3506">
            <v>46205</v>
          </cell>
          <cell r="C3506" t="str">
            <v xml:space="preserve">Itapaci </v>
          </cell>
          <cell r="H3506">
            <v>35.4</v>
          </cell>
        </row>
        <row r="3507">
          <cell r="A3507">
            <v>46206</v>
          </cell>
          <cell r="C3507" t="str">
            <v xml:space="preserve">Itapaci </v>
          </cell>
          <cell r="H3507">
            <v>35.24</v>
          </cell>
        </row>
        <row r="3508">
          <cell r="A3508">
            <v>46206</v>
          </cell>
          <cell r="C3508" t="str">
            <v xml:space="preserve">Itapaci </v>
          </cell>
          <cell r="H3508">
            <v>33.700000000000003</v>
          </cell>
        </row>
        <row r="3509">
          <cell r="A3509">
            <v>46206</v>
          </cell>
          <cell r="C3509" t="str">
            <v xml:space="preserve">Itapaci </v>
          </cell>
          <cell r="H3509">
            <v>34.6</v>
          </cell>
        </row>
        <row r="3510">
          <cell r="A3510">
            <v>46205</v>
          </cell>
          <cell r="C3510" t="str">
            <v xml:space="preserve">Itapaci </v>
          </cell>
          <cell r="H3510">
            <v>34.159999999999997</v>
          </cell>
        </row>
        <row r="3511">
          <cell r="A3511">
            <v>46205</v>
          </cell>
          <cell r="C3511" t="str">
            <v xml:space="preserve">Itapaci </v>
          </cell>
          <cell r="H3511">
            <v>67.98</v>
          </cell>
        </row>
        <row r="3512">
          <cell r="A3512">
            <v>46205</v>
          </cell>
          <cell r="C3512" t="str">
            <v xml:space="preserve">Itapaci </v>
          </cell>
          <cell r="H3512">
            <v>33.24</v>
          </cell>
        </row>
        <row r="3513">
          <cell r="A3513">
            <v>46205</v>
          </cell>
          <cell r="C3513" t="str">
            <v xml:space="preserve">Itapaci </v>
          </cell>
          <cell r="H3513">
            <v>33.86</v>
          </cell>
        </row>
        <row r="3514">
          <cell r="A3514">
            <v>46205</v>
          </cell>
          <cell r="C3514" t="str">
            <v xml:space="preserve">Itapaci </v>
          </cell>
          <cell r="H3514">
            <v>35.54</v>
          </cell>
        </row>
        <row r="3515">
          <cell r="A3515">
            <v>46205</v>
          </cell>
          <cell r="C3515" t="str">
            <v xml:space="preserve">Itapaci </v>
          </cell>
          <cell r="H3515">
            <v>35.04</v>
          </cell>
        </row>
        <row r="3516">
          <cell r="A3516">
            <v>46205</v>
          </cell>
          <cell r="C3516" t="str">
            <v xml:space="preserve">Itapaci </v>
          </cell>
          <cell r="H3516">
            <v>35.72</v>
          </cell>
        </row>
        <row r="3517">
          <cell r="A3517">
            <v>46205</v>
          </cell>
          <cell r="C3517" t="str">
            <v xml:space="preserve">Itapaci </v>
          </cell>
          <cell r="H3517">
            <v>66.08</v>
          </cell>
        </row>
        <row r="3518">
          <cell r="A3518">
            <v>46205</v>
          </cell>
          <cell r="C3518" t="str">
            <v xml:space="preserve">Itapaci </v>
          </cell>
          <cell r="H3518">
            <v>64.38</v>
          </cell>
        </row>
        <row r="3519">
          <cell r="A3519">
            <v>46205</v>
          </cell>
          <cell r="C3519" t="str">
            <v xml:space="preserve">Itapaci </v>
          </cell>
          <cell r="H3519">
            <v>42.98</v>
          </cell>
        </row>
        <row r="3520">
          <cell r="A3520">
            <v>46205</v>
          </cell>
          <cell r="C3520" t="str">
            <v xml:space="preserve">Itapaci </v>
          </cell>
          <cell r="H3520">
            <v>43.06</v>
          </cell>
        </row>
        <row r="3521">
          <cell r="A3521">
            <v>46205</v>
          </cell>
          <cell r="C3521" t="str">
            <v xml:space="preserve">Itapaci </v>
          </cell>
          <cell r="H3521">
            <v>36.54</v>
          </cell>
        </row>
        <row r="3522">
          <cell r="A3522">
            <v>46205</v>
          </cell>
          <cell r="C3522" t="str">
            <v xml:space="preserve">Itapaci </v>
          </cell>
          <cell r="H3522">
            <v>36.78</v>
          </cell>
        </row>
        <row r="3523">
          <cell r="A3523">
            <v>46205</v>
          </cell>
          <cell r="C3523" t="str">
            <v xml:space="preserve">Itapaci </v>
          </cell>
          <cell r="H3523">
            <v>35.979999999999997</v>
          </cell>
        </row>
        <row r="3524">
          <cell r="A3524">
            <v>46205</v>
          </cell>
          <cell r="C3524" t="str">
            <v xml:space="preserve">Itapaci </v>
          </cell>
          <cell r="H3524">
            <v>67.7</v>
          </cell>
        </row>
        <row r="3525">
          <cell r="A3525">
            <v>46205</v>
          </cell>
          <cell r="C3525" t="str">
            <v xml:space="preserve">Itapaci </v>
          </cell>
          <cell r="H3525">
            <v>41.38</v>
          </cell>
        </row>
        <row r="3526">
          <cell r="A3526">
            <v>46205</v>
          </cell>
          <cell r="C3526" t="str">
            <v xml:space="preserve">Itapaci </v>
          </cell>
          <cell r="H3526">
            <v>35.08</v>
          </cell>
        </row>
        <row r="3527">
          <cell r="A3527">
            <v>46205</v>
          </cell>
          <cell r="C3527" t="str">
            <v xml:space="preserve">Itapaci </v>
          </cell>
          <cell r="H3527">
            <v>34.42</v>
          </cell>
        </row>
        <row r="3528">
          <cell r="A3528">
            <v>46206</v>
          </cell>
          <cell r="C3528" t="str">
            <v xml:space="preserve">Itapaci </v>
          </cell>
          <cell r="H3528">
            <v>35.18</v>
          </cell>
        </row>
        <row r="3529">
          <cell r="A3529">
            <v>46205</v>
          </cell>
          <cell r="C3529" t="str">
            <v xml:space="preserve">Itapaci </v>
          </cell>
          <cell r="H3529">
            <v>35.380000000000003</v>
          </cell>
        </row>
        <row r="3530">
          <cell r="A3530">
            <v>46206</v>
          </cell>
          <cell r="C3530" t="str">
            <v xml:space="preserve">Itapaci </v>
          </cell>
          <cell r="H3530">
            <v>50.16</v>
          </cell>
        </row>
        <row r="3531">
          <cell r="A3531">
            <v>46206</v>
          </cell>
          <cell r="C3531" t="str">
            <v xml:space="preserve">Itapaci </v>
          </cell>
          <cell r="H3531">
            <v>32.06</v>
          </cell>
        </row>
        <row r="3532">
          <cell r="A3532">
            <v>46206</v>
          </cell>
          <cell r="C3532" t="str">
            <v xml:space="preserve">Itapaci </v>
          </cell>
          <cell r="H3532">
            <v>30.58</v>
          </cell>
        </row>
        <row r="3533">
          <cell r="A3533">
            <v>46206</v>
          </cell>
          <cell r="C3533" t="str">
            <v xml:space="preserve">Itapaci </v>
          </cell>
          <cell r="H3533">
            <v>44.38</v>
          </cell>
        </row>
        <row r="3534">
          <cell r="A3534">
            <v>46206</v>
          </cell>
          <cell r="C3534" t="str">
            <v xml:space="preserve">Itapaci </v>
          </cell>
          <cell r="H3534">
            <v>42.58</v>
          </cell>
        </row>
        <row r="3535">
          <cell r="A3535">
            <v>46206</v>
          </cell>
          <cell r="C3535" t="str">
            <v xml:space="preserve">Itapaci </v>
          </cell>
          <cell r="H3535">
            <v>35.380000000000003</v>
          </cell>
        </row>
        <row r="3536">
          <cell r="A3536">
            <v>46206</v>
          </cell>
          <cell r="C3536" t="str">
            <v xml:space="preserve">Itapaci </v>
          </cell>
          <cell r="H3536">
            <v>75.959999999999994</v>
          </cell>
        </row>
        <row r="3537">
          <cell r="A3537">
            <v>46206</v>
          </cell>
          <cell r="C3537" t="str">
            <v xml:space="preserve">Itapaci </v>
          </cell>
          <cell r="H3537">
            <v>66.5</v>
          </cell>
        </row>
        <row r="3538">
          <cell r="A3538">
            <v>46206</v>
          </cell>
          <cell r="C3538" t="str">
            <v xml:space="preserve">Itapaci </v>
          </cell>
          <cell r="H3538">
            <v>34.840000000000003</v>
          </cell>
        </row>
        <row r="3539">
          <cell r="A3539">
            <v>46206</v>
          </cell>
          <cell r="C3539" t="str">
            <v xml:space="preserve">Itapaci </v>
          </cell>
          <cell r="H3539">
            <v>33.76</v>
          </cell>
        </row>
        <row r="3540">
          <cell r="A3540">
            <v>46206</v>
          </cell>
          <cell r="C3540" t="str">
            <v xml:space="preserve">Itapaci </v>
          </cell>
          <cell r="H3540">
            <v>35.04</v>
          </cell>
        </row>
        <row r="3541">
          <cell r="A3541">
            <v>46206</v>
          </cell>
          <cell r="C3541" t="str">
            <v xml:space="preserve">Itapaci </v>
          </cell>
          <cell r="H3541">
            <v>33.880000000000003</v>
          </cell>
        </row>
        <row r="3542">
          <cell r="A3542">
            <v>46206</v>
          </cell>
          <cell r="C3542" t="str">
            <v xml:space="preserve">Itapaci </v>
          </cell>
          <cell r="H3542">
            <v>34.26</v>
          </cell>
        </row>
        <row r="3543">
          <cell r="A3543">
            <v>46206</v>
          </cell>
          <cell r="C3543" t="str">
            <v xml:space="preserve">Itapaci </v>
          </cell>
          <cell r="H3543">
            <v>33.18</v>
          </cell>
        </row>
        <row r="3544">
          <cell r="A3544">
            <v>46206</v>
          </cell>
          <cell r="C3544" t="str">
            <v xml:space="preserve">Itapaci </v>
          </cell>
          <cell r="H3544">
            <v>35.22</v>
          </cell>
        </row>
        <row r="3545">
          <cell r="A3545">
            <v>46206</v>
          </cell>
          <cell r="C3545" t="str">
            <v xml:space="preserve">Bela Vista </v>
          </cell>
          <cell r="H3545">
            <v>36.82</v>
          </cell>
        </row>
        <row r="3546">
          <cell r="A3546">
            <v>46206</v>
          </cell>
          <cell r="C3546" t="str">
            <v xml:space="preserve">Bela Vista </v>
          </cell>
          <cell r="H3546">
            <v>43.06</v>
          </cell>
        </row>
        <row r="3547">
          <cell r="A3547">
            <v>46206</v>
          </cell>
          <cell r="C3547" t="str">
            <v xml:space="preserve">Bela Vista </v>
          </cell>
          <cell r="H3547">
            <v>37.64</v>
          </cell>
        </row>
        <row r="3548">
          <cell r="A3548">
            <v>46206</v>
          </cell>
          <cell r="C3548" t="str">
            <v xml:space="preserve">Bela Vista </v>
          </cell>
          <cell r="H3548">
            <v>38.979999999999997</v>
          </cell>
        </row>
        <row r="3549">
          <cell r="A3549">
            <v>46206</v>
          </cell>
          <cell r="C3549" t="str">
            <v xml:space="preserve">Bela Vista </v>
          </cell>
          <cell r="H3549">
            <v>39.26</v>
          </cell>
        </row>
        <row r="3550">
          <cell r="A3550">
            <v>46206</v>
          </cell>
          <cell r="C3550" t="str">
            <v xml:space="preserve">Bela Vista </v>
          </cell>
          <cell r="H3550">
            <v>39.880000000000003</v>
          </cell>
        </row>
        <row r="3551">
          <cell r="A3551">
            <v>46206</v>
          </cell>
          <cell r="C3551" t="str">
            <v xml:space="preserve">Bela Vista </v>
          </cell>
          <cell r="H3551">
            <v>37.18</v>
          </cell>
        </row>
        <row r="3552">
          <cell r="A3552">
            <v>46206</v>
          </cell>
          <cell r="C3552" t="str">
            <v xml:space="preserve">Bela Vista </v>
          </cell>
          <cell r="H3552">
            <v>37.78</v>
          </cell>
        </row>
        <row r="3553">
          <cell r="A3553">
            <v>46206</v>
          </cell>
          <cell r="C3553" t="str">
            <v xml:space="preserve">Bela Vista </v>
          </cell>
          <cell r="H3553">
            <v>45.7</v>
          </cell>
        </row>
        <row r="3554">
          <cell r="A3554">
            <v>46206</v>
          </cell>
          <cell r="C3554" t="str">
            <v xml:space="preserve">Bela Vista </v>
          </cell>
          <cell r="H3554">
            <v>37.14</v>
          </cell>
        </row>
        <row r="3555">
          <cell r="A3555">
            <v>46206</v>
          </cell>
          <cell r="C3555" t="str">
            <v xml:space="preserve">Bela Vista </v>
          </cell>
          <cell r="H3555">
            <v>39.979999999999997</v>
          </cell>
        </row>
        <row r="3556">
          <cell r="A3556">
            <v>46207</v>
          </cell>
          <cell r="C3556" t="str">
            <v xml:space="preserve">Bela Vista </v>
          </cell>
          <cell r="H3556">
            <v>39</v>
          </cell>
        </row>
        <row r="3557">
          <cell r="A3557">
            <v>46209</v>
          </cell>
          <cell r="C3557" t="str">
            <v xml:space="preserve">Bela Vista </v>
          </cell>
          <cell r="H3557">
            <v>39.479999999999997</v>
          </cell>
        </row>
        <row r="3558">
          <cell r="A3558">
            <v>46207</v>
          </cell>
          <cell r="C3558" t="str">
            <v xml:space="preserve">Bela Vista </v>
          </cell>
          <cell r="H3558">
            <v>39.119999999999997</v>
          </cell>
        </row>
        <row r="3559">
          <cell r="A3559">
            <v>46207</v>
          </cell>
          <cell r="C3559" t="str">
            <v xml:space="preserve">Bela Vista </v>
          </cell>
          <cell r="H3559">
            <v>39.96</v>
          </cell>
        </row>
        <row r="3560">
          <cell r="A3560">
            <v>46207</v>
          </cell>
          <cell r="C3560" t="str">
            <v xml:space="preserve">Bela Vista </v>
          </cell>
          <cell r="H3560">
            <v>47.38</v>
          </cell>
        </row>
        <row r="3561">
          <cell r="A3561">
            <v>46207</v>
          </cell>
          <cell r="C3561" t="str">
            <v xml:space="preserve">Bela Vista </v>
          </cell>
          <cell r="H3561">
            <v>36.86</v>
          </cell>
        </row>
        <row r="3562">
          <cell r="A3562">
            <v>46207</v>
          </cell>
          <cell r="C3562" t="str">
            <v xml:space="preserve">Bela Vista </v>
          </cell>
          <cell r="H3562">
            <v>39.92</v>
          </cell>
        </row>
        <row r="3563">
          <cell r="A3563">
            <v>46207</v>
          </cell>
          <cell r="C3563" t="str">
            <v xml:space="preserve">Bela Vista </v>
          </cell>
          <cell r="H3563">
            <v>36.979999999999997</v>
          </cell>
        </row>
        <row r="3564">
          <cell r="A3564">
            <v>46207</v>
          </cell>
          <cell r="C3564" t="str">
            <v xml:space="preserve">Bela Vista </v>
          </cell>
          <cell r="H3564">
            <v>50.38</v>
          </cell>
        </row>
        <row r="3565">
          <cell r="A3565">
            <v>46207</v>
          </cell>
          <cell r="C3565" t="str">
            <v xml:space="preserve">Bela Vista </v>
          </cell>
          <cell r="H3565">
            <v>37.22</v>
          </cell>
        </row>
        <row r="3566">
          <cell r="A3566">
            <v>46206</v>
          </cell>
          <cell r="C3566" t="str">
            <v xml:space="preserve">Itapaci </v>
          </cell>
          <cell r="H3566">
            <v>70</v>
          </cell>
        </row>
        <row r="3567">
          <cell r="A3567">
            <v>46206</v>
          </cell>
          <cell r="C3567" t="str">
            <v xml:space="preserve">Itapaci </v>
          </cell>
          <cell r="H3567">
            <v>64.959999999999994</v>
          </cell>
        </row>
        <row r="3568">
          <cell r="A3568">
            <v>46206</v>
          </cell>
          <cell r="C3568" t="str">
            <v xml:space="preserve">Itapaci </v>
          </cell>
          <cell r="H3568">
            <v>67.180000000000007</v>
          </cell>
        </row>
        <row r="3569">
          <cell r="A3569">
            <v>46206</v>
          </cell>
          <cell r="C3569" t="str">
            <v xml:space="preserve">Itapaci </v>
          </cell>
          <cell r="H3569">
            <v>67.62</v>
          </cell>
        </row>
        <row r="3570">
          <cell r="A3570">
            <v>46206</v>
          </cell>
          <cell r="C3570" t="str">
            <v xml:space="preserve">Itapaci </v>
          </cell>
          <cell r="H3570">
            <v>42.86</v>
          </cell>
        </row>
        <row r="3571">
          <cell r="A3571">
            <v>46206</v>
          </cell>
          <cell r="C3571" t="str">
            <v xml:space="preserve">Itapaci </v>
          </cell>
          <cell r="H3571">
            <v>46.42</v>
          </cell>
        </row>
        <row r="3572">
          <cell r="A3572">
            <v>46206</v>
          </cell>
          <cell r="C3572" t="str">
            <v xml:space="preserve">Itapaci </v>
          </cell>
          <cell r="H3572">
            <v>57.84</v>
          </cell>
        </row>
        <row r="3573">
          <cell r="A3573">
            <v>46206</v>
          </cell>
          <cell r="C3573" t="str">
            <v xml:space="preserve">Itapaci </v>
          </cell>
          <cell r="H3573">
            <v>56.48</v>
          </cell>
        </row>
        <row r="3574">
          <cell r="A3574">
            <v>46206</v>
          </cell>
          <cell r="C3574" t="str">
            <v xml:space="preserve">Itapaci </v>
          </cell>
          <cell r="H3574">
            <v>35.08</v>
          </cell>
        </row>
        <row r="3575">
          <cell r="A3575">
            <v>46206</v>
          </cell>
          <cell r="C3575" t="str">
            <v xml:space="preserve">Itapaci </v>
          </cell>
          <cell r="H3575">
            <v>35.86</v>
          </cell>
        </row>
        <row r="3576">
          <cell r="A3576">
            <v>46206</v>
          </cell>
          <cell r="C3576" t="str">
            <v xml:space="preserve">Itapaci </v>
          </cell>
          <cell r="H3576">
            <v>34.28</v>
          </cell>
        </row>
        <row r="3577">
          <cell r="A3577">
            <v>46206</v>
          </cell>
          <cell r="C3577" t="str">
            <v xml:space="preserve">Itapaci </v>
          </cell>
          <cell r="H3577">
            <v>35.82</v>
          </cell>
        </row>
        <row r="3578">
          <cell r="A3578">
            <v>46206</v>
          </cell>
          <cell r="C3578" t="str">
            <v xml:space="preserve">Itapaci </v>
          </cell>
          <cell r="H3578">
            <v>34.840000000000003</v>
          </cell>
        </row>
        <row r="3579">
          <cell r="A3579">
            <v>46206</v>
          </cell>
          <cell r="C3579" t="str">
            <v xml:space="preserve">Itapaci </v>
          </cell>
          <cell r="H3579">
            <v>30.98</v>
          </cell>
        </row>
        <row r="3580">
          <cell r="A3580">
            <v>46206</v>
          </cell>
          <cell r="C3580" t="str">
            <v xml:space="preserve">Itapaci </v>
          </cell>
          <cell r="H3580">
            <v>35.18</v>
          </cell>
        </row>
        <row r="3581">
          <cell r="A3581">
            <v>46207</v>
          </cell>
          <cell r="C3581" t="str">
            <v xml:space="preserve">Itapaci </v>
          </cell>
          <cell r="H3581">
            <v>30.48</v>
          </cell>
        </row>
        <row r="3582">
          <cell r="A3582">
            <v>46207</v>
          </cell>
          <cell r="C3582" t="str">
            <v xml:space="preserve">Itapaci </v>
          </cell>
          <cell r="H3582">
            <v>32.58</v>
          </cell>
        </row>
        <row r="3583">
          <cell r="A3583">
            <v>46206</v>
          </cell>
          <cell r="C3583" t="str">
            <v xml:space="preserve">Itapaci </v>
          </cell>
          <cell r="H3583">
            <v>39.92</v>
          </cell>
        </row>
        <row r="3584">
          <cell r="A3584">
            <v>46207</v>
          </cell>
          <cell r="C3584" t="str">
            <v xml:space="preserve">Itapaci </v>
          </cell>
          <cell r="H3584">
            <v>49.22</v>
          </cell>
        </row>
        <row r="3585">
          <cell r="A3585">
            <v>46207</v>
          </cell>
          <cell r="C3585" t="str">
            <v xml:space="preserve">Itapaci </v>
          </cell>
          <cell r="H3585">
            <v>67.38</v>
          </cell>
        </row>
        <row r="3586">
          <cell r="A3586">
            <v>46207</v>
          </cell>
          <cell r="C3586" t="str">
            <v xml:space="preserve">Itapaci </v>
          </cell>
          <cell r="H3586">
            <v>68.94</v>
          </cell>
        </row>
        <row r="3587">
          <cell r="A3587">
            <v>46207</v>
          </cell>
          <cell r="C3587" t="str">
            <v xml:space="preserve">Itapaci </v>
          </cell>
          <cell r="H3587">
            <v>34.24</v>
          </cell>
        </row>
        <row r="3588">
          <cell r="A3588">
            <v>46207</v>
          </cell>
          <cell r="C3588" t="str">
            <v xml:space="preserve">Itapaci </v>
          </cell>
          <cell r="H3588">
            <v>70.239999999999995</v>
          </cell>
        </row>
        <row r="3589">
          <cell r="A3589">
            <v>46207</v>
          </cell>
          <cell r="C3589" t="str">
            <v xml:space="preserve">Itapaci </v>
          </cell>
          <cell r="H3589">
            <v>36.380000000000003</v>
          </cell>
        </row>
        <row r="3590">
          <cell r="A3590">
            <v>46207</v>
          </cell>
          <cell r="C3590" t="str">
            <v xml:space="preserve">Itapaci </v>
          </cell>
          <cell r="H3590">
            <v>67.099999999999994</v>
          </cell>
        </row>
        <row r="3591">
          <cell r="A3591">
            <v>46207</v>
          </cell>
          <cell r="C3591" t="str">
            <v xml:space="preserve">Itapaci </v>
          </cell>
          <cell r="H3591">
            <v>66.14</v>
          </cell>
        </row>
        <row r="3592">
          <cell r="A3592">
            <v>46207</v>
          </cell>
          <cell r="C3592" t="str">
            <v xml:space="preserve">Itapaci </v>
          </cell>
          <cell r="H3592">
            <v>67.7</v>
          </cell>
        </row>
        <row r="3593">
          <cell r="A3593">
            <v>46207</v>
          </cell>
          <cell r="C3593" t="str">
            <v xml:space="preserve">Itapaci </v>
          </cell>
          <cell r="H3593">
            <v>35.28</v>
          </cell>
        </row>
        <row r="3594">
          <cell r="A3594">
            <v>46207</v>
          </cell>
          <cell r="C3594" t="str">
            <v xml:space="preserve">Itapaci </v>
          </cell>
          <cell r="H3594">
            <v>36.619999999999997</v>
          </cell>
        </row>
        <row r="3595">
          <cell r="A3595">
            <v>46207</v>
          </cell>
          <cell r="C3595" t="str">
            <v xml:space="preserve">Itapaci </v>
          </cell>
          <cell r="H3595">
            <v>70.92</v>
          </cell>
        </row>
        <row r="3596">
          <cell r="A3596">
            <v>46207</v>
          </cell>
          <cell r="C3596" t="str">
            <v xml:space="preserve">Itapaci </v>
          </cell>
          <cell r="H3596">
            <v>35.74</v>
          </cell>
        </row>
        <row r="3597">
          <cell r="A3597">
            <v>46207</v>
          </cell>
          <cell r="C3597" t="str">
            <v xml:space="preserve">Itapaci </v>
          </cell>
          <cell r="H3597">
            <v>42.88</v>
          </cell>
        </row>
        <row r="3598">
          <cell r="A3598">
            <v>46207</v>
          </cell>
          <cell r="C3598" t="str">
            <v xml:space="preserve">Itapaci </v>
          </cell>
          <cell r="H3598">
            <v>47.54</v>
          </cell>
        </row>
        <row r="3599">
          <cell r="A3599">
            <v>46207</v>
          </cell>
          <cell r="C3599" t="str">
            <v xml:space="preserve">Itapaci </v>
          </cell>
          <cell r="H3599">
            <v>35.200000000000003</v>
          </cell>
        </row>
        <row r="3600">
          <cell r="A3600">
            <v>46207</v>
          </cell>
          <cell r="C3600" t="str">
            <v xml:space="preserve">Itapaci </v>
          </cell>
          <cell r="H3600">
            <v>36.04</v>
          </cell>
        </row>
        <row r="3601">
          <cell r="A3601">
            <v>46207</v>
          </cell>
          <cell r="C3601" t="str">
            <v xml:space="preserve">Itapaci </v>
          </cell>
          <cell r="H3601">
            <v>37.4</v>
          </cell>
        </row>
        <row r="3602">
          <cell r="A3602">
            <v>46207</v>
          </cell>
          <cell r="C3602" t="str">
            <v xml:space="preserve">Itapaci </v>
          </cell>
          <cell r="H3602">
            <v>36.68</v>
          </cell>
        </row>
        <row r="3603">
          <cell r="A3603">
            <v>46207</v>
          </cell>
          <cell r="C3603" t="str">
            <v xml:space="preserve">Itapaci </v>
          </cell>
          <cell r="H3603">
            <v>36.32</v>
          </cell>
        </row>
        <row r="3604">
          <cell r="A3604">
            <v>46207</v>
          </cell>
          <cell r="C3604" t="str">
            <v xml:space="preserve">Itapaci </v>
          </cell>
          <cell r="H3604">
            <v>32.44</v>
          </cell>
        </row>
        <row r="3605">
          <cell r="A3605">
            <v>46207</v>
          </cell>
          <cell r="C3605" t="str">
            <v xml:space="preserve">Itapaci </v>
          </cell>
          <cell r="H3605">
            <v>44.42</v>
          </cell>
        </row>
        <row r="3606">
          <cell r="A3606">
            <v>46207</v>
          </cell>
          <cell r="C3606" t="str">
            <v xml:space="preserve">Itapaci </v>
          </cell>
          <cell r="H3606">
            <v>69.819999999999993</v>
          </cell>
        </row>
        <row r="3607">
          <cell r="A3607">
            <v>46207</v>
          </cell>
          <cell r="C3607" t="str">
            <v xml:space="preserve">Itapaci </v>
          </cell>
          <cell r="H3607">
            <v>30.2</v>
          </cell>
        </row>
        <row r="3608">
          <cell r="A3608">
            <v>46207</v>
          </cell>
          <cell r="C3608" t="str">
            <v xml:space="preserve">Itapaci </v>
          </cell>
          <cell r="H3608">
            <v>44.44</v>
          </cell>
        </row>
        <row r="3609">
          <cell r="A3609">
            <v>46207</v>
          </cell>
          <cell r="C3609" t="str">
            <v xml:space="preserve">Itapaci </v>
          </cell>
          <cell r="H3609">
            <v>43.38</v>
          </cell>
        </row>
        <row r="3610">
          <cell r="A3610">
            <v>46207</v>
          </cell>
          <cell r="C3610" t="str">
            <v xml:space="preserve">Bela Vista </v>
          </cell>
          <cell r="H3610">
            <v>36.479999999999997</v>
          </cell>
        </row>
        <row r="3611">
          <cell r="A3611">
            <v>46207</v>
          </cell>
          <cell r="C3611" t="str">
            <v xml:space="preserve">Bela Vista </v>
          </cell>
          <cell r="H3611">
            <v>38.880000000000003</v>
          </cell>
        </row>
        <row r="3612">
          <cell r="A3612">
            <v>46207</v>
          </cell>
          <cell r="C3612" t="str">
            <v xml:space="preserve">Bela Vista </v>
          </cell>
          <cell r="H3612">
            <v>37.78</v>
          </cell>
        </row>
        <row r="3613">
          <cell r="A3613">
            <v>46207</v>
          </cell>
          <cell r="C3613" t="str">
            <v xml:space="preserve">Bela Vista </v>
          </cell>
          <cell r="H3613">
            <v>38.020000000000003</v>
          </cell>
        </row>
        <row r="3614">
          <cell r="A3614">
            <v>46207</v>
          </cell>
          <cell r="C3614" t="str">
            <v xml:space="preserve">Bela Vista </v>
          </cell>
          <cell r="H3614">
            <v>39.1</v>
          </cell>
        </row>
        <row r="3615">
          <cell r="A3615">
            <v>46207</v>
          </cell>
          <cell r="C3615" t="str">
            <v xml:space="preserve">Bela Vista </v>
          </cell>
          <cell r="H3615">
            <v>46.36</v>
          </cell>
        </row>
        <row r="3616">
          <cell r="A3616">
            <v>46207</v>
          </cell>
          <cell r="C3616" t="str">
            <v xml:space="preserve">Bela Vista </v>
          </cell>
          <cell r="H3616">
            <v>38.4</v>
          </cell>
        </row>
        <row r="3617">
          <cell r="A3617">
            <v>46207</v>
          </cell>
          <cell r="C3617" t="str">
            <v xml:space="preserve">Bela Vista </v>
          </cell>
          <cell r="H3617">
            <v>43.98</v>
          </cell>
        </row>
        <row r="3618">
          <cell r="A3618">
            <v>46207</v>
          </cell>
          <cell r="C3618" t="str">
            <v xml:space="preserve">Bela Vista </v>
          </cell>
          <cell r="H3618">
            <v>40.76</v>
          </cell>
        </row>
        <row r="3619">
          <cell r="A3619">
            <v>46207</v>
          </cell>
          <cell r="C3619" t="str">
            <v xml:space="preserve">Bela Vista </v>
          </cell>
          <cell r="H3619">
            <v>39.5</v>
          </cell>
        </row>
        <row r="3620">
          <cell r="A3620">
            <v>46207</v>
          </cell>
          <cell r="C3620" t="str">
            <v xml:space="preserve">Bela Vista </v>
          </cell>
          <cell r="H3620">
            <v>38.22</v>
          </cell>
        </row>
        <row r="3621">
          <cell r="A3621">
            <v>46207</v>
          </cell>
          <cell r="C3621" t="str">
            <v xml:space="preserve">Bela Vista </v>
          </cell>
          <cell r="H3621">
            <v>37.96</v>
          </cell>
        </row>
        <row r="3622">
          <cell r="A3622">
            <v>46207</v>
          </cell>
          <cell r="C3622" t="str">
            <v xml:space="preserve">Bela Vista </v>
          </cell>
          <cell r="H3622">
            <v>39.04</v>
          </cell>
        </row>
        <row r="3623">
          <cell r="A3623">
            <v>46207</v>
          </cell>
          <cell r="C3623" t="str">
            <v xml:space="preserve">Bela Vista </v>
          </cell>
          <cell r="H3623">
            <v>46.22</v>
          </cell>
        </row>
        <row r="3624">
          <cell r="A3624">
            <v>46207</v>
          </cell>
          <cell r="C3624" t="str">
            <v xml:space="preserve">Bela Vista </v>
          </cell>
          <cell r="H3624">
            <v>37.6</v>
          </cell>
        </row>
        <row r="3625">
          <cell r="A3625">
            <v>46207</v>
          </cell>
          <cell r="C3625" t="str">
            <v xml:space="preserve">Bela Vista </v>
          </cell>
          <cell r="H3625">
            <v>50.1</v>
          </cell>
        </row>
        <row r="3626">
          <cell r="A3626">
            <v>46209</v>
          </cell>
          <cell r="C3626" t="str">
            <v xml:space="preserve">Bela Vista </v>
          </cell>
          <cell r="H3626">
            <v>38.1</v>
          </cell>
        </row>
        <row r="3627">
          <cell r="A3627">
            <v>46209</v>
          </cell>
          <cell r="C3627" t="str">
            <v xml:space="preserve">Bela Vista </v>
          </cell>
          <cell r="H3627">
            <v>39.799999999999997</v>
          </cell>
        </row>
        <row r="3628">
          <cell r="A3628">
            <v>46209</v>
          </cell>
          <cell r="C3628" t="str">
            <v xml:space="preserve">Itapaci </v>
          </cell>
          <cell r="H3628">
            <v>35.5</v>
          </cell>
        </row>
        <row r="3629">
          <cell r="A3629">
            <v>46209</v>
          </cell>
          <cell r="C3629" t="str">
            <v xml:space="preserve">Itapaci </v>
          </cell>
          <cell r="H3629">
            <v>36.020000000000003</v>
          </cell>
        </row>
        <row r="3630">
          <cell r="A3630">
            <v>46209</v>
          </cell>
          <cell r="C3630" t="str">
            <v xml:space="preserve">Bela Vista </v>
          </cell>
          <cell r="H3630">
            <v>39.56</v>
          </cell>
        </row>
        <row r="3631">
          <cell r="A3631">
            <v>46209</v>
          </cell>
          <cell r="C3631" t="str">
            <v xml:space="preserve">Bela Vista </v>
          </cell>
          <cell r="H3631">
            <v>38.04</v>
          </cell>
        </row>
        <row r="3632">
          <cell r="A3632">
            <v>46209</v>
          </cell>
          <cell r="C3632" t="str">
            <v xml:space="preserve">Bela Vista </v>
          </cell>
          <cell r="H3632">
            <v>38.14</v>
          </cell>
        </row>
        <row r="3633">
          <cell r="A3633">
            <v>46209</v>
          </cell>
          <cell r="C3633" t="str">
            <v xml:space="preserve">Bela Vista </v>
          </cell>
          <cell r="H3633">
            <v>51.62</v>
          </cell>
        </row>
        <row r="3634">
          <cell r="A3634">
            <v>46209</v>
          </cell>
          <cell r="C3634" t="str">
            <v xml:space="preserve">Bela Vista </v>
          </cell>
          <cell r="H3634">
            <v>36.840000000000003</v>
          </cell>
        </row>
        <row r="3635">
          <cell r="A3635">
            <v>46209</v>
          </cell>
          <cell r="C3635" t="str">
            <v xml:space="preserve">Bela Vista </v>
          </cell>
          <cell r="H3635">
            <v>46.48</v>
          </cell>
        </row>
        <row r="3636">
          <cell r="A3636">
            <v>46209</v>
          </cell>
          <cell r="C3636" t="str">
            <v xml:space="preserve">Bela Vista </v>
          </cell>
          <cell r="H3636">
            <v>39.380000000000003</v>
          </cell>
        </row>
        <row r="3637">
          <cell r="A3637">
            <v>46209</v>
          </cell>
          <cell r="C3637" t="str">
            <v xml:space="preserve">Bela Vista </v>
          </cell>
          <cell r="H3637">
            <v>38.44</v>
          </cell>
        </row>
        <row r="3638">
          <cell r="A3638">
            <v>46209</v>
          </cell>
          <cell r="C3638" t="str">
            <v xml:space="preserve">Bela Vista </v>
          </cell>
          <cell r="H3638">
            <v>36.64</v>
          </cell>
        </row>
        <row r="3639">
          <cell r="A3639">
            <v>46209</v>
          </cell>
          <cell r="C3639" t="str">
            <v xml:space="preserve">Bela Vista </v>
          </cell>
          <cell r="H3639">
            <v>39.78</v>
          </cell>
        </row>
        <row r="3640">
          <cell r="A3640">
            <v>46209</v>
          </cell>
          <cell r="C3640" t="str">
            <v xml:space="preserve">Bela Vista </v>
          </cell>
          <cell r="H3640">
            <v>38.479999999999997</v>
          </cell>
        </row>
        <row r="3641">
          <cell r="A3641">
            <v>46209</v>
          </cell>
          <cell r="C3641" t="str">
            <v xml:space="preserve">Bela Vista </v>
          </cell>
          <cell r="H3641">
            <v>38.94</v>
          </cell>
        </row>
        <row r="3642">
          <cell r="A3642">
            <v>46209</v>
          </cell>
          <cell r="C3642" t="str">
            <v xml:space="preserve">Bela Vista </v>
          </cell>
          <cell r="H3642">
            <v>37.92</v>
          </cell>
        </row>
        <row r="3643">
          <cell r="A3643">
            <v>46209</v>
          </cell>
          <cell r="C3643" t="str">
            <v xml:space="preserve">Bela Vista </v>
          </cell>
          <cell r="H3643">
            <v>49.14</v>
          </cell>
        </row>
        <row r="3644">
          <cell r="A3644">
            <v>46209</v>
          </cell>
          <cell r="C3644" t="str">
            <v xml:space="preserve">Bela Vista </v>
          </cell>
          <cell r="H3644">
            <v>37.619999999999997</v>
          </cell>
        </row>
        <row r="3645">
          <cell r="A3645">
            <v>46209</v>
          </cell>
          <cell r="C3645" t="str">
            <v xml:space="preserve">Itapaci </v>
          </cell>
          <cell r="H3645">
            <v>70.88</v>
          </cell>
        </row>
        <row r="3646">
          <cell r="A3646">
            <v>46209</v>
          </cell>
          <cell r="C3646" t="str">
            <v xml:space="preserve">Itapaci </v>
          </cell>
          <cell r="H3646">
            <v>63.94</v>
          </cell>
        </row>
        <row r="3647">
          <cell r="A3647">
            <v>46209</v>
          </cell>
          <cell r="C3647" t="str">
            <v xml:space="preserve">Itapaci </v>
          </cell>
          <cell r="H3647">
            <v>36.78</v>
          </cell>
        </row>
        <row r="3648">
          <cell r="A3648">
            <v>46209</v>
          </cell>
          <cell r="C3648" t="str">
            <v xml:space="preserve">Itapaci </v>
          </cell>
          <cell r="H3648">
            <v>33.5</v>
          </cell>
        </row>
        <row r="3649">
          <cell r="A3649">
            <v>46209</v>
          </cell>
          <cell r="C3649" t="str">
            <v xml:space="preserve">Itapaci </v>
          </cell>
          <cell r="H3649">
            <v>34.5</v>
          </cell>
        </row>
        <row r="3650">
          <cell r="A3650">
            <v>46209</v>
          </cell>
          <cell r="C3650" t="str">
            <v xml:space="preserve">Itapaci </v>
          </cell>
          <cell r="H3650">
            <v>29.94</v>
          </cell>
        </row>
        <row r="3651">
          <cell r="A3651">
            <v>46209</v>
          </cell>
          <cell r="C3651" t="str">
            <v xml:space="preserve">Itapaci </v>
          </cell>
          <cell r="H3651">
            <v>40.96</v>
          </cell>
        </row>
        <row r="3652">
          <cell r="A3652">
            <v>46209</v>
          </cell>
          <cell r="C3652" t="str">
            <v xml:space="preserve">Itapaci </v>
          </cell>
          <cell r="H3652">
            <v>42</v>
          </cell>
        </row>
        <row r="3653">
          <cell r="A3653">
            <v>46209</v>
          </cell>
          <cell r="C3653" t="str">
            <v xml:space="preserve">Itapaci </v>
          </cell>
          <cell r="H3653">
            <v>35.380000000000003</v>
          </cell>
        </row>
        <row r="3654">
          <cell r="A3654">
            <v>46209</v>
          </cell>
          <cell r="C3654" t="str">
            <v xml:space="preserve">Itapaci </v>
          </cell>
          <cell r="H3654">
            <v>53.88</v>
          </cell>
        </row>
        <row r="3655">
          <cell r="A3655">
            <v>46209</v>
          </cell>
          <cell r="C3655" t="str">
            <v xml:space="preserve">Itapaci </v>
          </cell>
          <cell r="H3655">
            <v>66.239999999999995</v>
          </cell>
        </row>
        <row r="3656">
          <cell r="A3656">
            <v>46209</v>
          </cell>
          <cell r="C3656" t="str">
            <v xml:space="preserve">Itapaci </v>
          </cell>
          <cell r="H3656">
            <v>43.28</v>
          </cell>
        </row>
        <row r="3657">
          <cell r="A3657">
            <v>46209</v>
          </cell>
          <cell r="C3657" t="str">
            <v xml:space="preserve">Itapaci </v>
          </cell>
          <cell r="H3657">
            <v>70.78</v>
          </cell>
        </row>
        <row r="3658">
          <cell r="A3658">
            <v>46209</v>
          </cell>
          <cell r="C3658" t="str">
            <v xml:space="preserve">Itapaci </v>
          </cell>
          <cell r="H3658">
            <v>64.760000000000005</v>
          </cell>
        </row>
        <row r="3659">
          <cell r="A3659">
            <v>46209</v>
          </cell>
          <cell r="C3659" t="str">
            <v xml:space="preserve">Itapaci </v>
          </cell>
          <cell r="H3659">
            <v>33.72</v>
          </cell>
        </row>
        <row r="3660">
          <cell r="A3660">
            <v>46209</v>
          </cell>
          <cell r="C3660" t="str">
            <v xml:space="preserve">Itapaci </v>
          </cell>
          <cell r="H3660">
            <v>33.9</v>
          </cell>
        </row>
        <row r="3661">
          <cell r="A3661">
            <v>46209</v>
          </cell>
          <cell r="C3661" t="str">
            <v xml:space="preserve">Itapaci </v>
          </cell>
          <cell r="H3661">
            <v>35.18</v>
          </cell>
        </row>
        <row r="3662">
          <cell r="A3662">
            <v>46209</v>
          </cell>
          <cell r="C3662" t="str">
            <v xml:space="preserve">Itapaci </v>
          </cell>
          <cell r="H3662">
            <v>33.68</v>
          </cell>
        </row>
        <row r="3663">
          <cell r="A3663">
            <v>46209</v>
          </cell>
          <cell r="C3663" t="str">
            <v xml:space="preserve">Itapaci </v>
          </cell>
          <cell r="H3663">
            <v>29.02</v>
          </cell>
        </row>
        <row r="3664">
          <cell r="A3664">
            <v>46209</v>
          </cell>
          <cell r="C3664" t="str">
            <v xml:space="preserve">Itapaci </v>
          </cell>
          <cell r="H3664">
            <v>48.22</v>
          </cell>
        </row>
        <row r="3665">
          <cell r="A3665">
            <v>46209</v>
          </cell>
          <cell r="C3665" t="str">
            <v xml:space="preserve">Itapaci </v>
          </cell>
          <cell r="H3665">
            <v>34.799999999999997</v>
          </cell>
        </row>
        <row r="3666">
          <cell r="A3666">
            <v>46209</v>
          </cell>
          <cell r="C3666" t="str">
            <v xml:space="preserve">Itapaci </v>
          </cell>
          <cell r="H3666">
            <v>41.58</v>
          </cell>
        </row>
        <row r="3667">
          <cell r="A3667">
            <v>46209</v>
          </cell>
          <cell r="C3667" t="str">
            <v xml:space="preserve">Itapaci </v>
          </cell>
          <cell r="H3667">
            <v>66.319999999999993</v>
          </cell>
        </row>
        <row r="3668">
          <cell r="A3668">
            <v>46209</v>
          </cell>
          <cell r="C3668" t="str">
            <v xml:space="preserve">Itapaci </v>
          </cell>
          <cell r="H3668">
            <v>65.22</v>
          </cell>
        </row>
        <row r="3669">
          <cell r="A3669">
            <v>46209</v>
          </cell>
          <cell r="C3669" t="str">
            <v xml:space="preserve">Itapaci </v>
          </cell>
          <cell r="H3669">
            <v>34.200000000000003</v>
          </cell>
        </row>
        <row r="3670">
          <cell r="A3670">
            <v>46209</v>
          </cell>
          <cell r="C3670" t="str">
            <v xml:space="preserve">Itapaci </v>
          </cell>
          <cell r="H3670">
            <v>33.76</v>
          </cell>
        </row>
        <row r="3671">
          <cell r="A3671">
            <v>46209</v>
          </cell>
          <cell r="C3671" t="str">
            <v xml:space="preserve">Itapaci </v>
          </cell>
          <cell r="H3671">
            <v>32.299999999999997</v>
          </cell>
        </row>
        <row r="3672">
          <cell r="A3672">
            <v>46209</v>
          </cell>
          <cell r="C3672" t="str">
            <v xml:space="preserve">Itapaci </v>
          </cell>
          <cell r="H3672">
            <v>34.74</v>
          </cell>
        </row>
        <row r="3673">
          <cell r="A3673">
            <v>46209</v>
          </cell>
          <cell r="C3673" t="str">
            <v xml:space="preserve">Itapaci </v>
          </cell>
          <cell r="H3673">
            <v>44.96</v>
          </cell>
        </row>
        <row r="3674">
          <cell r="A3674">
            <v>46209</v>
          </cell>
          <cell r="C3674" t="str">
            <v xml:space="preserve">Itapaci </v>
          </cell>
          <cell r="H3674">
            <v>34.020000000000003</v>
          </cell>
        </row>
        <row r="3675">
          <cell r="A3675">
            <v>46209</v>
          </cell>
          <cell r="C3675" t="str">
            <v xml:space="preserve">Itapaci </v>
          </cell>
          <cell r="H3675">
            <v>35.82</v>
          </cell>
        </row>
        <row r="3676">
          <cell r="A3676">
            <v>46209</v>
          </cell>
          <cell r="C3676" t="str">
            <v xml:space="preserve">Itapaci </v>
          </cell>
          <cell r="H3676">
            <v>33.54</v>
          </cell>
        </row>
        <row r="3677">
          <cell r="A3677">
            <v>46209</v>
          </cell>
          <cell r="C3677" t="str">
            <v xml:space="preserve">Itapaci </v>
          </cell>
          <cell r="H3677">
            <v>65.900000000000006</v>
          </cell>
        </row>
        <row r="3678">
          <cell r="A3678">
            <v>46209</v>
          </cell>
          <cell r="C3678" t="str">
            <v xml:space="preserve">Itapaci </v>
          </cell>
          <cell r="H3678">
            <v>65.78</v>
          </cell>
        </row>
        <row r="3679">
          <cell r="A3679">
            <v>46209</v>
          </cell>
          <cell r="C3679" t="str">
            <v xml:space="preserve">Itapaci </v>
          </cell>
          <cell r="H3679">
            <v>33.979999999999997</v>
          </cell>
        </row>
        <row r="3680">
          <cell r="A3680">
            <v>46210</v>
          </cell>
          <cell r="C3680" t="str">
            <v xml:space="preserve">Bela Vista </v>
          </cell>
          <cell r="H3680">
            <v>39.020000000000003</v>
          </cell>
        </row>
        <row r="3681">
          <cell r="A3681">
            <v>46210</v>
          </cell>
          <cell r="C3681" t="str">
            <v xml:space="preserve">Bela Vista </v>
          </cell>
          <cell r="H3681">
            <v>41.12</v>
          </cell>
        </row>
        <row r="3682">
          <cell r="A3682">
            <v>46210</v>
          </cell>
          <cell r="C3682" t="str">
            <v xml:space="preserve">Bela Vista </v>
          </cell>
          <cell r="H3682">
            <v>40.18</v>
          </cell>
        </row>
        <row r="3683">
          <cell r="A3683">
            <v>46210</v>
          </cell>
          <cell r="C3683" t="str">
            <v xml:space="preserve">Bela Vista </v>
          </cell>
          <cell r="H3683">
            <v>40.380000000000003</v>
          </cell>
        </row>
        <row r="3684">
          <cell r="A3684">
            <v>46209</v>
          </cell>
          <cell r="C3684" t="str">
            <v xml:space="preserve">Itapaci </v>
          </cell>
          <cell r="H3684">
            <v>34.68</v>
          </cell>
        </row>
        <row r="3685">
          <cell r="A3685">
            <v>46210</v>
          </cell>
          <cell r="C3685" t="str">
            <v xml:space="preserve">Bela Vista </v>
          </cell>
          <cell r="H3685">
            <v>39.56</v>
          </cell>
        </row>
        <row r="3686">
          <cell r="A3686">
            <v>46210</v>
          </cell>
          <cell r="C3686" t="str">
            <v xml:space="preserve">Bela Vista </v>
          </cell>
          <cell r="H3686">
            <v>40.76</v>
          </cell>
        </row>
        <row r="3687">
          <cell r="A3687">
            <v>46210</v>
          </cell>
          <cell r="C3687" t="str">
            <v xml:space="preserve">Bela Vista </v>
          </cell>
          <cell r="H3687">
            <v>38.74</v>
          </cell>
        </row>
        <row r="3688">
          <cell r="A3688">
            <v>46210</v>
          </cell>
          <cell r="C3688" t="str">
            <v xml:space="preserve">Bela Vista </v>
          </cell>
          <cell r="H3688">
            <v>51.2</v>
          </cell>
        </row>
        <row r="3689">
          <cell r="A3689">
            <v>46210</v>
          </cell>
          <cell r="C3689" t="str">
            <v xml:space="preserve">Bela Vista </v>
          </cell>
          <cell r="H3689">
            <v>39.56</v>
          </cell>
        </row>
        <row r="3690">
          <cell r="A3690">
            <v>46210</v>
          </cell>
          <cell r="C3690" t="str">
            <v xml:space="preserve">Bela Vista </v>
          </cell>
          <cell r="H3690">
            <v>48.32</v>
          </cell>
        </row>
        <row r="3691">
          <cell r="A3691">
            <v>46210</v>
          </cell>
          <cell r="C3691" t="str">
            <v xml:space="preserve">Bela Vista </v>
          </cell>
          <cell r="H3691">
            <v>40.4</v>
          </cell>
        </row>
        <row r="3692">
          <cell r="A3692">
            <v>46210</v>
          </cell>
          <cell r="C3692" t="str">
            <v xml:space="preserve">Bela Vista </v>
          </cell>
          <cell r="H3692">
            <v>38.1</v>
          </cell>
        </row>
        <row r="3693">
          <cell r="A3693">
            <v>46210</v>
          </cell>
          <cell r="C3693" t="str">
            <v xml:space="preserve">Bela Vista </v>
          </cell>
          <cell r="H3693">
            <v>39.92</v>
          </cell>
        </row>
        <row r="3694">
          <cell r="A3694">
            <v>46210</v>
          </cell>
          <cell r="C3694" t="str">
            <v xml:space="preserve">Bela Vista </v>
          </cell>
          <cell r="H3694">
            <v>40.9</v>
          </cell>
        </row>
        <row r="3695">
          <cell r="A3695">
            <v>46210</v>
          </cell>
          <cell r="C3695" t="str">
            <v xml:space="preserve">Itapaci </v>
          </cell>
          <cell r="H3695">
            <v>44.5</v>
          </cell>
        </row>
        <row r="3696">
          <cell r="A3696">
            <v>46210</v>
          </cell>
          <cell r="C3696" t="str">
            <v xml:space="preserve">Itapaci </v>
          </cell>
          <cell r="H3696">
            <v>34.6</v>
          </cell>
        </row>
        <row r="3697">
          <cell r="A3697">
            <v>46210</v>
          </cell>
          <cell r="C3697" t="str">
            <v xml:space="preserve">Itapaci </v>
          </cell>
          <cell r="H3697">
            <v>46.4</v>
          </cell>
        </row>
        <row r="3698">
          <cell r="A3698">
            <v>46210</v>
          </cell>
          <cell r="C3698" t="str">
            <v xml:space="preserve">Itapaci </v>
          </cell>
          <cell r="H3698">
            <v>35</v>
          </cell>
        </row>
        <row r="3699">
          <cell r="A3699">
            <v>46210</v>
          </cell>
          <cell r="C3699" t="str">
            <v xml:space="preserve">Itapaci </v>
          </cell>
          <cell r="H3699">
            <v>34.1</v>
          </cell>
        </row>
        <row r="3700">
          <cell r="A3700">
            <v>46210</v>
          </cell>
          <cell r="C3700" t="str">
            <v xml:space="preserve">Itapaci </v>
          </cell>
          <cell r="H3700">
            <v>34.68</v>
          </cell>
        </row>
        <row r="3701">
          <cell r="A3701">
            <v>46210</v>
          </cell>
          <cell r="C3701" t="str">
            <v xml:space="preserve">Itapaci </v>
          </cell>
          <cell r="H3701">
            <v>29.18</v>
          </cell>
        </row>
        <row r="3702">
          <cell r="A3702">
            <v>46210</v>
          </cell>
          <cell r="C3702" t="str">
            <v xml:space="preserve">Itapaci </v>
          </cell>
          <cell r="H3702">
            <v>40.6</v>
          </cell>
        </row>
        <row r="3703">
          <cell r="A3703">
            <v>46210</v>
          </cell>
          <cell r="C3703" t="str">
            <v xml:space="preserve">Itapaci </v>
          </cell>
          <cell r="H3703">
            <v>43.86</v>
          </cell>
        </row>
        <row r="3704">
          <cell r="A3704">
            <v>46210</v>
          </cell>
          <cell r="C3704" t="str">
            <v xml:space="preserve">Itapaci </v>
          </cell>
          <cell r="H3704">
            <v>41.7</v>
          </cell>
        </row>
        <row r="3705">
          <cell r="A3705">
            <v>46211</v>
          </cell>
          <cell r="C3705" t="str">
            <v xml:space="preserve">Bela Vista </v>
          </cell>
          <cell r="H3705">
            <v>39.299999999999997</v>
          </cell>
        </row>
        <row r="3706">
          <cell r="A3706">
            <v>46211</v>
          </cell>
          <cell r="C3706" t="str">
            <v xml:space="preserve">Bela Vista </v>
          </cell>
          <cell r="H3706">
            <v>39.56</v>
          </cell>
        </row>
        <row r="3707">
          <cell r="A3707">
            <v>46210</v>
          </cell>
          <cell r="C3707" t="str">
            <v xml:space="preserve">Itapaci </v>
          </cell>
          <cell r="H3707">
            <v>34.22</v>
          </cell>
        </row>
        <row r="3708">
          <cell r="A3708">
            <v>46211</v>
          </cell>
          <cell r="C3708" t="str">
            <v xml:space="preserve">Bela Vista </v>
          </cell>
          <cell r="H3708">
            <v>37.380000000000003</v>
          </cell>
        </row>
        <row r="3709">
          <cell r="A3709">
            <v>46210</v>
          </cell>
          <cell r="C3709" t="str">
            <v xml:space="preserve">Itapaci </v>
          </cell>
          <cell r="H3709">
            <v>33.880000000000003</v>
          </cell>
        </row>
        <row r="3710">
          <cell r="A3710">
            <v>46211</v>
          </cell>
          <cell r="C3710" t="str">
            <v xml:space="preserve">Bela Vista </v>
          </cell>
          <cell r="H3710">
            <v>38.9</v>
          </cell>
        </row>
        <row r="3711">
          <cell r="A3711">
            <v>46210</v>
          </cell>
          <cell r="C3711" t="str">
            <v xml:space="preserve">Itapaci </v>
          </cell>
          <cell r="H3711">
            <v>68.900000000000006</v>
          </cell>
        </row>
        <row r="3712">
          <cell r="A3712">
            <v>46210</v>
          </cell>
          <cell r="C3712" t="str">
            <v xml:space="preserve">Itapaci </v>
          </cell>
          <cell r="H3712">
            <v>67.38</v>
          </cell>
        </row>
        <row r="3713">
          <cell r="A3713">
            <v>46210</v>
          </cell>
          <cell r="C3713" t="str">
            <v xml:space="preserve">Itapaci </v>
          </cell>
          <cell r="H3713">
            <v>57.32</v>
          </cell>
        </row>
        <row r="3714">
          <cell r="A3714">
            <v>46210</v>
          </cell>
          <cell r="C3714" t="str">
            <v xml:space="preserve">Itapaci </v>
          </cell>
          <cell r="H3714">
            <v>53.46</v>
          </cell>
        </row>
        <row r="3715">
          <cell r="A3715">
            <v>46210</v>
          </cell>
          <cell r="C3715" t="str">
            <v xml:space="preserve">Itapaci </v>
          </cell>
          <cell r="H3715">
            <v>45.68</v>
          </cell>
        </row>
        <row r="3716">
          <cell r="A3716">
            <v>46210</v>
          </cell>
          <cell r="C3716" t="str">
            <v xml:space="preserve">Itapaci </v>
          </cell>
          <cell r="H3716">
            <v>35.86</v>
          </cell>
        </row>
        <row r="3717">
          <cell r="A3717">
            <v>46210</v>
          </cell>
          <cell r="C3717" t="str">
            <v xml:space="preserve">Itapaci </v>
          </cell>
          <cell r="H3717">
            <v>35.979999999999997</v>
          </cell>
        </row>
        <row r="3718">
          <cell r="A3718">
            <v>46210</v>
          </cell>
          <cell r="C3718" t="str">
            <v xml:space="preserve">Itapaci </v>
          </cell>
          <cell r="H3718">
            <v>66.959999999999994</v>
          </cell>
        </row>
        <row r="3719">
          <cell r="A3719">
            <v>46210</v>
          </cell>
          <cell r="C3719" t="str">
            <v xml:space="preserve">Itapaci </v>
          </cell>
          <cell r="H3719">
            <v>73.66</v>
          </cell>
        </row>
        <row r="3720">
          <cell r="A3720">
            <v>46210</v>
          </cell>
          <cell r="C3720" t="str">
            <v xml:space="preserve">Itapaci </v>
          </cell>
          <cell r="H3720">
            <v>35.58</v>
          </cell>
        </row>
        <row r="3721">
          <cell r="A3721">
            <v>46210</v>
          </cell>
          <cell r="C3721" t="str">
            <v xml:space="preserve">Itapaci </v>
          </cell>
          <cell r="H3721">
            <v>34.5</v>
          </cell>
        </row>
        <row r="3722">
          <cell r="A3722">
            <v>46210</v>
          </cell>
          <cell r="C3722" t="str">
            <v xml:space="preserve">Itapaci </v>
          </cell>
          <cell r="H3722">
            <v>68.099999999999994</v>
          </cell>
        </row>
        <row r="3723">
          <cell r="A3723">
            <v>46210</v>
          </cell>
          <cell r="C3723" t="str">
            <v xml:space="preserve">Itapaci </v>
          </cell>
          <cell r="H3723">
            <v>34.94</v>
          </cell>
        </row>
        <row r="3724">
          <cell r="A3724">
            <v>46210</v>
          </cell>
          <cell r="C3724" t="str">
            <v xml:space="preserve">Itapaci </v>
          </cell>
          <cell r="H3724">
            <v>35.58</v>
          </cell>
        </row>
        <row r="3725">
          <cell r="A3725">
            <v>46210</v>
          </cell>
          <cell r="C3725" t="str">
            <v xml:space="preserve">Itapaci </v>
          </cell>
          <cell r="H3725">
            <v>35.32</v>
          </cell>
        </row>
        <row r="3726">
          <cell r="A3726">
            <v>46210</v>
          </cell>
          <cell r="C3726" t="str">
            <v xml:space="preserve">Itapaci </v>
          </cell>
          <cell r="H3726">
            <v>65.900000000000006</v>
          </cell>
        </row>
        <row r="3727">
          <cell r="A3727">
            <v>46210</v>
          </cell>
          <cell r="C3727" t="str">
            <v xml:space="preserve">Itapaci </v>
          </cell>
          <cell r="H3727">
            <v>33.840000000000003</v>
          </cell>
        </row>
        <row r="3728">
          <cell r="A3728">
            <v>46210</v>
          </cell>
          <cell r="C3728" t="str">
            <v xml:space="preserve">Itapaci </v>
          </cell>
          <cell r="H3728">
            <v>33.86</v>
          </cell>
        </row>
        <row r="3729">
          <cell r="A3729">
            <v>46210</v>
          </cell>
          <cell r="C3729" t="str">
            <v xml:space="preserve">Itapaci </v>
          </cell>
          <cell r="H3729">
            <v>30.8</v>
          </cell>
        </row>
        <row r="3730">
          <cell r="A3730">
            <v>46212</v>
          </cell>
          <cell r="C3730" t="str">
            <v xml:space="preserve">Itapaci </v>
          </cell>
          <cell r="H3730">
            <v>35.28</v>
          </cell>
        </row>
        <row r="3731">
          <cell r="A3731">
            <v>46210</v>
          </cell>
          <cell r="C3731" t="str">
            <v xml:space="preserve">Itapaci </v>
          </cell>
          <cell r="H3731">
            <v>33.36</v>
          </cell>
        </row>
        <row r="3732">
          <cell r="A3732">
            <v>46210</v>
          </cell>
          <cell r="C3732" t="str">
            <v xml:space="preserve">Itapaci </v>
          </cell>
          <cell r="H3732">
            <v>35.42</v>
          </cell>
        </row>
        <row r="3733">
          <cell r="A3733">
            <v>46211</v>
          </cell>
          <cell r="C3733" t="str">
            <v xml:space="preserve">Itapaci </v>
          </cell>
          <cell r="H3733">
            <v>30.78</v>
          </cell>
        </row>
        <row r="3734">
          <cell r="A3734">
            <v>46210</v>
          </cell>
          <cell r="C3734" t="str">
            <v xml:space="preserve">Itapaci </v>
          </cell>
          <cell r="H3734">
            <v>50.48</v>
          </cell>
        </row>
        <row r="3735">
          <cell r="A3735">
            <v>46211</v>
          </cell>
          <cell r="C3735" t="str">
            <v xml:space="preserve">Itapaci </v>
          </cell>
          <cell r="H3735">
            <v>49.76</v>
          </cell>
        </row>
        <row r="3736">
          <cell r="A3736">
            <v>46211</v>
          </cell>
          <cell r="C3736" t="str">
            <v xml:space="preserve">Itapaci </v>
          </cell>
          <cell r="H3736">
            <v>34.78</v>
          </cell>
        </row>
        <row r="3737">
          <cell r="A3737">
            <v>46211</v>
          </cell>
          <cell r="C3737" t="str">
            <v xml:space="preserve">Itapaci </v>
          </cell>
          <cell r="H3737">
            <v>35.54</v>
          </cell>
        </row>
        <row r="3738">
          <cell r="A3738">
            <v>46211</v>
          </cell>
          <cell r="C3738" t="str">
            <v xml:space="preserve">Itapaci </v>
          </cell>
          <cell r="H3738">
            <v>31.2</v>
          </cell>
        </row>
        <row r="3739">
          <cell r="A3739">
            <v>46211</v>
          </cell>
          <cell r="C3739" t="str">
            <v xml:space="preserve">Itapaci </v>
          </cell>
          <cell r="H3739">
            <v>35</v>
          </cell>
        </row>
        <row r="3740">
          <cell r="A3740">
            <v>46211</v>
          </cell>
          <cell r="C3740" t="str">
            <v xml:space="preserve">Itapaci </v>
          </cell>
          <cell r="H3740">
            <v>34.86</v>
          </cell>
        </row>
        <row r="3741">
          <cell r="A3741">
            <v>46211</v>
          </cell>
          <cell r="C3741" t="str">
            <v xml:space="preserve">Itapaci </v>
          </cell>
          <cell r="H3741">
            <v>34.78</v>
          </cell>
        </row>
        <row r="3742">
          <cell r="A3742">
            <v>46211</v>
          </cell>
          <cell r="C3742" t="str">
            <v xml:space="preserve">Itapaci </v>
          </cell>
          <cell r="H3742">
            <v>69.72</v>
          </cell>
        </row>
        <row r="3743">
          <cell r="A3743">
            <v>46211</v>
          </cell>
          <cell r="C3743" t="str">
            <v xml:space="preserve">Itapaci </v>
          </cell>
          <cell r="H3743">
            <v>44.24</v>
          </cell>
        </row>
        <row r="3744">
          <cell r="A3744">
            <v>46211</v>
          </cell>
          <cell r="C3744" t="str">
            <v xml:space="preserve">Itapaci </v>
          </cell>
          <cell r="H3744">
            <v>73.92</v>
          </cell>
        </row>
        <row r="3745">
          <cell r="A3745">
            <v>46211</v>
          </cell>
          <cell r="C3745" t="str">
            <v xml:space="preserve">Itapaci </v>
          </cell>
          <cell r="H3745">
            <v>31.66</v>
          </cell>
        </row>
        <row r="3746">
          <cell r="A3746">
            <v>46211</v>
          </cell>
          <cell r="C3746" t="str">
            <v xml:space="preserve">Itapaci </v>
          </cell>
          <cell r="H3746">
            <v>35.72</v>
          </cell>
        </row>
        <row r="3747">
          <cell r="A3747">
            <v>46211</v>
          </cell>
          <cell r="C3747" t="str">
            <v xml:space="preserve">Bela Vista </v>
          </cell>
          <cell r="H3747">
            <v>49.88</v>
          </cell>
        </row>
        <row r="3748">
          <cell r="A3748">
            <v>46211</v>
          </cell>
          <cell r="C3748" t="str">
            <v xml:space="preserve">Bela Vista </v>
          </cell>
          <cell r="H3748">
            <v>40.340000000000003</v>
          </cell>
        </row>
        <row r="3749">
          <cell r="A3749">
            <v>46211</v>
          </cell>
          <cell r="C3749" t="str">
            <v xml:space="preserve">Bela Vista </v>
          </cell>
          <cell r="H3749">
            <v>40.020000000000003</v>
          </cell>
        </row>
        <row r="3750">
          <cell r="A3750">
            <v>46211</v>
          </cell>
          <cell r="C3750" t="str">
            <v xml:space="preserve">Bela Vista </v>
          </cell>
          <cell r="H3750">
            <v>40.76</v>
          </cell>
        </row>
        <row r="3751">
          <cell r="A3751">
            <v>46211</v>
          </cell>
          <cell r="C3751" t="str">
            <v xml:space="preserve">Bela Vista </v>
          </cell>
          <cell r="H3751">
            <v>39.64</v>
          </cell>
        </row>
        <row r="3752">
          <cell r="A3752">
            <v>46211</v>
          </cell>
          <cell r="C3752" t="str">
            <v xml:space="preserve">Bela Vista </v>
          </cell>
          <cell r="H3752">
            <v>38.020000000000003</v>
          </cell>
        </row>
        <row r="3753">
          <cell r="A3753">
            <v>46211</v>
          </cell>
          <cell r="C3753" t="str">
            <v xml:space="preserve">Bela Vista </v>
          </cell>
          <cell r="H3753">
            <v>36.5</v>
          </cell>
        </row>
        <row r="3754">
          <cell r="A3754">
            <v>46211</v>
          </cell>
          <cell r="C3754" t="str">
            <v xml:space="preserve">Bela Vista </v>
          </cell>
          <cell r="H3754">
            <v>38.020000000000003</v>
          </cell>
        </row>
        <row r="3755">
          <cell r="A3755">
            <v>46211</v>
          </cell>
          <cell r="C3755" t="str">
            <v xml:space="preserve">Bela Vista </v>
          </cell>
          <cell r="H3755">
            <v>37.46</v>
          </cell>
        </row>
        <row r="3756">
          <cell r="A3756">
            <v>46211</v>
          </cell>
          <cell r="C3756" t="str">
            <v xml:space="preserve">Bela Vista </v>
          </cell>
          <cell r="H3756">
            <v>50.38</v>
          </cell>
        </row>
        <row r="3757">
          <cell r="A3757">
            <v>46211</v>
          </cell>
          <cell r="C3757" t="str">
            <v xml:space="preserve">Bela Vista </v>
          </cell>
          <cell r="H3757">
            <v>38.880000000000003</v>
          </cell>
        </row>
        <row r="3758">
          <cell r="A3758">
            <v>46211</v>
          </cell>
          <cell r="C3758" t="str">
            <v xml:space="preserve">Bela Vista </v>
          </cell>
          <cell r="H3758">
            <v>39.94</v>
          </cell>
        </row>
        <row r="3759">
          <cell r="A3759">
            <v>46211</v>
          </cell>
          <cell r="C3759" t="str">
            <v xml:space="preserve">Bela Vista </v>
          </cell>
          <cell r="H3759">
            <v>38.18</v>
          </cell>
        </row>
        <row r="3760">
          <cell r="A3760">
            <v>46211</v>
          </cell>
          <cell r="C3760" t="str">
            <v xml:space="preserve">Bela Vista </v>
          </cell>
          <cell r="H3760">
            <v>38.92</v>
          </cell>
        </row>
        <row r="3761">
          <cell r="A3761">
            <v>46211</v>
          </cell>
          <cell r="C3761" t="str">
            <v xml:space="preserve">Bela Vista </v>
          </cell>
          <cell r="H3761">
            <v>38.340000000000003</v>
          </cell>
        </row>
        <row r="3762">
          <cell r="A3762">
            <v>46211</v>
          </cell>
          <cell r="C3762" t="str">
            <v xml:space="preserve">Bela Vista </v>
          </cell>
          <cell r="H3762">
            <v>36.24</v>
          </cell>
        </row>
        <row r="3763">
          <cell r="A3763">
            <v>46211</v>
          </cell>
          <cell r="C3763" t="str">
            <v xml:space="preserve">Bela Vista </v>
          </cell>
          <cell r="H3763">
            <v>40</v>
          </cell>
        </row>
        <row r="3764">
          <cell r="A3764">
            <v>46211</v>
          </cell>
          <cell r="C3764" t="str">
            <v xml:space="preserve">Bela Vista </v>
          </cell>
          <cell r="H3764">
            <v>37.36</v>
          </cell>
        </row>
        <row r="3765">
          <cell r="A3765">
            <v>46211</v>
          </cell>
          <cell r="C3765" t="str">
            <v xml:space="preserve">Bela Vista </v>
          </cell>
          <cell r="H3765">
            <v>50.58</v>
          </cell>
        </row>
        <row r="3766">
          <cell r="A3766">
            <v>46212</v>
          </cell>
          <cell r="C3766" t="str">
            <v xml:space="preserve">Bela Vista </v>
          </cell>
          <cell r="H3766">
            <v>38.64</v>
          </cell>
        </row>
        <row r="3767">
          <cell r="A3767">
            <v>46212</v>
          </cell>
          <cell r="C3767" t="str">
            <v xml:space="preserve">Bela Vista </v>
          </cell>
          <cell r="H3767">
            <v>38.82</v>
          </cell>
        </row>
        <row r="3768">
          <cell r="A3768">
            <v>46211</v>
          </cell>
          <cell r="C3768" t="str">
            <v xml:space="preserve">Itapaci </v>
          </cell>
          <cell r="H3768">
            <v>35.4</v>
          </cell>
        </row>
        <row r="3769">
          <cell r="A3769">
            <v>46211</v>
          </cell>
          <cell r="C3769" t="str">
            <v xml:space="preserve">Itapaci </v>
          </cell>
          <cell r="H3769">
            <v>35.58</v>
          </cell>
        </row>
        <row r="3770">
          <cell r="A3770">
            <v>46211</v>
          </cell>
          <cell r="C3770" t="str">
            <v xml:space="preserve">Itapaci </v>
          </cell>
          <cell r="H3770">
            <v>35.46</v>
          </cell>
        </row>
        <row r="3771">
          <cell r="A3771">
            <v>46211</v>
          </cell>
          <cell r="C3771" t="str">
            <v xml:space="preserve">Itapaci </v>
          </cell>
          <cell r="H3771">
            <v>34.82</v>
          </cell>
        </row>
        <row r="3772">
          <cell r="A3772">
            <v>46211</v>
          </cell>
          <cell r="C3772" t="str">
            <v xml:space="preserve">Itapaci </v>
          </cell>
          <cell r="H3772">
            <v>35.380000000000003</v>
          </cell>
        </row>
        <row r="3773">
          <cell r="A3773">
            <v>46211</v>
          </cell>
          <cell r="C3773" t="str">
            <v xml:space="preserve">Itapaci </v>
          </cell>
          <cell r="H3773">
            <v>34.979999999999997</v>
          </cell>
        </row>
        <row r="3774">
          <cell r="A3774">
            <v>46211</v>
          </cell>
          <cell r="C3774" t="str">
            <v xml:space="preserve">Itapaci </v>
          </cell>
          <cell r="H3774">
            <v>45.08</v>
          </cell>
        </row>
        <row r="3775">
          <cell r="A3775">
            <v>46211</v>
          </cell>
          <cell r="C3775" t="str">
            <v xml:space="preserve">Itapaci </v>
          </cell>
          <cell r="H3775">
            <v>34.380000000000003</v>
          </cell>
        </row>
        <row r="3776">
          <cell r="A3776">
            <v>46211</v>
          </cell>
          <cell r="C3776" t="str">
            <v xml:space="preserve">Itapaci </v>
          </cell>
          <cell r="H3776">
            <v>35.42</v>
          </cell>
        </row>
        <row r="3777">
          <cell r="A3777">
            <v>46211</v>
          </cell>
          <cell r="C3777" t="str">
            <v xml:space="preserve">Itapaci </v>
          </cell>
          <cell r="H3777">
            <v>43.16</v>
          </cell>
        </row>
        <row r="3778">
          <cell r="A3778">
            <v>46211</v>
          </cell>
          <cell r="C3778" t="str">
            <v xml:space="preserve">Itapaci </v>
          </cell>
          <cell r="H3778">
            <v>56.58</v>
          </cell>
        </row>
        <row r="3779">
          <cell r="A3779">
            <v>46211</v>
          </cell>
          <cell r="C3779" t="str">
            <v xml:space="preserve">Itapaci </v>
          </cell>
          <cell r="H3779">
            <v>30.9</v>
          </cell>
        </row>
        <row r="3780">
          <cell r="A3780">
            <v>46211</v>
          </cell>
          <cell r="C3780" t="str">
            <v xml:space="preserve">Itapaci </v>
          </cell>
          <cell r="H3780">
            <v>35.6</v>
          </cell>
        </row>
        <row r="3781">
          <cell r="A3781">
            <v>46211</v>
          </cell>
          <cell r="C3781" t="str">
            <v xml:space="preserve">Itapaci </v>
          </cell>
          <cell r="H3781">
            <v>47.38</v>
          </cell>
        </row>
        <row r="3782">
          <cell r="A3782">
            <v>46211</v>
          </cell>
          <cell r="C3782" t="str">
            <v xml:space="preserve">Itapaci </v>
          </cell>
          <cell r="H3782">
            <v>34.42</v>
          </cell>
        </row>
        <row r="3783">
          <cell r="A3783">
            <v>46211</v>
          </cell>
          <cell r="C3783" t="str">
            <v xml:space="preserve">Itapaci </v>
          </cell>
          <cell r="H3783">
            <v>34.020000000000003</v>
          </cell>
        </row>
        <row r="3784">
          <cell r="A3784">
            <v>46211</v>
          </cell>
          <cell r="C3784" t="str">
            <v xml:space="preserve">Itapaci </v>
          </cell>
          <cell r="H3784">
            <v>67.02</v>
          </cell>
        </row>
        <row r="3785">
          <cell r="A3785">
            <v>46211</v>
          </cell>
          <cell r="C3785" t="str">
            <v xml:space="preserve">Itapaci </v>
          </cell>
          <cell r="H3785">
            <v>66.44</v>
          </cell>
        </row>
        <row r="3786">
          <cell r="A3786">
            <v>46211</v>
          </cell>
          <cell r="C3786" t="str">
            <v xml:space="preserve">Itapaci </v>
          </cell>
          <cell r="H3786">
            <v>50.74</v>
          </cell>
        </row>
        <row r="3787">
          <cell r="A3787">
            <v>46211</v>
          </cell>
          <cell r="C3787" t="str">
            <v xml:space="preserve">Itapaci </v>
          </cell>
          <cell r="H3787">
            <v>65.8</v>
          </cell>
        </row>
        <row r="3788">
          <cell r="A3788">
            <v>46211</v>
          </cell>
          <cell r="C3788" t="str">
            <v xml:space="preserve">Itapaci </v>
          </cell>
          <cell r="H3788">
            <v>49.32</v>
          </cell>
        </row>
        <row r="3789">
          <cell r="A3789">
            <v>46212</v>
          </cell>
          <cell r="C3789" t="str">
            <v xml:space="preserve">Itapaci </v>
          </cell>
          <cell r="H3789">
            <v>35.36</v>
          </cell>
        </row>
        <row r="3790">
          <cell r="A3790">
            <v>46212</v>
          </cell>
          <cell r="C3790" t="str">
            <v xml:space="preserve">Itapaci </v>
          </cell>
          <cell r="H3790">
            <v>35.36</v>
          </cell>
        </row>
        <row r="3791">
          <cell r="A3791">
            <v>46212</v>
          </cell>
          <cell r="C3791" t="str">
            <v xml:space="preserve">Itapaci </v>
          </cell>
          <cell r="H3791">
            <v>36.020000000000003</v>
          </cell>
        </row>
        <row r="3792">
          <cell r="A3792">
            <v>46211</v>
          </cell>
          <cell r="C3792" t="str">
            <v xml:space="preserve">Itapaci </v>
          </cell>
          <cell r="H3792">
            <v>31.56</v>
          </cell>
        </row>
        <row r="3793">
          <cell r="A3793">
            <v>46211</v>
          </cell>
          <cell r="C3793" t="str">
            <v xml:space="preserve">Itapaci </v>
          </cell>
          <cell r="H3793">
            <v>30.1</v>
          </cell>
        </row>
        <row r="3794">
          <cell r="A3794">
            <v>46211</v>
          </cell>
          <cell r="C3794" t="str">
            <v xml:space="preserve">Itapaci </v>
          </cell>
          <cell r="H3794">
            <v>47.2</v>
          </cell>
        </row>
        <row r="3795">
          <cell r="A3795">
            <v>46211</v>
          </cell>
          <cell r="C3795" t="str">
            <v xml:space="preserve">Itapaci </v>
          </cell>
          <cell r="H3795">
            <v>67.48</v>
          </cell>
        </row>
        <row r="3796">
          <cell r="A3796">
            <v>46211</v>
          </cell>
          <cell r="C3796" t="str">
            <v xml:space="preserve">Itapaci </v>
          </cell>
          <cell r="H3796">
            <v>66.22</v>
          </cell>
        </row>
        <row r="3797">
          <cell r="A3797">
            <v>46211</v>
          </cell>
          <cell r="C3797" t="str">
            <v xml:space="preserve">Itapaci </v>
          </cell>
          <cell r="H3797">
            <v>68.48</v>
          </cell>
        </row>
        <row r="3798">
          <cell r="A3798">
            <v>46211</v>
          </cell>
          <cell r="C3798" t="str">
            <v xml:space="preserve">Itapaci </v>
          </cell>
          <cell r="H3798">
            <v>35.4</v>
          </cell>
        </row>
        <row r="3799">
          <cell r="A3799">
            <v>46211</v>
          </cell>
          <cell r="C3799" t="str">
            <v xml:space="preserve">Itapaci </v>
          </cell>
          <cell r="H3799">
            <v>33.94</v>
          </cell>
        </row>
        <row r="3800">
          <cell r="A3800">
            <v>46211</v>
          </cell>
          <cell r="C3800" t="str">
            <v xml:space="preserve">Itapaci </v>
          </cell>
          <cell r="H3800">
            <v>30.9</v>
          </cell>
        </row>
        <row r="3801">
          <cell r="A3801">
            <v>46211</v>
          </cell>
          <cell r="C3801" t="str">
            <v xml:space="preserve">Itapaci </v>
          </cell>
          <cell r="H3801">
            <v>35.119999999999997</v>
          </cell>
        </row>
        <row r="3802">
          <cell r="A3802">
            <v>46211</v>
          </cell>
          <cell r="C3802" t="str">
            <v xml:space="preserve">Itapaci </v>
          </cell>
          <cell r="H3802">
            <v>34.799999999999997</v>
          </cell>
        </row>
        <row r="3803">
          <cell r="A3803">
            <v>46211</v>
          </cell>
          <cell r="C3803" t="str">
            <v xml:space="preserve">Itapaci </v>
          </cell>
          <cell r="H3803">
            <v>34.799999999999997</v>
          </cell>
        </row>
        <row r="3804">
          <cell r="A3804">
            <v>46211</v>
          </cell>
          <cell r="C3804" t="str">
            <v xml:space="preserve">Itapaci </v>
          </cell>
          <cell r="H3804">
            <v>34.1</v>
          </cell>
        </row>
        <row r="3805">
          <cell r="A3805">
            <v>46211</v>
          </cell>
          <cell r="C3805" t="str">
            <v xml:space="preserve">Itapaci </v>
          </cell>
          <cell r="H3805">
            <v>33.86</v>
          </cell>
        </row>
        <row r="3806">
          <cell r="A3806">
            <v>46211</v>
          </cell>
          <cell r="C3806" t="str">
            <v xml:space="preserve">Itapaci </v>
          </cell>
          <cell r="H3806">
            <v>42.82</v>
          </cell>
        </row>
        <row r="3807">
          <cell r="A3807">
            <v>46211</v>
          </cell>
          <cell r="C3807" t="str">
            <v xml:space="preserve">Itapaci </v>
          </cell>
          <cell r="H3807">
            <v>42.4</v>
          </cell>
        </row>
        <row r="3808">
          <cell r="A3808">
            <v>46212</v>
          </cell>
          <cell r="C3808" t="str">
            <v xml:space="preserve">Itapaci </v>
          </cell>
          <cell r="H3808">
            <v>34.619999999999997</v>
          </cell>
        </row>
        <row r="3809">
          <cell r="A3809">
            <v>46212</v>
          </cell>
          <cell r="C3809" t="str">
            <v xml:space="preserve">Itapaci </v>
          </cell>
          <cell r="H3809">
            <v>33.94</v>
          </cell>
        </row>
        <row r="3810">
          <cell r="A3810">
            <v>46212</v>
          </cell>
          <cell r="C3810" t="str">
            <v xml:space="preserve">Itapaci </v>
          </cell>
          <cell r="H3810">
            <v>33.840000000000003</v>
          </cell>
        </row>
        <row r="3811">
          <cell r="A3811">
            <v>46212</v>
          </cell>
          <cell r="C3811" t="str">
            <v xml:space="preserve">Itapaci </v>
          </cell>
          <cell r="H3811">
            <v>30</v>
          </cell>
        </row>
        <row r="3812">
          <cell r="A3812">
            <v>46212</v>
          </cell>
          <cell r="C3812" t="str">
            <v xml:space="preserve">Itapaci </v>
          </cell>
          <cell r="H3812">
            <v>33.700000000000003</v>
          </cell>
        </row>
        <row r="3813">
          <cell r="A3813">
            <v>46212</v>
          </cell>
          <cell r="C3813" t="str">
            <v xml:space="preserve">Itapaci </v>
          </cell>
          <cell r="H3813">
            <v>55.22</v>
          </cell>
        </row>
        <row r="3814">
          <cell r="A3814">
            <v>46212</v>
          </cell>
          <cell r="C3814" t="str">
            <v xml:space="preserve">Itapaci </v>
          </cell>
          <cell r="H3814">
            <v>56.68</v>
          </cell>
        </row>
        <row r="3815">
          <cell r="A3815">
            <v>46212</v>
          </cell>
          <cell r="C3815" t="str">
            <v xml:space="preserve">Itapaci </v>
          </cell>
          <cell r="H3815">
            <v>35.020000000000003</v>
          </cell>
        </row>
        <row r="3816">
          <cell r="A3816">
            <v>46212</v>
          </cell>
          <cell r="C3816" t="str">
            <v xml:space="preserve">Itapaci </v>
          </cell>
          <cell r="H3816">
            <v>34.32</v>
          </cell>
        </row>
        <row r="3817">
          <cell r="A3817">
            <v>46212</v>
          </cell>
          <cell r="C3817" t="str">
            <v xml:space="preserve">Itapaci </v>
          </cell>
          <cell r="H3817">
            <v>30.14</v>
          </cell>
        </row>
        <row r="3818">
          <cell r="A3818">
            <v>46212</v>
          </cell>
          <cell r="C3818" t="str">
            <v xml:space="preserve">Itapaci </v>
          </cell>
          <cell r="H3818">
            <v>31.08</v>
          </cell>
        </row>
        <row r="3819">
          <cell r="A3819">
            <v>46212</v>
          </cell>
          <cell r="C3819" t="str">
            <v xml:space="preserve">Itapaci </v>
          </cell>
          <cell r="H3819">
            <v>35.76</v>
          </cell>
        </row>
        <row r="3820">
          <cell r="A3820">
            <v>46212</v>
          </cell>
          <cell r="C3820" t="str">
            <v xml:space="preserve">Itapaci </v>
          </cell>
          <cell r="H3820">
            <v>33.96</v>
          </cell>
        </row>
        <row r="3821">
          <cell r="A3821">
            <v>46212</v>
          </cell>
          <cell r="C3821" t="str">
            <v xml:space="preserve">Bela Vista </v>
          </cell>
          <cell r="H3821">
            <v>40.58</v>
          </cell>
        </row>
        <row r="3822">
          <cell r="A3822">
            <v>46212</v>
          </cell>
          <cell r="C3822" t="str">
            <v xml:space="preserve">Bela Vista </v>
          </cell>
          <cell r="H3822">
            <v>39.619999999999997</v>
          </cell>
        </row>
        <row r="3823">
          <cell r="A3823">
            <v>46212</v>
          </cell>
          <cell r="C3823" t="str">
            <v xml:space="preserve">Bela Vista </v>
          </cell>
          <cell r="H3823">
            <v>39.119999999999997</v>
          </cell>
        </row>
        <row r="3824">
          <cell r="A3824">
            <v>46212</v>
          </cell>
          <cell r="C3824" t="str">
            <v xml:space="preserve">Bela Vista </v>
          </cell>
          <cell r="H3824">
            <v>32.24</v>
          </cell>
        </row>
        <row r="3825">
          <cell r="A3825">
            <v>46212</v>
          </cell>
          <cell r="C3825" t="str">
            <v xml:space="preserve">Bela Vista </v>
          </cell>
          <cell r="H3825">
            <v>36.6</v>
          </cell>
        </row>
        <row r="3826">
          <cell r="A3826">
            <v>46212</v>
          </cell>
          <cell r="C3826" t="str">
            <v xml:space="preserve">Bela Vista </v>
          </cell>
          <cell r="H3826">
            <v>40.479999999999997</v>
          </cell>
        </row>
        <row r="3827">
          <cell r="A3827">
            <v>46212</v>
          </cell>
          <cell r="C3827" t="str">
            <v xml:space="preserve">Bela Vista </v>
          </cell>
          <cell r="H3827">
            <v>37.020000000000003</v>
          </cell>
        </row>
        <row r="3828">
          <cell r="A3828">
            <v>46212</v>
          </cell>
          <cell r="C3828" t="str">
            <v xml:space="preserve">Bela Vista </v>
          </cell>
          <cell r="H3828">
            <v>35.82</v>
          </cell>
        </row>
        <row r="3829">
          <cell r="A3829">
            <v>46212</v>
          </cell>
          <cell r="C3829" t="str">
            <v xml:space="preserve">Bela Vista </v>
          </cell>
          <cell r="H3829">
            <v>46.82</v>
          </cell>
        </row>
        <row r="3830">
          <cell r="A3830">
            <v>46212</v>
          </cell>
          <cell r="C3830" t="str">
            <v xml:space="preserve">Bela Vista </v>
          </cell>
          <cell r="H3830">
            <v>38.56</v>
          </cell>
        </row>
        <row r="3831">
          <cell r="A3831">
            <v>46212</v>
          </cell>
          <cell r="C3831" t="str">
            <v xml:space="preserve">Bela Vista </v>
          </cell>
          <cell r="H3831">
            <v>37.24</v>
          </cell>
        </row>
        <row r="3832">
          <cell r="A3832">
            <v>46212</v>
          </cell>
          <cell r="C3832" t="str">
            <v xml:space="preserve">Bela Vista </v>
          </cell>
          <cell r="H3832">
            <v>37.9</v>
          </cell>
        </row>
        <row r="3833">
          <cell r="A3833">
            <v>46212</v>
          </cell>
          <cell r="C3833" t="str">
            <v xml:space="preserve">Bela Vista </v>
          </cell>
          <cell r="H3833">
            <v>39.82</v>
          </cell>
        </row>
        <row r="3834">
          <cell r="A3834">
            <v>46212</v>
          </cell>
          <cell r="C3834" t="str">
            <v xml:space="preserve">Bela Vista </v>
          </cell>
          <cell r="H3834">
            <v>36.4</v>
          </cell>
        </row>
        <row r="3835">
          <cell r="A3835">
            <v>46212</v>
          </cell>
          <cell r="C3835" t="str">
            <v xml:space="preserve">Bela Vista </v>
          </cell>
          <cell r="H3835">
            <v>42.42</v>
          </cell>
        </row>
        <row r="3836">
          <cell r="A3836">
            <v>46212</v>
          </cell>
          <cell r="C3836" t="str">
            <v xml:space="preserve">Bela Vista </v>
          </cell>
          <cell r="H3836">
            <v>37.5</v>
          </cell>
        </row>
        <row r="3837">
          <cell r="A3837">
            <v>46212</v>
          </cell>
          <cell r="C3837" t="str">
            <v xml:space="preserve">Bela Vista </v>
          </cell>
          <cell r="H3837">
            <v>29.38</v>
          </cell>
        </row>
        <row r="3838">
          <cell r="A3838">
            <v>46212</v>
          </cell>
          <cell r="C3838" t="str">
            <v xml:space="preserve">Bela Vista </v>
          </cell>
          <cell r="H3838">
            <v>36.26</v>
          </cell>
        </row>
        <row r="3839">
          <cell r="A3839">
            <v>46212</v>
          </cell>
          <cell r="C3839" t="str">
            <v xml:space="preserve">Bela Vista </v>
          </cell>
          <cell r="H3839">
            <v>48.54</v>
          </cell>
        </row>
        <row r="3840">
          <cell r="A3840">
            <v>46212</v>
          </cell>
          <cell r="C3840" t="str">
            <v xml:space="preserve">Bela Vista </v>
          </cell>
          <cell r="H3840">
            <v>39.74</v>
          </cell>
        </row>
        <row r="3841">
          <cell r="A3841">
            <v>46212</v>
          </cell>
          <cell r="C3841" t="str">
            <v xml:space="preserve">Bela Vista </v>
          </cell>
          <cell r="H3841">
            <v>38.479999999999997</v>
          </cell>
        </row>
        <row r="3842">
          <cell r="A3842">
            <v>46212</v>
          </cell>
          <cell r="C3842" t="str">
            <v xml:space="preserve">Bela Vista </v>
          </cell>
          <cell r="H3842">
            <v>38.1</v>
          </cell>
        </row>
        <row r="3843">
          <cell r="A3843">
            <v>46213</v>
          </cell>
          <cell r="C3843" t="str">
            <v xml:space="preserve">Bela Vista </v>
          </cell>
          <cell r="H3843">
            <v>40.520000000000003</v>
          </cell>
        </row>
        <row r="3844">
          <cell r="A3844">
            <v>46213</v>
          </cell>
          <cell r="C3844" t="str">
            <v xml:space="preserve">Bela Vista </v>
          </cell>
          <cell r="H3844">
            <v>38.979999999999997</v>
          </cell>
        </row>
        <row r="3845">
          <cell r="A3845">
            <v>46212</v>
          </cell>
          <cell r="C3845" t="str">
            <v xml:space="preserve">Itapaci </v>
          </cell>
          <cell r="H3845">
            <v>35.74</v>
          </cell>
        </row>
        <row r="3846">
          <cell r="A3846">
            <v>46212</v>
          </cell>
          <cell r="C3846" t="str">
            <v xml:space="preserve">Itapaci </v>
          </cell>
          <cell r="H3846">
            <v>35.479999999999997</v>
          </cell>
        </row>
        <row r="3847">
          <cell r="A3847">
            <v>46212</v>
          </cell>
          <cell r="C3847" t="str">
            <v xml:space="preserve">Itapaci </v>
          </cell>
          <cell r="H3847">
            <v>66.48</v>
          </cell>
        </row>
        <row r="3848">
          <cell r="A3848">
            <v>46212</v>
          </cell>
          <cell r="C3848" t="str">
            <v xml:space="preserve">Itapaci </v>
          </cell>
          <cell r="H3848">
            <v>35.26</v>
          </cell>
        </row>
        <row r="3849">
          <cell r="A3849">
            <v>46212</v>
          </cell>
          <cell r="C3849" t="str">
            <v xml:space="preserve">Itapaci </v>
          </cell>
          <cell r="H3849">
            <v>68.239999999999995</v>
          </cell>
        </row>
        <row r="3850">
          <cell r="A3850">
            <v>46212</v>
          </cell>
          <cell r="C3850" t="str">
            <v xml:space="preserve">Itapaci </v>
          </cell>
          <cell r="H3850">
            <v>65.44</v>
          </cell>
        </row>
        <row r="3851">
          <cell r="A3851">
            <v>46212</v>
          </cell>
          <cell r="C3851" t="str">
            <v xml:space="preserve">Itapaci </v>
          </cell>
          <cell r="H3851">
            <v>54.24</v>
          </cell>
        </row>
        <row r="3852">
          <cell r="A3852">
            <v>46212</v>
          </cell>
          <cell r="C3852" t="str">
            <v xml:space="preserve">Itapaci </v>
          </cell>
          <cell r="H3852">
            <v>50.76</v>
          </cell>
        </row>
        <row r="3853">
          <cell r="A3853">
            <v>46212</v>
          </cell>
          <cell r="C3853" t="str">
            <v xml:space="preserve">Itapaci </v>
          </cell>
          <cell r="H3853">
            <v>34.32</v>
          </cell>
        </row>
        <row r="3854">
          <cell r="A3854">
            <v>46212</v>
          </cell>
          <cell r="C3854" t="str">
            <v xml:space="preserve">Itapaci </v>
          </cell>
          <cell r="H3854">
            <v>35.36</v>
          </cell>
        </row>
        <row r="3855">
          <cell r="A3855">
            <v>46212</v>
          </cell>
          <cell r="C3855" t="str">
            <v xml:space="preserve">Itapaci </v>
          </cell>
          <cell r="H3855">
            <v>42.82</v>
          </cell>
        </row>
        <row r="3856">
          <cell r="A3856">
            <v>46212</v>
          </cell>
          <cell r="C3856" t="str">
            <v xml:space="preserve">Itapaci </v>
          </cell>
          <cell r="H3856">
            <v>50.36</v>
          </cell>
        </row>
        <row r="3857">
          <cell r="A3857">
            <v>46212</v>
          </cell>
          <cell r="C3857" t="str">
            <v xml:space="preserve">Itapaci </v>
          </cell>
          <cell r="H3857">
            <v>34.619999999999997</v>
          </cell>
        </row>
        <row r="3858">
          <cell r="A3858">
            <v>46212</v>
          </cell>
          <cell r="C3858" t="str">
            <v xml:space="preserve">Itapaci </v>
          </cell>
          <cell r="H3858">
            <v>31.42</v>
          </cell>
        </row>
        <row r="3859">
          <cell r="A3859">
            <v>46212</v>
          </cell>
          <cell r="C3859" t="str">
            <v xml:space="preserve">Itapaci </v>
          </cell>
          <cell r="H3859">
            <v>66.540000000000006</v>
          </cell>
        </row>
        <row r="3860">
          <cell r="A3860">
            <v>46212</v>
          </cell>
          <cell r="C3860" t="str">
            <v xml:space="preserve">Itapaci </v>
          </cell>
          <cell r="H3860">
            <v>67.260000000000005</v>
          </cell>
        </row>
        <row r="3861">
          <cell r="A3861">
            <v>46212</v>
          </cell>
          <cell r="C3861" t="str">
            <v xml:space="preserve">Itapaci </v>
          </cell>
          <cell r="H3861">
            <v>30.24</v>
          </cell>
        </row>
        <row r="3862">
          <cell r="A3862">
            <v>46212</v>
          </cell>
          <cell r="C3862" t="str">
            <v xml:space="preserve">Itapaci </v>
          </cell>
          <cell r="H3862">
            <v>67.12</v>
          </cell>
        </row>
        <row r="3863">
          <cell r="A3863">
            <v>46212</v>
          </cell>
          <cell r="C3863" t="str">
            <v xml:space="preserve">Itapaci </v>
          </cell>
          <cell r="H3863">
            <v>66.66</v>
          </cell>
        </row>
        <row r="3864">
          <cell r="A3864">
            <v>46212</v>
          </cell>
          <cell r="C3864" t="str">
            <v xml:space="preserve">Itapaci </v>
          </cell>
          <cell r="H3864">
            <v>42.84</v>
          </cell>
        </row>
        <row r="3865">
          <cell r="A3865">
            <v>46212</v>
          </cell>
          <cell r="C3865" t="str">
            <v xml:space="preserve">Itapaci </v>
          </cell>
          <cell r="H3865">
            <v>65.180000000000007</v>
          </cell>
        </row>
        <row r="3866">
          <cell r="A3866">
            <v>46212</v>
          </cell>
          <cell r="C3866" t="str">
            <v xml:space="preserve">Itapaci </v>
          </cell>
          <cell r="H3866">
            <v>33.78</v>
          </cell>
        </row>
        <row r="3867">
          <cell r="A3867">
            <v>46212</v>
          </cell>
          <cell r="C3867" t="str">
            <v xml:space="preserve">Itapaci </v>
          </cell>
          <cell r="H3867">
            <v>33.6</v>
          </cell>
        </row>
        <row r="3868">
          <cell r="A3868">
            <v>46212</v>
          </cell>
          <cell r="C3868" t="str">
            <v xml:space="preserve">Itapaci </v>
          </cell>
          <cell r="H3868">
            <v>34.08</v>
          </cell>
        </row>
        <row r="3869">
          <cell r="A3869">
            <v>46212</v>
          </cell>
          <cell r="C3869" t="str">
            <v xml:space="preserve">Itapaci </v>
          </cell>
          <cell r="H3869">
            <v>35.14</v>
          </cell>
        </row>
        <row r="3870">
          <cell r="A3870">
            <v>46212</v>
          </cell>
          <cell r="C3870" t="str">
            <v xml:space="preserve">Itapaci </v>
          </cell>
          <cell r="H3870">
            <v>36.380000000000003</v>
          </cell>
        </row>
        <row r="3871">
          <cell r="A3871">
            <v>46212</v>
          </cell>
          <cell r="C3871" t="str">
            <v xml:space="preserve">Itapaci </v>
          </cell>
          <cell r="H3871">
            <v>49.66</v>
          </cell>
        </row>
        <row r="3872">
          <cell r="A3872">
            <v>46212</v>
          </cell>
          <cell r="C3872" t="str">
            <v xml:space="preserve">Itapaci </v>
          </cell>
          <cell r="H3872">
            <v>53.26</v>
          </cell>
        </row>
        <row r="3873">
          <cell r="A3873">
            <v>46212</v>
          </cell>
          <cell r="C3873" t="str">
            <v xml:space="preserve">Itapaci </v>
          </cell>
          <cell r="H3873">
            <v>34.54</v>
          </cell>
        </row>
        <row r="3874">
          <cell r="A3874">
            <v>46212</v>
          </cell>
          <cell r="C3874" t="str">
            <v xml:space="preserve">Itapaci </v>
          </cell>
          <cell r="H3874">
            <v>33.200000000000003</v>
          </cell>
        </row>
        <row r="3875">
          <cell r="A3875">
            <v>46212</v>
          </cell>
          <cell r="C3875" t="str">
            <v xml:space="preserve">Itapaci </v>
          </cell>
          <cell r="H3875">
            <v>34.159999999999997</v>
          </cell>
        </row>
        <row r="3876">
          <cell r="A3876">
            <v>46212</v>
          </cell>
          <cell r="C3876" t="str">
            <v xml:space="preserve">Itapaci </v>
          </cell>
          <cell r="H3876">
            <v>35.68</v>
          </cell>
        </row>
        <row r="3877">
          <cell r="A3877">
            <v>46213</v>
          </cell>
          <cell r="C3877" t="str">
            <v xml:space="preserve">Itapaci </v>
          </cell>
          <cell r="H3877">
            <v>58.7</v>
          </cell>
        </row>
        <row r="3878">
          <cell r="A3878">
            <v>46213</v>
          </cell>
          <cell r="C3878" t="str">
            <v xml:space="preserve">Itapaci </v>
          </cell>
          <cell r="H3878">
            <v>42.06</v>
          </cell>
        </row>
        <row r="3879">
          <cell r="A3879">
            <v>46213</v>
          </cell>
          <cell r="C3879" t="str">
            <v xml:space="preserve">Itapaci </v>
          </cell>
          <cell r="H3879">
            <v>65.86</v>
          </cell>
        </row>
        <row r="3880">
          <cell r="A3880">
            <v>46213</v>
          </cell>
          <cell r="C3880" t="str">
            <v xml:space="preserve">Itapaci </v>
          </cell>
          <cell r="H3880">
            <v>71.900000000000006</v>
          </cell>
        </row>
        <row r="3881">
          <cell r="A3881">
            <v>46213</v>
          </cell>
          <cell r="C3881" t="str">
            <v xml:space="preserve">Itapaci </v>
          </cell>
          <cell r="H3881">
            <v>34.32</v>
          </cell>
        </row>
        <row r="3882">
          <cell r="A3882">
            <v>46213</v>
          </cell>
          <cell r="C3882" t="str">
            <v xml:space="preserve">Itapaci </v>
          </cell>
          <cell r="H3882">
            <v>65.92</v>
          </cell>
        </row>
        <row r="3883">
          <cell r="A3883">
            <v>46213</v>
          </cell>
          <cell r="C3883" t="str">
            <v xml:space="preserve">Itapaci </v>
          </cell>
          <cell r="H3883">
            <v>55.08</v>
          </cell>
        </row>
        <row r="3884">
          <cell r="A3884">
            <v>46213</v>
          </cell>
          <cell r="C3884" t="str">
            <v xml:space="preserve">Itapaci </v>
          </cell>
          <cell r="H3884">
            <v>48.1</v>
          </cell>
        </row>
        <row r="3885">
          <cell r="A3885">
            <v>46213</v>
          </cell>
          <cell r="C3885" t="str">
            <v xml:space="preserve">Itapaci </v>
          </cell>
          <cell r="H3885">
            <v>34.479999999999997</v>
          </cell>
        </row>
        <row r="3886">
          <cell r="A3886">
            <v>46213</v>
          </cell>
          <cell r="C3886" t="str">
            <v xml:space="preserve">Itapaci </v>
          </cell>
          <cell r="H3886">
            <v>33.659999999999997</v>
          </cell>
        </row>
        <row r="3887">
          <cell r="A3887">
            <v>46213</v>
          </cell>
          <cell r="C3887" t="str">
            <v xml:space="preserve">Itapaci </v>
          </cell>
          <cell r="H3887">
            <v>29.34</v>
          </cell>
        </row>
        <row r="3888">
          <cell r="A3888">
            <v>46213</v>
          </cell>
          <cell r="C3888" t="str">
            <v xml:space="preserve">Itapaci </v>
          </cell>
          <cell r="H3888">
            <v>33.86</v>
          </cell>
        </row>
        <row r="3889">
          <cell r="A3889">
            <v>46213</v>
          </cell>
          <cell r="C3889" t="str">
            <v xml:space="preserve">Itapaci </v>
          </cell>
          <cell r="H3889">
            <v>65.48</v>
          </cell>
        </row>
        <row r="3890">
          <cell r="A3890">
            <v>46213</v>
          </cell>
          <cell r="C3890" t="str">
            <v xml:space="preserve">Itapaci </v>
          </cell>
          <cell r="H3890">
            <v>34.200000000000003</v>
          </cell>
        </row>
        <row r="3891">
          <cell r="A3891">
            <v>46213</v>
          </cell>
          <cell r="C3891" t="str">
            <v xml:space="preserve">Itapaci </v>
          </cell>
          <cell r="H3891">
            <v>67.06</v>
          </cell>
        </row>
        <row r="3892">
          <cell r="A3892">
            <v>46213</v>
          </cell>
          <cell r="C3892" t="str">
            <v xml:space="preserve">Itapaci </v>
          </cell>
          <cell r="H3892">
            <v>44.56</v>
          </cell>
        </row>
        <row r="3893">
          <cell r="A3893">
            <v>46213</v>
          </cell>
          <cell r="C3893" t="str">
            <v xml:space="preserve">Itapaci </v>
          </cell>
          <cell r="H3893">
            <v>65.599999999999994</v>
          </cell>
        </row>
        <row r="3894">
          <cell r="A3894">
            <v>46213</v>
          </cell>
          <cell r="C3894" t="str">
            <v xml:space="preserve">Itapaci </v>
          </cell>
          <cell r="H3894">
            <v>66.84</v>
          </cell>
        </row>
        <row r="3895">
          <cell r="A3895">
            <v>46213</v>
          </cell>
          <cell r="C3895" t="str">
            <v xml:space="preserve">Itapaci </v>
          </cell>
          <cell r="H3895">
            <v>37.92</v>
          </cell>
        </row>
        <row r="3896">
          <cell r="A3896">
            <v>46213</v>
          </cell>
          <cell r="C3896" t="str">
            <v xml:space="preserve">Itapaci </v>
          </cell>
          <cell r="H3896">
            <v>34.64</v>
          </cell>
        </row>
        <row r="3897">
          <cell r="A3897">
            <v>46213</v>
          </cell>
          <cell r="C3897" t="str">
            <v xml:space="preserve">Itapaci </v>
          </cell>
          <cell r="H3897">
            <v>33.72</v>
          </cell>
        </row>
        <row r="3898">
          <cell r="A3898">
            <v>46213</v>
          </cell>
          <cell r="C3898" t="str">
            <v xml:space="preserve">Itapaci </v>
          </cell>
          <cell r="H3898">
            <v>52.12</v>
          </cell>
        </row>
        <row r="3899">
          <cell r="A3899">
            <v>46213</v>
          </cell>
          <cell r="C3899" t="str">
            <v xml:space="preserve">Itapaci </v>
          </cell>
          <cell r="H3899">
            <v>55.34</v>
          </cell>
        </row>
        <row r="3900">
          <cell r="A3900">
            <v>46213</v>
          </cell>
          <cell r="C3900" t="str">
            <v xml:space="preserve">Itapaci </v>
          </cell>
          <cell r="H3900">
            <v>34.340000000000003</v>
          </cell>
        </row>
        <row r="3901">
          <cell r="A3901">
            <v>46213</v>
          </cell>
          <cell r="C3901" t="str">
            <v xml:space="preserve">Itapaci </v>
          </cell>
          <cell r="H3901">
            <v>65.819999999999993</v>
          </cell>
        </row>
        <row r="3902">
          <cell r="A3902">
            <v>46213</v>
          </cell>
          <cell r="C3902" t="str">
            <v xml:space="preserve">Itapaci </v>
          </cell>
          <cell r="H3902">
            <v>34.04</v>
          </cell>
        </row>
        <row r="3903">
          <cell r="A3903">
            <v>46213</v>
          </cell>
          <cell r="C3903" t="str">
            <v xml:space="preserve">Itapaci </v>
          </cell>
          <cell r="H3903">
            <v>34.24</v>
          </cell>
        </row>
        <row r="3904">
          <cell r="A3904">
            <v>46213</v>
          </cell>
          <cell r="C3904" t="str">
            <v xml:space="preserve">Itapaci </v>
          </cell>
          <cell r="H3904">
            <v>34.64</v>
          </cell>
        </row>
        <row r="3905">
          <cell r="A3905">
            <v>46213</v>
          </cell>
          <cell r="C3905" t="str">
            <v xml:space="preserve">Itapaci </v>
          </cell>
          <cell r="H3905">
            <v>32.9</v>
          </cell>
        </row>
        <row r="3906">
          <cell r="A3906">
            <v>46213</v>
          </cell>
          <cell r="C3906" t="str">
            <v xml:space="preserve">Itapaci </v>
          </cell>
          <cell r="H3906">
            <v>35.08</v>
          </cell>
        </row>
        <row r="3907">
          <cell r="A3907">
            <v>46213</v>
          </cell>
          <cell r="C3907" t="str">
            <v xml:space="preserve">Itapaci </v>
          </cell>
          <cell r="H3907">
            <v>43.78</v>
          </cell>
        </row>
        <row r="3908">
          <cell r="A3908">
            <v>46213</v>
          </cell>
          <cell r="C3908" t="str">
            <v xml:space="preserve">Itapaci </v>
          </cell>
          <cell r="H3908">
            <v>56.8</v>
          </cell>
        </row>
        <row r="3909">
          <cell r="A3909">
            <v>46213</v>
          </cell>
          <cell r="C3909" t="str">
            <v xml:space="preserve">Itapaci </v>
          </cell>
          <cell r="H3909">
            <v>66.02</v>
          </cell>
        </row>
        <row r="3910">
          <cell r="A3910">
            <v>46213</v>
          </cell>
          <cell r="C3910" t="str">
            <v xml:space="preserve">Itapaci </v>
          </cell>
          <cell r="H3910">
            <v>64.319999999999993</v>
          </cell>
        </row>
        <row r="3911">
          <cell r="A3911">
            <v>46213</v>
          </cell>
          <cell r="C3911" t="str">
            <v xml:space="preserve">Itapaci </v>
          </cell>
          <cell r="H3911">
            <v>34.32</v>
          </cell>
        </row>
        <row r="3912">
          <cell r="A3912">
            <v>46213</v>
          </cell>
          <cell r="C3912" t="str">
            <v xml:space="preserve">Itapaci </v>
          </cell>
          <cell r="H3912">
            <v>64.239999999999995</v>
          </cell>
        </row>
        <row r="3913">
          <cell r="A3913">
            <v>46213</v>
          </cell>
          <cell r="C3913" t="str">
            <v xml:space="preserve">Itapaci </v>
          </cell>
          <cell r="H3913">
            <v>43.34</v>
          </cell>
        </row>
        <row r="3914">
          <cell r="A3914">
            <v>46214</v>
          </cell>
          <cell r="C3914" t="str">
            <v xml:space="preserve">Itapaci </v>
          </cell>
          <cell r="H3914">
            <v>65.260000000000005</v>
          </cell>
        </row>
        <row r="3915">
          <cell r="A3915">
            <v>46214</v>
          </cell>
          <cell r="C3915" t="str">
            <v xml:space="preserve">Itapaci </v>
          </cell>
          <cell r="H3915">
            <v>32.04</v>
          </cell>
        </row>
        <row r="3916">
          <cell r="A3916">
            <v>46214</v>
          </cell>
          <cell r="C3916" t="str">
            <v xml:space="preserve">Itapaci </v>
          </cell>
          <cell r="H3916">
            <v>73.3</v>
          </cell>
        </row>
        <row r="3917">
          <cell r="A3917">
            <v>46214</v>
          </cell>
          <cell r="C3917" t="str">
            <v xml:space="preserve">Itapaci </v>
          </cell>
          <cell r="H3917">
            <v>34.880000000000003</v>
          </cell>
        </row>
        <row r="3918">
          <cell r="A3918">
            <v>46214</v>
          </cell>
          <cell r="C3918" t="str">
            <v xml:space="preserve">Itapaci </v>
          </cell>
          <cell r="H3918">
            <v>64.92</v>
          </cell>
        </row>
        <row r="3919">
          <cell r="A3919">
            <v>46214</v>
          </cell>
          <cell r="C3919" t="str">
            <v xml:space="preserve">Itapaci </v>
          </cell>
          <cell r="H3919">
            <v>74.680000000000007</v>
          </cell>
        </row>
        <row r="3920">
          <cell r="A3920">
            <v>46214</v>
          </cell>
          <cell r="C3920" t="str">
            <v xml:space="preserve">Itapaci </v>
          </cell>
          <cell r="H3920">
            <v>35.380000000000003</v>
          </cell>
        </row>
        <row r="3921">
          <cell r="A3921">
            <v>46213</v>
          </cell>
          <cell r="C3921" t="str">
            <v xml:space="preserve">Bela Vista </v>
          </cell>
          <cell r="H3921">
            <v>38.44</v>
          </cell>
        </row>
        <row r="3922">
          <cell r="A3922">
            <v>46213</v>
          </cell>
          <cell r="C3922" t="str">
            <v xml:space="preserve">Bela Vista </v>
          </cell>
          <cell r="H3922">
            <v>37.74</v>
          </cell>
        </row>
        <row r="3923">
          <cell r="A3923">
            <v>46213</v>
          </cell>
          <cell r="C3923" t="str">
            <v xml:space="preserve">Bela Vista </v>
          </cell>
          <cell r="H3923">
            <v>41.16</v>
          </cell>
        </row>
        <row r="3924">
          <cell r="A3924">
            <v>46213</v>
          </cell>
          <cell r="C3924" t="str">
            <v xml:space="preserve">Bela Vista </v>
          </cell>
          <cell r="H3924">
            <v>49.92</v>
          </cell>
        </row>
        <row r="3925">
          <cell r="A3925">
            <v>46213</v>
          </cell>
          <cell r="C3925" t="str">
            <v xml:space="preserve">Bela Vista </v>
          </cell>
          <cell r="H3925">
            <v>38.76</v>
          </cell>
        </row>
        <row r="3926">
          <cell r="A3926">
            <v>46213</v>
          </cell>
          <cell r="C3926" t="str">
            <v xml:space="preserve">Bela Vista </v>
          </cell>
          <cell r="H3926">
            <v>40.46</v>
          </cell>
        </row>
        <row r="3927">
          <cell r="A3927">
            <v>46213</v>
          </cell>
          <cell r="C3927" t="str">
            <v xml:space="preserve">Bela Vista </v>
          </cell>
          <cell r="H3927">
            <v>37.36</v>
          </cell>
        </row>
        <row r="3928">
          <cell r="A3928">
            <v>46213</v>
          </cell>
          <cell r="C3928" t="str">
            <v xml:space="preserve">Bela Vista </v>
          </cell>
          <cell r="H3928">
            <v>38.9</v>
          </cell>
        </row>
        <row r="3929">
          <cell r="A3929">
            <v>46213</v>
          </cell>
          <cell r="C3929" t="str">
            <v xml:space="preserve">Bela Vista </v>
          </cell>
          <cell r="H3929">
            <v>45.36</v>
          </cell>
        </row>
        <row r="3930">
          <cell r="A3930">
            <v>46213</v>
          </cell>
          <cell r="C3930" t="str">
            <v xml:space="preserve">Bela Vista </v>
          </cell>
          <cell r="H3930">
            <v>39.08</v>
          </cell>
        </row>
        <row r="3931">
          <cell r="A3931">
            <v>46213</v>
          </cell>
          <cell r="C3931" t="str">
            <v xml:space="preserve">Bela Vista </v>
          </cell>
          <cell r="H3931">
            <v>38.840000000000003</v>
          </cell>
        </row>
        <row r="3932">
          <cell r="A3932">
            <v>46213</v>
          </cell>
          <cell r="C3932" t="str">
            <v xml:space="preserve">Bela Vista </v>
          </cell>
          <cell r="H3932">
            <v>39.36</v>
          </cell>
        </row>
        <row r="3933">
          <cell r="A3933">
            <v>46213</v>
          </cell>
          <cell r="C3933" t="str">
            <v xml:space="preserve">Bela Vista </v>
          </cell>
          <cell r="H3933">
            <v>39.82</v>
          </cell>
        </row>
        <row r="3934">
          <cell r="A3934">
            <v>46213</v>
          </cell>
          <cell r="C3934" t="str">
            <v xml:space="preserve">Bela Vista </v>
          </cell>
          <cell r="H3934">
            <v>41.14</v>
          </cell>
        </row>
        <row r="3935">
          <cell r="A3935">
            <v>46213</v>
          </cell>
          <cell r="C3935" t="str">
            <v xml:space="preserve">Bela Vista </v>
          </cell>
          <cell r="H3935">
            <v>37.68</v>
          </cell>
        </row>
        <row r="3936">
          <cell r="A3936">
            <v>46214</v>
          </cell>
          <cell r="C3936" t="str">
            <v xml:space="preserve">Bela Vista </v>
          </cell>
          <cell r="H3936">
            <v>38.479999999999997</v>
          </cell>
        </row>
        <row r="3937">
          <cell r="A3937">
            <v>46214</v>
          </cell>
          <cell r="C3937" t="str">
            <v xml:space="preserve">Bela Vista </v>
          </cell>
          <cell r="H3937">
            <v>39.700000000000003</v>
          </cell>
        </row>
        <row r="3938">
          <cell r="A3938">
            <v>46214</v>
          </cell>
          <cell r="C3938" t="str">
            <v xml:space="preserve">Bela Vista </v>
          </cell>
          <cell r="H3938">
            <v>41.2</v>
          </cell>
        </row>
        <row r="3939">
          <cell r="A3939">
            <v>46214</v>
          </cell>
          <cell r="C3939" t="str">
            <v xml:space="preserve">Bela Vista </v>
          </cell>
          <cell r="H3939">
            <v>38.74</v>
          </cell>
        </row>
        <row r="3940">
          <cell r="A3940">
            <v>46214</v>
          </cell>
          <cell r="C3940" t="str">
            <v xml:space="preserve">Bela Vista </v>
          </cell>
          <cell r="H3940">
            <v>38.1</v>
          </cell>
        </row>
        <row r="3941">
          <cell r="A3941">
            <v>46214</v>
          </cell>
          <cell r="C3941" t="str">
            <v xml:space="preserve">Bela Vista </v>
          </cell>
          <cell r="H3941">
            <v>39.119999999999997</v>
          </cell>
        </row>
        <row r="3942">
          <cell r="A3942">
            <v>46214</v>
          </cell>
          <cell r="C3942" t="str">
            <v xml:space="preserve">Bela Vista </v>
          </cell>
          <cell r="H3942">
            <v>40.4</v>
          </cell>
        </row>
        <row r="3943">
          <cell r="A3943">
            <v>46214</v>
          </cell>
          <cell r="C3943" t="str">
            <v xml:space="preserve">Bela Vista </v>
          </cell>
          <cell r="H3943">
            <v>40.44</v>
          </cell>
        </row>
        <row r="3944">
          <cell r="A3944">
            <v>46216</v>
          </cell>
          <cell r="C3944" t="str">
            <v xml:space="preserve">Itapaci </v>
          </cell>
          <cell r="H3944">
            <v>42.74</v>
          </cell>
        </row>
        <row r="3945">
          <cell r="A3945">
            <v>46216</v>
          </cell>
          <cell r="C3945" t="str">
            <v xml:space="preserve">Itapaci </v>
          </cell>
          <cell r="H3945">
            <v>49.66</v>
          </cell>
        </row>
        <row r="3946">
          <cell r="A3946">
            <v>46216</v>
          </cell>
          <cell r="C3946" t="str">
            <v xml:space="preserve">Itapaci </v>
          </cell>
          <cell r="H3946">
            <v>65.84</v>
          </cell>
        </row>
        <row r="3947">
          <cell r="A3947">
            <v>46216</v>
          </cell>
          <cell r="C3947" t="str">
            <v xml:space="preserve">Itapaci </v>
          </cell>
          <cell r="H3947">
            <v>41.82</v>
          </cell>
        </row>
        <row r="3948">
          <cell r="A3948">
            <v>46216</v>
          </cell>
          <cell r="C3948" t="str">
            <v xml:space="preserve">Itapaci </v>
          </cell>
          <cell r="H3948">
            <v>42.78</v>
          </cell>
        </row>
        <row r="3949">
          <cell r="A3949">
            <v>46214</v>
          </cell>
          <cell r="C3949" t="str">
            <v xml:space="preserve">Bela Vista </v>
          </cell>
          <cell r="H3949">
            <v>39.880000000000003</v>
          </cell>
        </row>
        <row r="3950">
          <cell r="A3950">
            <v>46214</v>
          </cell>
          <cell r="C3950" t="str">
            <v xml:space="preserve">Bela Vista </v>
          </cell>
          <cell r="H3950">
            <v>39.46</v>
          </cell>
        </row>
        <row r="3951">
          <cell r="A3951">
            <v>46214</v>
          </cell>
          <cell r="C3951" t="str">
            <v xml:space="preserve">Bela Vista </v>
          </cell>
          <cell r="H3951">
            <v>39.04</v>
          </cell>
        </row>
        <row r="3952">
          <cell r="A3952">
            <v>46214</v>
          </cell>
          <cell r="C3952" t="str">
            <v xml:space="preserve">Bela Vista </v>
          </cell>
          <cell r="H3952">
            <v>37.880000000000003</v>
          </cell>
        </row>
        <row r="3953">
          <cell r="A3953">
            <v>46214</v>
          </cell>
          <cell r="C3953" t="str">
            <v xml:space="preserve">Bela Vista </v>
          </cell>
          <cell r="H3953">
            <v>40.380000000000003</v>
          </cell>
        </row>
        <row r="3954">
          <cell r="A3954">
            <v>46214</v>
          </cell>
          <cell r="C3954" t="str">
            <v xml:space="preserve">Bela Vista </v>
          </cell>
          <cell r="H3954">
            <v>40.68</v>
          </cell>
        </row>
        <row r="3955">
          <cell r="A3955">
            <v>46214</v>
          </cell>
          <cell r="C3955" t="str">
            <v xml:space="preserve">Bela Vista </v>
          </cell>
          <cell r="H3955">
            <v>38.619999999999997</v>
          </cell>
        </row>
        <row r="3956">
          <cell r="A3956">
            <v>46214</v>
          </cell>
          <cell r="C3956" t="str">
            <v xml:space="preserve">Bela Vista </v>
          </cell>
          <cell r="H3956">
            <v>42.26</v>
          </cell>
        </row>
        <row r="3957">
          <cell r="A3957">
            <v>46214</v>
          </cell>
          <cell r="C3957" t="str">
            <v xml:space="preserve">Bela Vista </v>
          </cell>
          <cell r="H3957">
            <v>39.54</v>
          </cell>
        </row>
        <row r="3958">
          <cell r="A3958">
            <v>46214</v>
          </cell>
          <cell r="C3958" t="str">
            <v xml:space="preserve">Bela Vista </v>
          </cell>
          <cell r="H3958">
            <v>39.619999999999997</v>
          </cell>
        </row>
        <row r="3959">
          <cell r="A3959">
            <v>46214</v>
          </cell>
          <cell r="C3959" t="str">
            <v xml:space="preserve">Bela Vista </v>
          </cell>
          <cell r="H3959">
            <v>41.44</v>
          </cell>
        </row>
        <row r="3960">
          <cell r="A3960">
            <v>46214</v>
          </cell>
          <cell r="C3960" t="str">
            <v xml:space="preserve">Bela Vista </v>
          </cell>
          <cell r="H3960">
            <v>37.68</v>
          </cell>
        </row>
        <row r="3961">
          <cell r="A3961">
            <v>46214</v>
          </cell>
          <cell r="C3961" t="str">
            <v xml:space="preserve">Itapaci </v>
          </cell>
          <cell r="H3961">
            <v>43.64</v>
          </cell>
        </row>
        <row r="3962">
          <cell r="A3962">
            <v>46214</v>
          </cell>
          <cell r="C3962" t="str">
            <v xml:space="preserve">Itapaci </v>
          </cell>
          <cell r="H3962">
            <v>66.819999999999993</v>
          </cell>
        </row>
        <row r="3963">
          <cell r="A3963">
            <v>46214</v>
          </cell>
          <cell r="C3963" t="str">
            <v xml:space="preserve">Itapaci </v>
          </cell>
          <cell r="H3963">
            <v>51.24</v>
          </cell>
        </row>
        <row r="3964">
          <cell r="A3964">
            <v>46214</v>
          </cell>
          <cell r="C3964" t="str">
            <v xml:space="preserve">Itapaci </v>
          </cell>
          <cell r="H3964">
            <v>64.62</v>
          </cell>
        </row>
        <row r="3965">
          <cell r="A3965">
            <v>46214</v>
          </cell>
          <cell r="C3965" t="str">
            <v xml:space="preserve">Itapaci </v>
          </cell>
          <cell r="H3965">
            <v>44.38</v>
          </cell>
        </row>
        <row r="3966">
          <cell r="A3966">
            <v>46214</v>
          </cell>
          <cell r="C3966" t="str">
            <v xml:space="preserve">Itapaci </v>
          </cell>
          <cell r="H3966">
            <v>65.5</v>
          </cell>
        </row>
        <row r="3967">
          <cell r="A3967">
            <v>46214</v>
          </cell>
          <cell r="C3967" t="str">
            <v xml:space="preserve">Itapaci </v>
          </cell>
          <cell r="H3967">
            <v>42.58</v>
          </cell>
        </row>
        <row r="3968">
          <cell r="A3968">
            <v>46214</v>
          </cell>
          <cell r="C3968" t="str">
            <v xml:space="preserve">Itapaci </v>
          </cell>
          <cell r="H3968">
            <v>65.56</v>
          </cell>
        </row>
        <row r="3969">
          <cell r="A3969">
            <v>46214</v>
          </cell>
          <cell r="C3969" t="str">
            <v xml:space="preserve">Itapaci </v>
          </cell>
          <cell r="H3969">
            <v>35</v>
          </cell>
        </row>
        <row r="3970">
          <cell r="A3970">
            <v>46214</v>
          </cell>
          <cell r="C3970" t="str">
            <v xml:space="preserve">Itapaci </v>
          </cell>
          <cell r="H3970">
            <v>34.799999999999997</v>
          </cell>
        </row>
        <row r="3971">
          <cell r="A3971">
            <v>46214</v>
          </cell>
          <cell r="C3971" t="str">
            <v xml:space="preserve">Itapaci </v>
          </cell>
          <cell r="H3971">
            <v>68.38</v>
          </cell>
        </row>
        <row r="3972">
          <cell r="A3972">
            <v>46214</v>
          </cell>
          <cell r="C3972" t="str">
            <v xml:space="preserve">Itapaci </v>
          </cell>
          <cell r="H3972">
            <v>34.42</v>
          </cell>
        </row>
        <row r="3973">
          <cell r="A3973">
            <v>46216</v>
          </cell>
          <cell r="C3973" t="str">
            <v xml:space="preserve">Itapaci </v>
          </cell>
          <cell r="H3973">
            <v>65.2</v>
          </cell>
        </row>
        <row r="3974">
          <cell r="A3974">
            <v>46216</v>
          </cell>
          <cell r="C3974" t="str">
            <v xml:space="preserve">Itapaci </v>
          </cell>
          <cell r="H3974">
            <v>55.62</v>
          </cell>
        </row>
        <row r="3975">
          <cell r="A3975">
            <v>46216</v>
          </cell>
          <cell r="C3975" t="str">
            <v xml:space="preserve">Itapaci </v>
          </cell>
          <cell r="H3975">
            <v>64.72</v>
          </cell>
        </row>
        <row r="3976">
          <cell r="A3976">
            <v>46216</v>
          </cell>
          <cell r="C3976" t="str">
            <v xml:space="preserve">Itapaci </v>
          </cell>
          <cell r="H3976">
            <v>65.02</v>
          </cell>
        </row>
        <row r="3977">
          <cell r="A3977">
            <v>46216</v>
          </cell>
          <cell r="C3977" t="str">
            <v xml:space="preserve">Itapaci </v>
          </cell>
          <cell r="H3977">
            <v>55.24</v>
          </cell>
        </row>
        <row r="3978">
          <cell r="A3978">
            <v>46216</v>
          </cell>
          <cell r="C3978" t="str">
            <v xml:space="preserve">Itapaci </v>
          </cell>
          <cell r="H3978">
            <v>65.44</v>
          </cell>
        </row>
        <row r="3979">
          <cell r="A3979">
            <v>46216</v>
          </cell>
          <cell r="C3979" t="str">
            <v xml:space="preserve">Itapaci </v>
          </cell>
          <cell r="H3979">
            <v>42.88</v>
          </cell>
        </row>
        <row r="3980">
          <cell r="A3980">
            <v>46216</v>
          </cell>
          <cell r="C3980" t="str">
            <v xml:space="preserve">Itapaci </v>
          </cell>
          <cell r="H3980">
            <v>64.599999999999994</v>
          </cell>
        </row>
        <row r="3981">
          <cell r="A3981">
            <v>46216</v>
          </cell>
          <cell r="C3981" t="str">
            <v xml:space="preserve">Itapaci </v>
          </cell>
          <cell r="H3981">
            <v>64.98</v>
          </cell>
        </row>
        <row r="3982">
          <cell r="A3982">
            <v>46216</v>
          </cell>
          <cell r="C3982" t="str">
            <v xml:space="preserve">Itapaci </v>
          </cell>
          <cell r="H3982">
            <v>66.08</v>
          </cell>
        </row>
        <row r="3983">
          <cell r="A3983">
            <v>46216</v>
          </cell>
          <cell r="C3983" t="str">
            <v xml:space="preserve">Itapaci </v>
          </cell>
          <cell r="H3983">
            <v>43.32</v>
          </cell>
        </row>
        <row r="3984">
          <cell r="A3984">
            <v>46216</v>
          </cell>
          <cell r="C3984" t="str">
            <v xml:space="preserve">Itapaci </v>
          </cell>
          <cell r="H3984">
            <v>33.72</v>
          </cell>
        </row>
        <row r="3985">
          <cell r="A3985">
            <v>46216</v>
          </cell>
          <cell r="C3985" t="str">
            <v xml:space="preserve">Itapaci </v>
          </cell>
          <cell r="H3985">
            <v>47.9</v>
          </cell>
        </row>
        <row r="3986">
          <cell r="A3986">
            <v>46216</v>
          </cell>
          <cell r="C3986" t="str">
            <v xml:space="preserve">Itapaci </v>
          </cell>
          <cell r="H3986">
            <v>35.119999999999997</v>
          </cell>
        </row>
        <row r="3987">
          <cell r="A3987">
            <v>46216</v>
          </cell>
          <cell r="C3987" t="str">
            <v xml:space="preserve">Itapaci </v>
          </cell>
          <cell r="H3987">
            <v>35.54</v>
          </cell>
        </row>
        <row r="3988">
          <cell r="A3988">
            <v>46216</v>
          </cell>
          <cell r="C3988" t="str">
            <v xml:space="preserve">Itapaci </v>
          </cell>
          <cell r="H3988">
            <v>36.78</v>
          </cell>
        </row>
        <row r="3989">
          <cell r="A3989">
            <v>46216</v>
          </cell>
          <cell r="C3989" t="str">
            <v xml:space="preserve">Itapaci </v>
          </cell>
          <cell r="H3989">
            <v>34.54</v>
          </cell>
        </row>
        <row r="3990">
          <cell r="A3990">
            <v>46216</v>
          </cell>
          <cell r="C3990" t="str">
            <v xml:space="preserve">Itapaci </v>
          </cell>
          <cell r="H3990">
            <v>42.82</v>
          </cell>
        </row>
        <row r="3991">
          <cell r="A3991">
            <v>46216</v>
          </cell>
          <cell r="C3991" t="str">
            <v xml:space="preserve">Itapaci </v>
          </cell>
          <cell r="H3991">
            <v>50.32</v>
          </cell>
        </row>
        <row r="3992">
          <cell r="A3992">
            <v>46216</v>
          </cell>
          <cell r="C3992" t="str">
            <v xml:space="preserve">Itapaci </v>
          </cell>
          <cell r="H3992">
            <v>36.1</v>
          </cell>
        </row>
        <row r="3993">
          <cell r="A3993">
            <v>46217</v>
          </cell>
          <cell r="C3993" t="str">
            <v xml:space="preserve">Itapaci </v>
          </cell>
          <cell r="H3993">
            <v>36.06</v>
          </cell>
        </row>
        <row r="3994">
          <cell r="A3994">
            <v>46216</v>
          </cell>
          <cell r="C3994" t="str">
            <v xml:space="preserve">Itapaci </v>
          </cell>
          <cell r="H3994">
            <v>65.8</v>
          </cell>
        </row>
        <row r="3995">
          <cell r="A3995">
            <v>46216</v>
          </cell>
          <cell r="C3995" t="str">
            <v xml:space="preserve">Itapaci </v>
          </cell>
          <cell r="H3995">
            <v>65.12</v>
          </cell>
        </row>
        <row r="3996">
          <cell r="A3996">
            <v>46216</v>
          </cell>
          <cell r="C3996" t="str">
            <v xml:space="preserve">Itapaci </v>
          </cell>
          <cell r="H3996">
            <v>67.14</v>
          </cell>
        </row>
        <row r="3997">
          <cell r="A3997">
            <v>46216</v>
          </cell>
          <cell r="C3997" t="str">
            <v xml:space="preserve">Itapaci </v>
          </cell>
          <cell r="H3997">
            <v>66.72</v>
          </cell>
        </row>
        <row r="3998">
          <cell r="A3998">
            <v>46216</v>
          </cell>
          <cell r="C3998" t="str">
            <v xml:space="preserve">Itapaci </v>
          </cell>
          <cell r="H3998">
            <v>33.619999999999997</v>
          </cell>
        </row>
        <row r="3999">
          <cell r="A3999">
            <v>46216</v>
          </cell>
          <cell r="C3999" t="str">
            <v xml:space="preserve">Itapaci </v>
          </cell>
          <cell r="H3999">
            <v>56.36</v>
          </cell>
        </row>
        <row r="4000">
          <cell r="A4000">
            <v>46216</v>
          </cell>
          <cell r="C4000" t="str">
            <v xml:space="preserve">Itapaci </v>
          </cell>
          <cell r="H4000">
            <v>33.22</v>
          </cell>
        </row>
        <row r="4001">
          <cell r="A4001">
            <v>46216</v>
          </cell>
          <cell r="C4001" t="str">
            <v xml:space="preserve">Itapaci </v>
          </cell>
          <cell r="H4001">
            <v>66.040000000000006</v>
          </cell>
        </row>
        <row r="4002">
          <cell r="A4002">
            <v>46216</v>
          </cell>
          <cell r="C4002" t="str">
            <v xml:space="preserve">Itapaci </v>
          </cell>
          <cell r="H4002">
            <v>65.459999999999994</v>
          </cell>
        </row>
        <row r="4003">
          <cell r="A4003">
            <v>46216</v>
          </cell>
          <cell r="C4003" t="str">
            <v xml:space="preserve">Itapaci </v>
          </cell>
          <cell r="H4003">
            <v>45.08</v>
          </cell>
        </row>
        <row r="4004">
          <cell r="A4004">
            <v>46217</v>
          </cell>
          <cell r="C4004" t="str">
            <v xml:space="preserve">Itapaci </v>
          </cell>
          <cell r="H4004">
            <v>33.04</v>
          </cell>
        </row>
        <row r="4005">
          <cell r="A4005">
            <v>46217</v>
          </cell>
          <cell r="C4005" t="str">
            <v xml:space="preserve">Itapaci </v>
          </cell>
          <cell r="H4005">
            <v>66.34</v>
          </cell>
        </row>
        <row r="4006">
          <cell r="A4006">
            <v>46217</v>
          </cell>
          <cell r="C4006" t="str">
            <v xml:space="preserve">Itapaci </v>
          </cell>
          <cell r="H4006">
            <v>34.04</v>
          </cell>
        </row>
        <row r="4007">
          <cell r="A4007">
            <v>46217</v>
          </cell>
          <cell r="C4007" t="str">
            <v xml:space="preserve">Itapaci </v>
          </cell>
          <cell r="H4007">
            <v>65.84</v>
          </cell>
        </row>
        <row r="4008">
          <cell r="A4008">
            <v>46217</v>
          </cell>
          <cell r="C4008" t="str">
            <v xml:space="preserve">Itapaci </v>
          </cell>
          <cell r="H4008">
            <v>44.8</v>
          </cell>
        </row>
        <row r="4009">
          <cell r="A4009">
            <v>46217</v>
          </cell>
          <cell r="C4009" t="str">
            <v xml:space="preserve">Itapaci </v>
          </cell>
          <cell r="H4009">
            <v>29.68</v>
          </cell>
        </row>
        <row r="4010">
          <cell r="A4010">
            <v>46217</v>
          </cell>
          <cell r="C4010" t="str">
            <v xml:space="preserve">Itapaci </v>
          </cell>
          <cell r="H4010">
            <v>47.32</v>
          </cell>
        </row>
        <row r="4011">
          <cell r="A4011">
            <v>46217</v>
          </cell>
          <cell r="C4011" t="str">
            <v xml:space="preserve">Itapaci </v>
          </cell>
          <cell r="H4011">
            <v>35.36</v>
          </cell>
        </row>
        <row r="4012">
          <cell r="A4012">
            <v>46217</v>
          </cell>
          <cell r="C4012" t="str">
            <v xml:space="preserve">Itapaci </v>
          </cell>
          <cell r="H4012">
            <v>33.54</v>
          </cell>
        </row>
        <row r="4013">
          <cell r="A4013">
            <v>46217</v>
          </cell>
          <cell r="C4013" t="str">
            <v xml:space="preserve">Itapaci </v>
          </cell>
          <cell r="H4013">
            <v>34.18</v>
          </cell>
        </row>
        <row r="4014">
          <cell r="A4014">
            <v>46217</v>
          </cell>
          <cell r="C4014" t="str">
            <v xml:space="preserve">Itapaci </v>
          </cell>
          <cell r="H4014">
            <v>33.840000000000003</v>
          </cell>
        </row>
        <row r="4015">
          <cell r="A4015">
            <v>46217</v>
          </cell>
          <cell r="C4015" t="str">
            <v xml:space="preserve">Itapaci </v>
          </cell>
          <cell r="H4015">
            <v>66.66</v>
          </cell>
        </row>
        <row r="4016">
          <cell r="A4016">
            <v>46217</v>
          </cell>
          <cell r="C4016" t="str">
            <v xml:space="preserve">Itapaci </v>
          </cell>
          <cell r="H4016">
            <v>34.32</v>
          </cell>
        </row>
        <row r="4017">
          <cell r="A4017">
            <v>46217</v>
          </cell>
          <cell r="C4017" t="str">
            <v xml:space="preserve">Itapaci </v>
          </cell>
          <cell r="H4017">
            <v>65.319999999999993</v>
          </cell>
        </row>
        <row r="4018">
          <cell r="A4018">
            <v>46217</v>
          </cell>
          <cell r="C4018" t="str">
            <v xml:space="preserve">Itapaci </v>
          </cell>
          <cell r="H4018">
            <v>33.880000000000003</v>
          </cell>
        </row>
        <row r="4019">
          <cell r="A4019">
            <v>46217</v>
          </cell>
          <cell r="C4019" t="str">
            <v xml:space="preserve">Itapaci </v>
          </cell>
          <cell r="H4019">
            <v>56.9</v>
          </cell>
        </row>
        <row r="4020">
          <cell r="A4020">
            <v>46217</v>
          </cell>
          <cell r="C4020" t="str">
            <v xml:space="preserve">Itapaci </v>
          </cell>
          <cell r="H4020">
            <v>44.56</v>
          </cell>
        </row>
        <row r="4021">
          <cell r="A4021">
            <v>46217</v>
          </cell>
          <cell r="C4021" t="str">
            <v xml:space="preserve">Itapaci </v>
          </cell>
          <cell r="H4021">
            <v>34.1</v>
          </cell>
        </row>
        <row r="4022">
          <cell r="A4022">
            <v>46217</v>
          </cell>
          <cell r="C4022" t="str">
            <v xml:space="preserve">Itapaci </v>
          </cell>
          <cell r="H4022">
            <v>72.3</v>
          </cell>
        </row>
        <row r="4023">
          <cell r="A4023">
            <v>46217</v>
          </cell>
          <cell r="C4023" t="str">
            <v xml:space="preserve">Itapaci </v>
          </cell>
          <cell r="H4023">
            <v>71.52</v>
          </cell>
        </row>
        <row r="4024">
          <cell r="A4024">
            <v>46216</v>
          </cell>
          <cell r="C4024" t="str">
            <v xml:space="preserve">Bela Vista </v>
          </cell>
          <cell r="H4024">
            <v>38.979999999999997</v>
          </cell>
        </row>
        <row r="4025">
          <cell r="A4025">
            <v>46216</v>
          </cell>
          <cell r="C4025" t="str">
            <v xml:space="preserve">Bela Vista </v>
          </cell>
          <cell r="H4025">
            <v>38.82</v>
          </cell>
        </row>
        <row r="4026">
          <cell r="A4026">
            <v>46216</v>
          </cell>
          <cell r="C4026" t="str">
            <v xml:space="preserve">Bela Vista </v>
          </cell>
          <cell r="H4026">
            <v>40.6</v>
          </cell>
        </row>
        <row r="4027">
          <cell r="A4027">
            <v>46216</v>
          </cell>
          <cell r="C4027" t="str">
            <v xml:space="preserve">Bela Vista </v>
          </cell>
          <cell r="H4027">
            <v>40.36</v>
          </cell>
        </row>
        <row r="4028">
          <cell r="A4028">
            <v>46216</v>
          </cell>
          <cell r="C4028" t="str">
            <v xml:space="preserve">Bela Vista </v>
          </cell>
          <cell r="H4028">
            <v>52.8</v>
          </cell>
        </row>
        <row r="4029">
          <cell r="A4029">
            <v>46216</v>
          </cell>
          <cell r="C4029" t="str">
            <v xml:space="preserve">Bela Vista </v>
          </cell>
          <cell r="H4029">
            <v>50.1</v>
          </cell>
        </row>
        <row r="4030">
          <cell r="A4030">
            <v>46217</v>
          </cell>
          <cell r="C4030" t="str">
            <v xml:space="preserve">Bela Vista </v>
          </cell>
          <cell r="H4030">
            <v>39.299999999999997</v>
          </cell>
        </row>
        <row r="4031">
          <cell r="A4031">
            <v>46217</v>
          </cell>
          <cell r="C4031" t="str">
            <v xml:space="preserve">Itapaci </v>
          </cell>
          <cell r="H4031">
            <v>34.6</v>
          </cell>
        </row>
        <row r="4032">
          <cell r="A4032">
            <v>46217</v>
          </cell>
          <cell r="C4032" t="str">
            <v xml:space="preserve">Itapaci </v>
          </cell>
          <cell r="H4032">
            <v>65.7</v>
          </cell>
        </row>
        <row r="4033">
          <cell r="A4033">
            <v>46217</v>
          </cell>
          <cell r="C4033" t="str">
            <v xml:space="preserve">Itapaci </v>
          </cell>
          <cell r="H4033">
            <v>66.48</v>
          </cell>
        </row>
        <row r="4034">
          <cell r="A4034">
            <v>46217</v>
          </cell>
          <cell r="C4034" t="str">
            <v xml:space="preserve">Itapaci </v>
          </cell>
          <cell r="H4034">
            <v>58.04</v>
          </cell>
        </row>
        <row r="4035">
          <cell r="A4035">
            <v>46217</v>
          </cell>
          <cell r="C4035" t="str">
            <v xml:space="preserve">Itapaci </v>
          </cell>
          <cell r="H4035">
            <v>44.38</v>
          </cell>
        </row>
        <row r="4036">
          <cell r="A4036">
            <v>46217</v>
          </cell>
          <cell r="C4036" t="str">
            <v xml:space="preserve">Itapaci </v>
          </cell>
          <cell r="H4036">
            <v>33.619999999999997</v>
          </cell>
        </row>
        <row r="4037">
          <cell r="A4037">
            <v>46217</v>
          </cell>
          <cell r="C4037" t="str">
            <v xml:space="preserve">Itapaci </v>
          </cell>
          <cell r="H4037">
            <v>34.340000000000003</v>
          </cell>
        </row>
        <row r="4038">
          <cell r="A4038">
            <v>46217</v>
          </cell>
          <cell r="C4038" t="str">
            <v xml:space="preserve">Itapaci </v>
          </cell>
          <cell r="H4038">
            <v>65.239999999999995</v>
          </cell>
        </row>
        <row r="4039">
          <cell r="A4039">
            <v>46217</v>
          </cell>
          <cell r="C4039" t="str">
            <v xml:space="preserve">Itapaci </v>
          </cell>
          <cell r="H4039">
            <v>66.260000000000005</v>
          </cell>
        </row>
        <row r="4040">
          <cell r="A4040">
            <v>46217</v>
          </cell>
          <cell r="C4040" t="str">
            <v xml:space="preserve">Itapaci </v>
          </cell>
          <cell r="H4040">
            <v>40.72</v>
          </cell>
        </row>
        <row r="4041">
          <cell r="A4041">
            <v>46217</v>
          </cell>
          <cell r="C4041" t="str">
            <v xml:space="preserve">Itapaci </v>
          </cell>
          <cell r="H4041">
            <v>47.74</v>
          </cell>
        </row>
        <row r="4042">
          <cell r="A4042">
            <v>46217</v>
          </cell>
          <cell r="C4042" t="str">
            <v xml:space="preserve">Itapaci </v>
          </cell>
          <cell r="H4042">
            <v>53.14</v>
          </cell>
        </row>
        <row r="4043">
          <cell r="A4043">
            <v>46217</v>
          </cell>
          <cell r="C4043" t="str">
            <v xml:space="preserve">Itapaci </v>
          </cell>
          <cell r="H4043">
            <v>34.94</v>
          </cell>
        </row>
        <row r="4044">
          <cell r="A4044">
            <v>46217</v>
          </cell>
          <cell r="C4044" t="str">
            <v xml:space="preserve">Itapaci </v>
          </cell>
          <cell r="H4044">
            <v>48.94</v>
          </cell>
        </row>
        <row r="4045">
          <cell r="A4045">
            <v>46217</v>
          </cell>
          <cell r="C4045" t="str">
            <v xml:space="preserve">Itapaci </v>
          </cell>
          <cell r="H4045">
            <v>66.44</v>
          </cell>
        </row>
        <row r="4046">
          <cell r="A4046">
            <v>46217</v>
          </cell>
          <cell r="C4046" t="str">
            <v xml:space="preserve">Itapaci </v>
          </cell>
          <cell r="H4046">
            <v>66.739999999999995</v>
          </cell>
        </row>
        <row r="4047">
          <cell r="A4047">
            <v>46217</v>
          </cell>
          <cell r="C4047" t="str">
            <v xml:space="preserve">Itapaci </v>
          </cell>
          <cell r="H4047">
            <v>45.12</v>
          </cell>
        </row>
        <row r="4048">
          <cell r="A4048">
            <v>46217</v>
          </cell>
          <cell r="C4048" t="str">
            <v xml:space="preserve">Itapaci </v>
          </cell>
          <cell r="H4048">
            <v>34.9</v>
          </cell>
        </row>
        <row r="4049">
          <cell r="A4049">
            <v>46217</v>
          </cell>
          <cell r="C4049" t="str">
            <v xml:space="preserve">Itapaci </v>
          </cell>
          <cell r="H4049">
            <v>34.36</v>
          </cell>
        </row>
        <row r="4050">
          <cell r="A4050">
            <v>46217</v>
          </cell>
          <cell r="C4050" t="str">
            <v xml:space="preserve">Itapaci </v>
          </cell>
          <cell r="H4050">
            <v>35.32</v>
          </cell>
        </row>
        <row r="4051">
          <cell r="A4051">
            <v>46217</v>
          </cell>
          <cell r="C4051" t="str">
            <v xml:space="preserve">Itapaci </v>
          </cell>
          <cell r="H4051">
            <v>50.88</v>
          </cell>
        </row>
        <row r="4052">
          <cell r="A4052">
            <v>46217</v>
          </cell>
          <cell r="C4052" t="str">
            <v xml:space="preserve">Itapaci </v>
          </cell>
          <cell r="H4052">
            <v>35.32</v>
          </cell>
        </row>
        <row r="4053">
          <cell r="A4053">
            <v>46218</v>
          </cell>
          <cell r="C4053" t="str">
            <v xml:space="preserve">Itapaci </v>
          </cell>
          <cell r="H4053">
            <v>34.880000000000003</v>
          </cell>
        </row>
        <row r="4054">
          <cell r="A4054">
            <v>46218</v>
          </cell>
          <cell r="C4054" t="str">
            <v xml:space="preserve">Itapaci </v>
          </cell>
          <cell r="H4054">
            <v>34.659999999999997</v>
          </cell>
        </row>
        <row r="4055">
          <cell r="A4055">
            <v>46218</v>
          </cell>
          <cell r="C4055" t="str">
            <v xml:space="preserve">Itapaci </v>
          </cell>
          <cell r="H4055">
            <v>42.12</v>
          </cell>
        </row>
        <row r="4056">
          <cell r="A4056">
            <v>46223</v>
          </cell>
          <cell r="C4056" t="str">
            <v xml:space="preserve">Itapaci </v>
          </cell>
          <cell r="H4056">
            <v>35.159999999999997</v>
          </cell>
        </row>
        <row r="4057">
          <cell r="A4057">
            <v>46218</v>
          </cell>
          <cell r="C4057" t="str">
            <v xml:space="preserve">Itapaci </v>
          </cell>
          <cell r="H4057">
            <v>33.9</v>
          </cell>
        </row>
        <row r="4058">
          <cell r="A4058">
            <v>46218</v>
          </cell>
          <cell r="C4058" t="str">
            <v xml:space="preserve">Itapaci </v>
          </cell>
          <cell r="H4058">
            <v>35.14</v>
          </cell>
        </row>
        <row r="4059">
          <cell r="A4059">
            <v>46218</v>
          </cell>
          <cell r="C4059" t="str">
            <v xml:space="preserve">Itapaci </v>
          </cell>
          <cell r="H4059">
            <v>42.52</v>
          </cell>
        </row>
        <row r="4060">
          <cell r="A4060">
            <v>46218</v>
          </cell>
          <cell r="C4060" t="str">
            <v xml:space="preserve">Itapaci </v>
          </cell>
          <cell r="H4060">
            <v>65.8</v>
          </cell>
        </row>
        <row r="4061">
          <cell r="A4061">
            <v>46218</v>
          </cell>
          <cell r="C4061" t="str">
            <v xml:space="preserve">Itapaci </v>
          </cell>
          <cell r="H4061">
            <v>30.82</v>
          </cell>
        </row>
        <row r="4062">
          <cell r="A4062">
            <v>46218</v>
          </cell>
          <cell r="C4062" t="str">
            <v xml:space="preserve">Itapaci </v>
          </cell>
          <cell r="H4062">
            <v>34.78</v>
          </cell>
        </row>
        <row r="4063">
          <cell r="A4063">
            <v>46218</v>
          </cell>
          <cell r="C4063" t="str">
            <v xml:space="preserve">Itapaci </v>
          </cell>
          <cell r="H4063">
            <v>56.9</v>
          </cell>
        </row>
        <row r="4064">
          <cell r="A4064">
            <v>46218</v>
          </cell>
          <cell r="C4064" t="str">
            <v xml:space="preserve">Itapaci </v>
          </cell>
          <cell r="H4064">
            <v>65.66</v>
          </cell>
        </row>
        <row r="4065">
          <cell r="A4065">
            <v>46218</v>
          </cell>
          <cell r="C4065" t="str">
            <v xml:space="preserve">Itapaci </v>
          </cell>
          <cell r="H4065">
            <v>64.3</v>
          </cell>
        </row>
        <row r="4066">
          <cell r="A4066">
            <v>46218</v>
          </cell>
          <cell r="C4066" t="str">
            <v xml:space="preserve">Itapaci </v>
          </cell>
          <cell r="H4066">
            <v>33.36</v>
          </cell>
        </row>
        <row r="4067">
          <cell r="A4067">
            <v>46218</v>
          </cell>
          <cell r="C4067" t="str">
            <v xml:space="preserve">Itapaci </v>
          </cell>
          <cell r="H4067">
            <v>70.92</v>
          </cell>
        </row>
        <row r="4068">
          <cell r="A4068">
            <v>46218</v>
          </cell>
          <cell r="C4068" t="str">
            <v xml:space="preserve">Itapaci </v>
          </cell>
          <cell r="H4068">
            <v>35.380000000000003</v>
          </cell>
        </row>
        <row r="4069">
          <cell r="A4069">
            <v>46218</v>
          </cell>
          <cell r="C4069" t="str">
            <v xml:space="preserve">Itapaci </v>
          </cell>
          <cell r="H4069">
            <v>31.98</v>
          </cell>
        </row>
        <row r="4070">
          <cell r="A4070">
            <v>46218</v>
          </cell>
          <cell r="C4070" t="str">
            <v xml:space="preserve">Itapaci </v>
          </cell>
          <cell r="H4070">
            <v>68.02</v>
          </cell>
        </row>
        <row r="4071">
          <cell r="A4071">
            <v>46218</v>
          </cell>
          <cell r="C4071" t="str">
            <v xml:space="preserve">Itapaci </v>
          </cell>
          <cell r="H4071">
            <v>44.42</v>
          </cell>
        </row>
        <row r="4072">
          <cell r="A4072">
            <v>46218</v>
          </cell>
          <cell r="C4072" t="str">
            <v xml:space="preserve">Bela Vista </v>
          </cell>
          <cell r="H4072">
            <v>39.200000000000003</v>
          </cell>
        </row>
        <row r="4073">
          <cell r="A4073">
            <v>46218</v>
          </cell>
          <cell r="C4073" t="str">
            <v xml:space="preserve">Bela Vista </v>
          </cell>
          <cell r="H4073">
            <v>41.04</v>
          </cell>
        </row>
        <row r="4074">
          <cell r="A4074">
            <v>46218</v>
          </cell>
          <cell r="C4074" t="str">
            <v xml:space="preserve">Bela Vista </v>
          </cell>
          <cell r="H4074">
            <v>37.96</v>
          </cell>
        </row>
        <row r="4075">
          <cell r="A4075">
            <v>46218</v>
          </cell>
          <cell r="C4075" t="str">
            <v xml:space="preserve">Bela Vista </v>
          </cell>
          <cell r="H4075">
            <v>30.92</v>
          </cell>
        </row>
        <row r="4076">
          <cell r="A4076">
            <v>46219</v>
          </cell>
          <cell r="C4076" t="str">
            <v xml:space="preserve">Bela Vista </v>
          </cell>
          <cell r="H4076">
            <v>41.86</v>
          </cell>
        </row>
        <row r="4077">
          <cell r="A4077">
            <v>46218</v>
          </cell>
          <cell r="C4077" t="str">
            <v xml:space="preserve">Bela Vista </v>
          </cell>
          <cell r="H4077">
            <v>37.56</v>
          </cell>
        </row>
        <row r="4078">
          <cell r="A4078">
            <v>46218</v>
          </cell>
          <cell r="C4078" t="str">
            <v xml:space="preserve">Bela Vista </v>
          </cell>
          <cell r="H4078">
            <v>36.18</v>
          </cell>
        </row>
        <row r="4079">
          <cell r="A4079">
            <v>46218</v>
          </cell>
          <cell r="C4079" t="str">
            <v xml:space="preserve">Itapaci </v>
          </cell>
          <cell r="H4079">
            <v>65.78</v>
          </cell>
        </row>
        <row r="4080">
          <cell r="A4080">
            <v>46218</v>
          </cell>
          <cell r="C4080" t="str">
            <v xml:space="preserve">Itapaci </v>
          </cell>
          <cell r="H4080">
            <v>51.46</v>
          </cell>
        </row>
        <row r="4081">
          <cell r="A4081">
            <v>46218</v>
          </cell>
          <cell r="C4081" t="str">
            <v xml:space="preserve">Itapaci </v>
          </cell>
          <cell r="H4081">
            <v>34.68</v>
          </cell>
        </row>
        <row r="4082">
          <cell r="A4082">
            <v>46218</v>
          </cell>
          <cell r="C4082" t="str">
            <v xml:space="preserve">Itapaci </v>
          </cell>
          <cell r="H4082">
            <v>48.84</v>
          </cell>
        </row>
        <row r="4083">
          <cell r="A4083">
            <v>46218</v>
          </cell>
          <cell r="C4083" t="str">
            <v xml:space="preserve">Itapaci </v>
          </cell>
          <cell r="H4083">
            <v>35.200000000000003</v>
          </cell>
        </row>
        <row r="4084">
          <cell r="A4084">
            <v>46218</v>
          </cell>
          <cell r="C4084" t="str">
            <v xml:space="preserve">Itapaci </v>
          </cell>
          <cell r="H4084">
            <v>35.880000000000003</v>
          </cell>
        </row>
        <row r="4085">
          <cell r="A4085">
            <v>46218</v>
          </cell>
          <cell r="C4085" t="str">
            <v xml:space="preserve">Itapaci </v>
          </cell>
          <cell r="H4085">
            <v>44.02</v>
          </cell>
        </row>
        <row r="4086">
          <cell r="A4086">
            <v>46218</v>
          </cell>
          <cell r="C4086" t="str">
            <v xml:space="preserve">Itapaci </v>
          </cell>
          <cell r="H4086">
            <v>44.14</v>
          </cell>
        </row>
        <row r="4087">
          <cell r="A4087">
            <v>46218</v>
          </cell>
          <cell r="C4087" t="str">
            <v xml:space="preserve">Itapaci </v>
          </cell>
          <cell r="H4087">
            <v>36</v>
          </cell>
        </row>
        <row r="4088">
          <cell r="A4088">
            <v>46218</v>
          </cell>
          <cell r="C4088" t="str">
            <v xml:space="preserve">Itapaci </v>
          </cell>
          <cell r="H4088">
            <v>54.52</v>
          </cell>
        </row>
        <row r="4089">
          <cell r="A4089">
            <v>46218</v>
          </cell>
          <cell r="C4089" t="str">
            <v xml:space="preserve">Itapaci </v>
          </cell>
          <cell r="H4089">
            <v>64.62</v>
          </cell>
        </row>
        <row r="4090">
          <cell r="A4090">
            <v>46219</v>
          </cell>
          <cell r="C4090" t="str">
            <v xml:space="preserve">Itapaci </v>
          </cell>
          <cell r="H4090">
            <v>35.5</v>
          </cell>
        </row>
        <row r="4091">
          <cell r="A4091">
            <v>46218</v>
          </cell>
          <cell r="C4091" t="str">
            <v xml:space="preserve">Itapaci </v>
          </cell>
          <cell r="H4091">
            <v>35.479999999999997</v>
          </cell>
        </row>
        <row r="4092">
          <cell r="A4092">
            <v>46218</v>
          </cell>
          <cell r="C4092" t="str">
            <v xml:space="preserve">Itapaci </v>
          </cell>
          <cell r="H4092">
            <v>65.7</v>
          </cell>
        </row>
        <row r="4093">
          <cell r="A4093">
            <v>46219</v>
          </cell>
          <cell r="C4093" t="str">
            <v xml:space="preserve">Itapaci </v>
          </cell>
          <cell r="H4093">
            <v>60.36</v>
          </cell>
        </row>
        <row r="4094">
          <cell r="A4094">
            <v>46219</v>
          </cell>
          <cell r="C4094" t="str">
            <v xml:space="preserve">Itapaci </v>
          </cell>
          <cell r="H4094">
            <v>34.26</v>
          </cell>
        </row>
        <row r="4095">
          <cell r="A4095">
            <v>46219</v>
          </cell>
          <cell r="C4095" t="str">
            <v xml:space="preserve">Itapaci </v>
          </cell>
          <cell r="H4095">
            <v>34.72</v>
          </cell>
        </row>
        <row r="4096">
          <cell r="A4096">
            <v>46219</v>
          </cell>
          <cell r="C4096" t="str">
            <v xml:space="preserve">Itapaci </v>
          </cell>
          <cell r="H4096">
            <v>66.099999999999994</v>
          </cell>
        </row>
        <row r="4097">
          <cell r="A4097">
            <v>46219</v>
          </cell>
          <cell r="C4097" t="str">
            <v xml:space="preserve">Itapaci </v>
          </cell>
          <cell r="H4097">
            <v>65.98</v>
          </cell>
        </row>
        <row r="4098">
          <cell r="A4098">
            <v>46219</v>
          </cell>
          <cell r="C4098" t="str">
            <v xml:space="preserve">Itapaci </v>
          </cell>
          <cell r="H4098">
            <v>45.66</v>
          </cell>
        </row>
        <row r="4099">
          <cell r="A4099">
            <v>46219</v>
          </cell>
          <cell r="C4099" t="str">
            <v xml:space="preserve">Itapaci </v>
          </cell>
          <cell r="H4099">
            <v>67.14</v>
          </cell>
        </row>
        <row r="4100">
          <cell r="A4100">
            <v>46219</v>
          </cell>
          <cell r="C4100" t="str">
            <v xml:space="preserve">Itapaci </v>
          </cell>
          <cell r="H4100">
            <v>66.819999999999993</v>
          </cell>
        </row>
        <row r="4101">
          <cell r="A4101">
            <v>46219</v>
          </cell>
          <cell r="C4101" t="str">
            <v xml:space="preserve">Itapaci </v>
          </cell>
          <cell r="H4101">
            <v>43.64</v>
          </cell>
        </row>
        <row r="4102">
          <cell r="A4102">
            <v>46219</v>
          </cell>
          <cell r="C4102" t="str">
            <v xml:space="preserve">Bela Vista </v>
          </cell>
          <cell r="H4102">
            <v>39.92</v>
          </cell>
        </row>
        <row r="4103">
          <cell r="A4103">
            <v>46219</v>
          </cell>
          <cell r="C4103" t="str">
            <v xml:space="preserve">Bela Vista </v>
          </cell>
          <cell r="H4103">
            <v>38.26</v>
          </cell>
        </row>
        <row r="4104">
          <cell r="A4104">
            <v>46219</v>
          </cell>
          <cell r="C4104" t="str">
            <v xml:space="preserve">Bela Vista </v>
          </cell>
          <cell r="H4104">
            <v>37.26</v>
          </cell>
        </row>
        <row r="4105">
          <cell r="A4105">
            <v>46219</v>
          </cell>
          <cell r="C4105" t="str">
            <v xml:space="preserve">Bela Vista </v>
          </cell>
          <cell r="H4105">
            <v>37.82</v>
          </cell>
        </row>
        <row r="4106">
          <cell r="A4106">
            <v>46220</v>
          </cell>
          <cell r="C4106" t="str">
            <v xml:space="preserve">Bela Vista </v>
          </cell>
          <cell r="H4106">
            <v>40.96</v>
          </cell>
        </row>
        <row r="4107">
          <cell r="A4107">
            <v>46219</v>
          </cell>
          <cell r="C4107" t="str">
            <v xml:space="preserve">Itapaci </v>
          </cell>
          <cell r="H4107">
            <v>66.400000000000006</v>
          </cell>
        </row>
        <row r="4108">
          <cell r="A4108">
            <v>46219</v>
          </cell>
          <cell r="C4108" t="str">
            <v xml:space="preserve">Itapaci </v>
          </cell>
          <cell r="H4108">
            <v>66.400000000000006</v>
          </cell>
        </row>
        <row r="4109">
          <cell r="A4109">
            <v>46219</v>
          </cell>
          <cell r="C4109" t="str">
            <v xml:space="preserve">Itapaci </v>
          </cell>
          <cell r="H4109">
            <v>35</v>
          </cell>
        </row>
        <row r="4110">
          <cell r="A4110">
            <v>46219</v>
          </cell>
          <cell r="C4110" t="str">
            <v xml:space="preserve">Itapaci </v>
          </cell>
          <cell r="H4110">
            <v>49.2</v>
          </cell>
        </row>
        <row r="4111">
          <cell r="A4111">
            <v>46219</v>
          </cell>
          <cell r="C4111" t="str">
            <v xml:space="preserve">Itapaci </v>
          </cell>
          <cell r="H4111">
            <v>43.12</v>
          </cell>
        </row>
        <row r="4112">
          <cell r="A4112">
            <v>46219</v>
          </cell>
          <cell r="C4112" t="str">
            <v xml:space="preserve">Itapaci </v>
          </cell>
          <cell r="H4112">
            <v>29.84</v>
          </cell>
        </row>
        <row r="4113">
          <cell r="A4113">
            <v>46219</v>
          </cell>
          <cell r="C4113" t="str">
            <v xml:space="preserve">Itapaci </v>
          </cell>
          <cell r="H4113">
            <v>35.299999999999997</v>
          </cell>
        </row>
        <row r="4114">
          <cell r="A4114">
            <v>46219</v>
          </cell>
          <cell r="C4114" t="str">
            <v xml:space="preserve">Itapaci </v>
          </cell>
          <cell r="H4114">
            <v>34.840000000000003</v>
          </cell>
        </row>
        <row r="4115">
          <cell r="A4115">
            <v>46219</v>
          </cell>
          <cell r="C4115" t="str">
            <v xml:space="preserve">Itapaci </v>
          </cell>
          <cell r="H4115">
            <v>34.6</v>
          </cell>
        </row>
        <row r="4116">
          <cell r="A4116">
            <v>46219</v>
          </cell>
          <cell r="C4116" t="str">
            <v xml:space="preserve">Itapaci </v>
          </cell>
          <cell r="H4116">
            <v>35.020000000000003</v>
          </cell>
        </row>
        <row r="4117">
          <cell r="A4117">
            <v>46219</v>
          </cell>
          <cell r="C4117" t="str">
            <v xml:space="preserve">Itapaci </v>
          </cell>
          <cell r="H4117">
            <v>45.54</v>
          </cell>
        </row>
        <row r="4118">
          <cell r="A4118">
            <v>46219</v>
          </cell>
          <cell r="C4118" t="str">
            <v xml:space="preserve">Itapaci </v>
          </cell>
          <cell r="H4118">
            <v>58.04</v>
          </cell>
        </row>
        <row r="4119">
          <cell r="A4119">
            <v>46219</v>
          </cell>
          <cell r="C4119" t="str">
            <v xml:space="preserve">Itapaci </v>
          </cell>
          <cell r="H4119">
            <v>35.04</v>
          </cell>
        </row>
        <row r="4120">
          <cell r="A4120">
            <v>46219</v>
          </cell>
          <cell r="C4120" t="str">
            <v xml:space="preserve">Itapaci </v>
          </cell>
          <cell r="H4120">
            <v>63.26</v>
          </cell>
        </row>
        <row r="4121">
          <cell r="A4121">
            <v>46219</v>
          </cell>
          <cell r="C4121" t="str">
            <v xml:space="preserve">Itapaci </v>
          </cell>
          <cell r="H4121">
            <v>69.72</v>
          </cell>
        </row>
        <row r="4122">
          <cell r="A4122">
            <v>46219</v>
          </cell>
          <cell r="C4122" t="str">
            <v xml:space="preserve">Itapaci </v>
          </cell>
          <cell r="H4122">
            <v>42.62</v>
          </cell>
        </row>
        <row r="4123">
          <cell r="A4123">
            <v>46219</v>
          </cell>
          <cell r="C4123" t="str">
            <v xml:space="preserve">Itapaci </v>
          </cell>
          <cell r="H4123">
            <v>34.4</v>
          </cell>
        </row>
        <row r="4124">
          <cell r="A4124">
            <v>46219</v>
          </cell>
          <cell r="C4124" t="str">
            <v xml:space="preserve">Itapaci </v>
          </cell>
          <cell r="H4124">
            <v>68.28</v>
          </cell>
        </row>
        <row r="4125">
          <cell r="A4125">
            <v>46219</v>
          </cell>
          <cell r="C4125" t="str">
            <v xml:space="preserve">Itapaci </v>
          </cell>
          <cell r="H4125">
            <v>67.38</v>
          </cell>
        </row>
        <row r="4126">
          <cell r="A4126">
            <v>46219</v>
          </cell>
          <cell r="C4126" t="str">
            <v xml:space="preserve">Itapaci </v>
          </cell>
          <cell r="H4126">
            <v>66.599999999999994</v>
          </cell>
        </row>
        <row r="4127">
          <cell r="A4127">
            <v>46219</v>
          </cell>
          <cell r="C4127" t="str">
            <v xml:space="preserve">Itapaci </v>
          </cell>
          <cell r="H4127">
            <v>65.900000000000006</v>
          </cell>
        </row>
        <row r="4128">
          <cell r="A4128">
            <v>46219</v>
          </cell>
          <cell r="C4128" t="str">
            <v xml:space="preserve">Itapaci </v>
          </cell>
          <cell r="H4128">
            <v>34.4</v>
          </cell>
        </row>
        <row r="4129">
          <cell r="A4129">
            <v>46220</v>
          </cell>
          <cell r="C4129" t="str">
            <v xml:space="preserve">Itapaci </v>
          </cell>
          <cell r="H4129">
            <v>54.06</v>
          </cell>
        </row>
        <row r="4130">
          <cell r="A4130">
            <v>46220</v>
          </cell>
          <cell r="C4130" t="str">
            <v xml:space="preserve">Itapaci </v>
          </cell>
          <cell r="H4130">
            <v>32.119999999999997</v>
          </cell>
        </row>
        <row r="4131">
          <cell r="A4131">
            <v>46220</v>
          </cell>
          <cell r="C4131" t="str">
            <v xml:space="preserve">Itapaci </v>
          </cell>
          <cell r="H4131">
            <v>44.28</v>
          </cell>
        </row>
        <row r="4132">
          <cell r="A4132">
            <v>46220</v>
          </cell>
          <cell r="C4132" t="str">
            <v xml:space="preserve">Itapaci </v>
          </cell>
          <cell r="H4132">
            <v>34.799999999999997</v>
          </cell>
        </row>
        <row r="4133">
          <cell r="A4133">
            <v>46220</v>
          </cell>
          <cell r="C4133" t="str">
            <v xml:space="preserve">Itapaci </v>
          </cell>
          <cell r="H4133">
            <v>54.56</v>
          </cell>
        </row>
        <row r="4134">
          <cell r="A4134">
            <v>46220</v>
          </cell>
          <cell r="C4134" t="str">
            <v xml:space="preserve">Itapaci </v>
          </cell>
          <cell r="H4134">
            <v>36.380000000000003</v>
          </cell>
        </row>
        <row r="4135">
          <cell r="A4135">
            <v>46220</v>
          </cell>
          <cell r="C4135" t="str">
            <v xml:space="preserve">Itapaci </v>
          </cell>
          <cell r="H4135">
            <v>70.7</v>
          </cell>
        </row>
        <row r="4136">
          <cell r="A4136">
            <v>46220</v>
          </cell>
          <cell r="C4136" t="str">
            <v xml:space="preserve">Itapaci </v>
          </cell>
          <cell r="H4136">
            <v>35.72</v>
          </cell>
        </row>
        <row r="4137">
          <cell r="A4137">
            <v>46220</v>
          </cell>
          <cell r="C4137" t="str">
            <v xml:space="preserve">Itapaci </v>
          </cell>
          <cell r="H4137">
            <v>43.68</v>
          </cell>
        </row>
        <row r="4138">
          <cell r="A4138">
            <v>46220</v>
          </cell>
          <cell r="C4138" t="str">
            <v xml:space="preserve">Itapaci </v>
          </cell>
          <cell r="H4138">
            <v>70.64</v>
          </cell>
        </row>
        <row r="4139">
          <cell r="A4139">
            <v>46220</v>
          </cell>
          <cell r="C4139" t="str">
            <v xml:space="preserve">Bela Vista </v>
          </cell>
          <cell r="H4139">
            <v>36.479999999999997</v>
          </cell>
        </row>
        <row r="4140">
          <cell r="A4140">
            <v>46220</v>
          </cell>
          <cell r="C4140" t="str">
            <v xml:space="preserve">Bela Vista </v>
          </cell>
          <cell r="H4140">
            <v>41.16</v>
          </cell>
        </row>
        <row r="4141">
          <cell r="A4141">
            <v>46220</v>
          </cell>
          <cell r="C4141" t="str">
            <v xml:space="preserve">Bela Vista </v>
          </cell>
          <cell r="H4141">
            <v>39.24</v>
          </cell>
        </row>
        <row r="4142">
          <cell r="A4142">
            <v>46220</v>
          </cell>
          <cell r="C4142" t="str">
            <v xml:space="preserve">Bela Vista </v>
          </cell>
          <cell r="H4142">
            <v>36.700000000000003</v>
          </cell>
        </row>
        <row r="4143">
          <cell r="A4143">
            <v>46220</v>
          </cell>
          <cell r="C4143" t="str">
            <v xml:space="preserve">Bela Vista </v>
          </cell>
          <cell r="H4143">
            <v>37.119999999999997</v>
          </cell>
        </row>
        <row r="4144">
          <cell r="A4144">
            <v>46220</v>
          </cell>
          <cell r="C4144" t="str">
            <v xml:space="preserve">Bela Vista </v>
          </cell>
          <cell r="H4144">
            <v>41.12</v>
          </cell>
        </row>
        <row r="4145">
          <cell r="A4145">
            <v>46220</v>
          </cell>
          <cell r="C4145" t="str">
            <v xml:space="preserve">Bela Vista </v>
          </cell>
          <cell r="H4145">
            <v>37.119999999999997</v>
          </cell>
        </row>
        <row r="4146">
          <cell r="A4146">
            <v>46220</v>
          </cell>
          <cell r="C4146" t="str">
            <v xml:space="preserve">Bela Vista </v>
          </cell>
          <cell r="H4146">
            <v>40.46</v>
          </cell>
        </row>
        <row r="4147">
          <cell r="A4147">
            <v>46220</v>
          </cell>
          <cell r="C4147" t="str">
            <v xml:space="preserve">Bela Vista </v>
          </cell>
          <cell r="H4147">
            <v>37.22</v>
          </cell>
        </row>
        <row r="4148">
          <cell r="A4148">
            <v>46220</v>
          </cell>
          <cell r="C4148" t="str">
            <v xml:space="preserve">Bela Vista </v>
          </cell>
          <cell r="H4148">
            <v>40.380000000000003</v>
          </cell>
        </row>
        <row r="4149">
          <cell r="A4149">
            <v>46221</v>
          </cell>
          <cell r="C4149" t="str">
            <v xml:space="preserve">Bela Vista </v>
          </cell>
          <cell r="H4149">
            <v>38.24</v>
          </cell>
        </row>
        <row r="4150">
          <cell r="A4150">
            <v>46221</v>
          </cell>
          <cell r="C4150" t="str">
            <v xml:space="preserve">Bela Vista </v>
          </cell>
          <cell r="H4150">
            <v>40.64</v>
          </cell>
        </row>
        <row r="4151">
          <cell r="A4151">
            <v>46221</v>
          </cell>
          <cell r="C4151" t="str">
            <v xml:space="preserve">Bela Vista </v>
          </cell>
          <cell r="H4151">
            <v>40</v>
          </cell>
        </row>
        <row r="4152">
          <cell r="A4152">
            <v>46221</v>
          </cell>
          <cell r="C4152" t="str">
            <v xml:space="preserve">Bela Vista </v>
          </cell>
          <cell r="H4152">
            <v>32.840000000000003</v>
          </cell>
        </row>
        <row r="4153">
          <cell r="A4153">
            <v>46221</v>
          </cell>
          <cell r="C4153" t="str">
            <v xml:space="preserve">Bela Vista </v>
          </cell>
          <cell r="H4153">
            <v>36.08</v>
          </cell>
        </row>
        <row r="4154">
          <cell r="A4154">
            <v>46221</v>
          </cell>
          <cell r="C4154" t="str">
            <v xml:space="preserve">Bela Vista </v>
          </cell>
          <cell r="H4154">
            <v>37.46</v>
          </cell>
        </row>
        <row r="4155">
          <cell r="A4155">
            <v>46221</v>
          </cell>
          <cell r="C4155" t="str">
            <v xml:space="preserve">Bela Vista </v>
          </cell>
          <cell r="H4155">
            <v>38.36</v>
          </cell>
        </row>
        <row r="4156">
          <cell r="A4156">
            <v>46221</v>
          </cell>
          <cell r="C4156" t="str">
            <v xml:space="preserve">Bela Vista </v>
          </cell>
          <cell r="H4156">
            <v>41.06</v>
          </cell>
        </row>
        <row r="4157">
          <cell r="A4157">
            <v>46223</v>
          </cell>
          <cell r="C4157" t="str">
            <v xml:space="preserve">Bela Vista </v>
          </cell>
          <cell r="H4157">
            <v>36.64</v>
          </cell>
        </row>
        <row r="4158">
          <cell r="A4158">
            <v>46220</v>
          </cell>
          <cell r="C4158" t="str">
            <v xml:space="preserve">Itapaci </v>
          </cell>
          <cell r="H4158">
            <v>69.56</v>
          </cell>
        </row>
        <row r="4159">
          <cell r="A4159">
            <v>46220</v>
          </cell>
          <cell r="C4159" t="str">
            <v xml:space="preserve">Itapaci </v>
          </cell>
          <cell r="H4159">
            <v>66.72</v>
          </cell>
        </row>
        <row r="4160">
          <cell r="A4160">
            <v>46220</v>
          </cell>
          <cell r="C4160" t="str">
            <v xml:space="preserve">Itapaci </v>
          </cell>
          <cell r="H4160">
            <v>34.56</v>
          </cell>
        </row>
        <row r="4161">
          <cell r="A4161">
            <v>46220</v>
          </cell>
          <cell r="C4161" t="str">
            <v xml:space="preserve">Itapaci </v>
          </cell>
          <cell r="H4161">
            <v>67.260000000000005</v>
          </cell>
        </row>
        <row r="4162">
          <cell r="A4162">
            <v>46220</v>
          </cell>
          <cell r="C4162" t="str">
            <v xml:space="preserve">Itapaci </v>
          </cell>
          <cell r="H4162">
            <v>37.58</v>
          </cell>
        </row>
        <row r="4163">
          <cell r="A4163">
            <v>46220</v>
          </cell>
          <cell r="C4163" t="str">
            <v xml:space="preserve">Itapaci </v>
          </cell>
          <cell r="H4163">
            <v>35.4</v>
          </cell>
        </row>
        <row r="4164">
          <cell r="A4164">
            <v>46220</v>
          </cell>
          <cell r="C4164" t="str">
            <v xml:space="preserve">Itapaci </v>
          </cell>
          <cell r="H4164">
            <v>35.619999999999997</v>
          </cell>
        </row>
        <row r="4165">
          <cell r="A4165">
            <v>46220</v>
          </cell>
          <cell r="C4165" t="str">
            <v xml:space="preserve">Itapaci </v>
          </cell>
          <cell r="H4165">
            <v>68.78</v>
          </cell>
        </row>
        <row r="4166">
          <cell r="A4166">
            <v>46220</v>
          </cell>
          <cell r="C4166" t="str">
            <v xml:space="preserve">Itapaci </v>
          </cell>
          <cell r="H4166">
            <v>35.9</v>
          </cell>
        </row>
        <row r="4167">
          <cell r="A4167">
            <v>46220</v>
          </cell>
          <cell r="C4167" t="str">
            <v xml:space="preserve">Itapaci </v>
          </cell>
          <cell r="H4167">
            <v>34.200000000000003</v>
          </cell>
        </row>
        <row r="4168">
          <cell r="A4168">
            <v>46220</v>
          </cell>
          <cell r="C4168" t="str">
            <v xml:space="preserve">Itapaci </v>
          </cell>
          <cell r="H4168">
            <v>35.119999999999997</v>
          </cell>
        </row>
        <row r="4169">
          <cell r="A4169">
            <v>46220</v>
          </cell>
          <cell r="C4169" t="str">
            <v xml:space="preserve">Itapaci </v>
          </cell>
          <cell r="H4169">
            <v>33.86</v>
          </cell>
        </row>
        <row r="4170">
          <cell r="A4170">
            <v>46220</v>
          </cell>
          <cell r="C4170" t="str">
            <v xml:space="preserve">Itapaci </v>
          </cell>
          <cell r="H4170">
            <v>34.04</v>
          </cell>
        </row>
        <row r="4171">
          <cell r="A4171">
            <v>46220</v>
          </cell>
          <cell r="C4171" t="str">
            <v xml:space="preserve">Itapaci </v>
          </cell>
          <cell r="H4171">
            <v>35.44</v>
          </cell>
        </row>
        <row r="4172">
          <cell r="A4172">
            <v>46220</v>
          </cell>
          <cell r="C4172" t="str">
            <v xml:space="preserve">Itapaci </v>
          </cell>
          <cell r="H4172">
            <v>48.16</v>
          </cell>
        </row>
        <row r="4173">
          <cell r="A4173">
            <v>46220</v>
          </cell>
          <cell r="C4173" t="str">
            <v xml:space="preserve">Itapaci </v>
          </cell>
          <cell r="H4173">
            <v>35.159999999999997</v>
          </cell>
        </row>
        <row r="4174">
          <cell r="A4174">
            <v>46220</v>
          </cell>
          <cell r="C4174" t="str">
            <v xml:space="preserve">Itapaci </v>
          </cell>
          <cell r="H4174">
            <v>53.94</v>
          </cell>
        </row>
        <row r="4175">
          <cell r="A4175">
            <v>46220</v>
          </cell>
          <cell r="C4175" t="str">
            <v xml:space="preserve">Itapaci </v>
          </cell>
          <cell r="H4175">
            <v>69.239999999999995</v>
          </cell>
        </row>
        <row r="4176">
          <cell r="A4176">
            <v>46220</v>
          </cell>
          <cell r="C4176" t="str">
            <v xml:space="preserve">Itapaci </v>
          </cell>
          <cell r="H4176">
            <v>44.94</v>
          </cell>
        </row>
        <row r="4177">
          <cell r="A4177">
            <v>46220</v>
          </cell>
          <cell r="C4177" t="str">
            <v xml:space="preserve">Itapaci </v>
          </cell>
          <cell r="H4177">
            <v>66.540000000000006</v>
          </cell>
        </row>
        <row r="4178">
          <cell r="A4178">
            <v>46221</v>
          </cell>
          <cell r="C4178" t="str">
            <v xml:space="preserve">Itapaci </v>
          </cell>
          <cell r="H4178">
            <v>66.84</v>
          </cell>
        </row>
        <row r="4179">
          <cell r="A4179">
            <v>46220</v>
          </cell>
          <cell r="C4179" t="str">
            <v xml:space="preserve">Itapaci </v>
          </cell>
          <cell r="H4179">
            <v>35.840000000000003</v>
          </cell>
        </row>
        <row r="4180">
          <cell r="A4180">
            <v>46220</v>
          </cell>
          <cell r="C4180" t="str">
            <v xml:space="preserve">Itapaci </v>
          </cell>
          <cell r="H4180">
            <v>35.340000000000003</v>
          </cell>
        </row>
        <row r="4181">
          <cell r="A4181">
            <v>46220</v>
          </cell>
          <cell r="C4181" t="str">
            <v xml:space="preserve">Itapaci </v>
          </cell>
          <cell r="H4181">
            <v>33.24</v>
          </cell>
        </row>
        <row r="4182">
          <cell r="A4182">
            <v>46223</v>
          </cell>
          <cell r="C4182" t="str">
            <v xml:space="preserve">Itapaci </v>
          </cell>
          <cell r="H4182">
            <v>32.76</v>
          </cell>
        </row>
        <row r="4183">
          <cell r="A4183">
            <v>46133</v>
          </cell>
          <cell r="C4183" t="str">
            <v xml:space="preserve">Itapaci </v>
          </cell>
          <cell r="H4183">
            <v>35.78</v>
          </cell>
        </row>
        <row r="4184">
          <cell r="A4184">
            <v>46221</v>
          </cell>
          <cell r="C4184" t="str">
            <v xml:space="preserve">Itapaci </v>
          </cell>
          <cell r="H4184">
            <v>64.72</v>
          </cell>
        </row>
        <row r="4185">
          <cell r="A4185">
            <v>46221</v>
          </cell>
          <cell r="C4185" t="str">
            <v xml:space="preserve">Itapaci </v>
          </cell>
          <cell r="H4185">
            <v>65.94</v>
          </cell>
        </row>
        <row r="4186">
          <cell r="A4186">
            <v>46221</v>
          </cell>
          <cell r="C4186" t="str">
            <v xml:space="preserve">Itapaci </v>
          </cell>
          <cell r="H4186">
            <v>67.099999999999994</v>
          </cell>
        </row>
        <row r="4187">
          <cell r="A4187">
            <v>46221</v>
          </cell>
          <cell r="C4187" t="str">
            <v xml:space="preserve">Itapaci </v>
          </cell>
          <cell r="H4187">
            <v>35.380000000000003</v>
          </cell>
        </row>
        <row r="4188">
          <cell r="A4188">
            <v>46221</v>
          </cell>
          <cell r="C4188" t="str">
            <v xml:space="preserve">Itapaci </v>
          </cell>
          <cell r="H4188">
            <v>43.52</v>
          </cell>
        </row>
        <row r="4189">
          <cell r="A4189">
            <v>46221</v>
          </cell>
          <cell r="C4189" t="str">
            <v xml:space="preserve">Itapaci </v>
          </cell>
          <cell r="H4189">
            <v>35.979999999999997</v>
          </cell>
        </row>
        <row r="4190">
          <cell r="A4190">
            <v>46221</v>
          </cell>
          <cell r="C4190" t="str">
            <v xml:space="preserve">Itapaci </v>
          </cell>
          <cell r="H4190">
            <v>35.4</v>
          </cell>
        </row>
        <row r="4191">
          <cell r="A4191">
            <v>46221</v>
          </cell>
          <cell r="C4191" t="str">
            <v xml:space="preserve">Itapaci </v>
          </cell>
          <cell r="H4191">
            <v>32.299999999999997</v>
          </cell>
        </row>
        <row r="4192">
          <cell r="A4192">
            <v>46221</v>
          </cell>
          <cell r="C4192" t="str">
            <v xml:space="preserve">Itapaci </v>
          </cell>
          <cell r="H4192">
            <v>35.44</v>
          </cell>
        </row>
        <row r="4193">
          <cell r="A4193">
            <v>46223</v>
          </cell>
          <cell r="C4193" t="str">
            <v xml:space="preserve">Itapaci </v>
          </cell>
          <cell r="H4193">
            <v>35.700000000000003</v>
          </cell>
        </row>
        <row r="4194">
          <cell r="A4194">
            <v>46223</v>
          </cell>
          <cell r="C4194" t="str">
            <v xml:space="preserve">Itapaci </v>
          </cell>
          <cell r="H4194">
            <v>35.020000000000003</v>
          </cell>
        </row>
        <row r="4195">
          <cell r="A4195">
            <v>46221</v>
          </cell>
          <cell r="C4195" t="str">
            <v xml:space="preserve">Itapaci </v>
          </cell>
          <cell r="H4195">
            <v>34.32</v>
          </cell>
        </row>
        <row r="4196">
          <cell r="A4196">
            <v>46223</v>
          </cell>
          <cell r="C4196" t="str">
            <v xml:space="preserve">Itapaci </v>
          </cell>
          <cell r="H4196">
            <v>36.42</v>
          </cell>
        </row>
        <row r="4197">
          <cell r="A4197">
            <v>46221</v>
          </cell>
          <cell r="C4197" t="str">
            <v xml:space="preserve">Itapaci </v>
          </cell>
          <cell r="H4197">
            <v>35.6</v>
          </cell>
        </row>
        <row r="4198">
          <cell r="A4198">
            <v>46221</v>
          </cell>
          <cell r="C4198" t="str">
            <v xml:space="preserve">Itapaci </v>
          </cell>
          <cell r="H4198">
            <v>67.56</v>
          </cell>
        </row>
        <row r="4199">
          <cell r="A4199">
            <v>46221</v>
          </cell>
          <cell r="C4199" t="str">
            <v xml:space="preserve">Itapaci </v>
          </cell>
          <cell r="H4199">
            <v>35.68</v>
          </cell>
        </row>
        <row r="4200">
          <cell r="A4200">
            <v>46221</v>
          </cell>
          <cell r="C4200" t="str">
            <v xml:space="preserve">Itapaci </v>
          </cell>
          <cell r="H4200">
            <v>45.62</v>
          </cell>
        </row>
        <row r="4201">
          <cell r="A4201">
            <v>46221</v>
          </cell>
          <cell r="C4201" t="str">
            <v xml:space="preserve">Itapaci </v>
          </cell>
          <cell r="H4201">
            <v>67.8</v>
          </cell>
        </row>
        <row r="4202">
          <cell r="A4202">
            <v>46221</v>
          </cell>
          <cell r="C4202" t="str">
            <v xml:space="preserve">Itapaci </v>
          </cell>
          <cell r="H4202">
            <v>33.380000000000003</v>
          </cell>
        </row>
        <row r="4203">
          <cell r="A4203">
            <v>46221</v>
          </cell>
          <cell r="C4203" t="str">
            <v xml:space="preserve">Itapaci </v>
          </cell>
          <cell r="H4203">
            <v>34.54</v>
          </cell>
        </row>
        <row r="4204">
          <cell r="A4204">
            <v>46221</v>
          </cell>
          <cell r="C4204" t="str">
            <v xml:space="preserve">Itapaci </v>
          </cell>
          <cell r="H4204">
            <v>66.8</v>
          </cell>
        </row>
        <row r="4205">
          <cell r="A4205">
            <v>46223</v>
          </cell>
          <cell r="C4205" t="str">
            <v xml:space="preserve">Itapaci </v>
          </cell>
          <cell r="H4205">
            <v>36.76</v>
          </cell>
        </row>
        <row r="4206">
          <cell r="A4206">
            <v>46223</v>
          </cell>
          <cell r="C4206" t="str">
            <v xml:space="preserve">Itapaci </v>
          </cell>
          <cell r="H4206">
            <v>33.54</v>
          </cell>
        </row>
        <row r="4207">
          <cell r="A4207">
            <v>46223</v>
          </cell>
          <cell r="C4207" t="str">
            <v xml:space="preserve">Itapaci </v>
          </cell>
          <cell r="H4207">
            <v>32.06</v>
          </cell>
        </row>
        <row r="4208">
          <cell r="A4208">
            <v>46223</v>
          </cell>
          <cell r="C4208" t="str">
            <v xml:space="preserve">Itapaci </v>
          </cell>
          <cell r="H4208">
            <v>33.4</v>
          </cell>
        </row>
        <row r="4209">
          <cell r="A4209">
            <v>46223</v>
          </cell>
          <cell r="C4209" t="str">
            <v xml:space="preserve">Itapaci </v>
          </cell>
          <cell r="H4209">
            <v>67.28</v>
          </cell>
        </row>
        <row r="4210">
          <cell r="A4210">
            <v>46223</v>
          </cell>
          <cell r="C4210" t="str">
            <v xml:space="preserve">Itapaci </v>
          </cell>
          <cell r="H4210">
            <v>35.22</v>
          </cell>
        </row>
        <row r="4211">
          <cell r="A4211">
            <v>46223</v>
          </cell>
          <cell r="C4211" t="str">
            <v xml:space="preserve">Itapaci </v>
          </cell>
          <cell r="H4211">
            <v>36.020000000000003</v>
          </cell>
        </row>
        <row r="4212">
          <cell r="A4212">
            <v>46223</v>
          </cell>
          <cell r="C4212" t="str">
            <v xml:space="preserve">Itapaci </v>
          </cell>
          <cell r="H4212">
            <v>45.34</v>
          </cell>
        </row>
        <row r="4213">
          <cell r="A4213">
            <v>46223</v>
          </cell>
          <cell r="C4213" t="str">
            <v xml:space="preserve">Itapaci </v>
          </cell>
          <cell r="H4213">
            <v>36.42</v>
          </cell>
        </row>
        <row r="4214">
          <cell r="A4214">
            <v>46223</v>
          </cell>
          <cell r="C4214" t="str">
            <v xml:space="preserve">Itapaci </v>
          </cell>
          <cell r="H4214">
            <v>35.1</v>
          </cell>
        </row>
        <row r="4215">
          <cell r="A4215">
            <v>46223</v>
          </cell>
          <cell r="C4215" t="str">
            <v xml:space="preserve">Itapaci </v>
          </cell>
          <cell r="H4215">
            <v>43.84</v>
          </cell>
        </row>
        <row r="4216">
          <cell r="A4216">
            <v>46223</v>
          </cell>
          <cell r="C4216" t="str">
            <v xml:space="preserve">Itapaci </v>
          </cell>
          <cell r="H4216">
            <v>35.14</v>
          </cell>
        </row>
        <row r="4217">
          <cell r="A4217">
            <v>46223</v>
          </cell>
          <cell r="C4217" t="str">
            <v xml:space="preserve">Itapaci </v>
          </cell>
          <cell r="H4217">
            <v>36</v>
          </cell>
        </row>
        <row r="4218">
          <cell r="A4218">
            <v>46223</v>
          </cell>
          <cell r="C4218" t="str">
            <v xml:space="preserve">Itapaci </v>
          </cell>
          <cell r="H4218">
            <v>47.52</v>
          </cell>
        </row>
        <row r="4219">
          <cell r="A4219">
            <v>46223</v>
          </cell>
          <cell r="C4219" t="str">
            <v xml:space="preserve">Bela Vista </v>
          </cell>
          <cell r="H4219">
            <v>39.520000000000003</v>
          </cell>
        </row>
        <row r="4220">
          <cell r="A4220">
            <v>46223</v>
          </cell>
          <cell r="C4220" t="str">
            <v xml:space="preserve">Bela Vista </v>
          </cell>
          <cell r="H4220">
            <v>40.68</v>
          </cell>
        </row>
        <row r="4221">
          <cell r="A4221">
            <v>46223</v>
          </cell>
          <cell r="C4221" t="str">
            <v xml:space="preserve">Bela Vista </v>
          </cell>
          <cell r="H4221">
            <v>41.72</v>
          </cell>
        </row>
        <row r="4222">
          <cell r="A4222">
            <v>46223</v>
          </cell>
          <cell r="C4222" t="str">
            <v xml:space="preserve">Bela Vista </v>
          </cell>
          <cell r="H4222">
            <v>39.799999999999997</v>
          </cell>
        </row>
        <row r="4223">
          <cell r="A4223">
            <v>46223</v>
          </cell>
          <cell r="C4223" t="str">
            <v xml:space="preserve">Bela Vista </v>
          </cell>
          <cell r="H4223">
            <v>40.98</v>
          </cell>
        </row>
        <row r="4224">
          <cell r="A4224">
            <v>46223</v>
          </cell>
          <cell r="C4224" t="str">
            <v xml:space="preserve">Bela Vista </v>
          </cell>
          <cell r="H4224">
            <v>38.64</v>
          </cell>
        </row>
        <row r="4225">
          <cell r="A4225">
            <v>46223</v>
          </cell>
          <cell r="C4225" t="str">
            <v xml:space="preserve">Bela Vista </v>
          </cell>
          <cell r="H4225">
            <v>40.28</v>
          </cell>
        </row>
        <row r="4226">
          <cell r="A4226">
            <v>46223</v>
          </cell>
          <cell r="C4226" t="str">
            <v xml:space="preserve">Bela Vista </v>
          </cell>
          <cell r="H4226">
            <v>41.3</v>
          </cell>
        </row>
        <row r="4227">
          <cell r="A4227">
            <v>46223</v>
          </cell>
          <cell r="C4227" t="str">
            <v xml:space="preserve">Bela Vista </v>
          </cell>
          <cell r="H4227">
            <v>50.38</v>
          </cell>
        </row>
        <row r="4228">
          <cell r="A4228">
            <v>46223</v>
          </cell>
          <cell r="C4228" t="str">
            <v xml:space="preserve">Bela Vista </v>
          </cell>
          <cell r="H4228">
            <v>38.44</v>
          </cell>
        </row>
        <row r="4229">
          <cell r="A4229">
            <v>46224</v>
          </cell>
          <cell r="C4229" t="str">
            <v xml:space="preserve">Bela Vista </v>
          </cell>
          <cell r="H4229">
            <v>41.44</v>
          </cell>
        </row>
        <row r="4230">
          <cell r="A4230">
            <v>46224</v>
          </cell>
          <cell r="C4230" t="str">
            <v xml:space="preserve">Bela Vista </v>
          </cell>
          <cell r="H4230">
            <v>40.94</v>
          </cell>
        </row>
        <row r="4231">
          <cell r="A4231">
            <v>46224</v>
          </cell>
          <cell r="C4231" t="str">
            <v xml:space="preserve">Bela Vista </v>
          </cell>
          <cell r="H4231">
            <v>39.74</v>
          </cell>
        </row>
        <row r="4232">
          <cell r="A4232">
            <v>46224</v>
          </cell>
          <cell r="C4232" t="str">
            <v xml:space="preserve">Bela Vista </v>
          </cell>
          <cell r="H4232">
            <v>40.28</v>
          </cell>
        </row>
        <row r="4233">
          <cell r="A4233">
            <v>46224</v>
          </cell>
          <cell r="C4233" t="str">
            <v xml:space="preserve">Bela Vista </v>
          </cell>
          <cell r="H4233">
            <v>51.8</v>
          </cell>
        </row>
        <row r="4234">
          <cell r="A4234">
            <v>46223</v>
          </cell>
          <cell r="C4234" t="str">
            <v xml:space="preserve">Itapaci </v>
          </cell>
          <cell r="H4234">
            <v>48.84</v>
          </cell>
        </row>
        <row r="4235">
          <cell r="A4235">
            <v>46223</v>
          </cell>
          <cell r="C4235" t="str">
            <v xml:space="preserve">Itapaci </v>
          </cell>
          <cell r="H4235">
            <v>57.62</v>
          </cell>
        </row>
        <row r="4236">
          <cell r="A4236">
            <v>46223</v>
          </cell>
          <cell r="C4236" t="str">
            <v xml:space="preserve">Itapaci </v>
          </cell>
          <cell r="H4236">
            <v>67.900000000000006</v>
          </cell>
        </row>
        <row r="4237">
          <cell r="A4237">
            <v>46194</v>
          </cell>
          <cell r="C4237" t="str">
            <v xml:space="preserve">Itapaci </v>
          </cell>
          <cell r="H4237">
            <v>66.28</v>
          </cell>
        </row>
        <row r="4238">
          <cell r="A4238">
            <v>46223</v>
          </cell>
          <cell r="C4238" t="str">
            <v xml:space="preserve">Itapaci </v>
          </cell>
          <cell r="H4238">
            <v>64.16</v>
          </cell>
        </row>
        <row r="4239">
          <cell r="A4239">
            <v>46223</v>
          </cell>
          <cell r="C4239" t="str">
            <v xml:space="preserve">Itapaci </v>
          </cell>
          <cell r="H4239">
            <v>30.1</v>
          </cell>
        </row>
        <row r="4240">
          <cell r="A4240">
            <v>46223</v>
          </cell>
          <cell r="C4240" t="str">
            <v xml:space="preserve">Itapaci </v>
          </cell>
          <cell r="H4240">
            <v>43.72</v>
          </cell>
        </row>
        <row r="4241">
          <cell r="A4241">
            <v>46223</v>
          </cell>
          <cell r="C4241" t="str">
            <v xml:space="preserve">Itapaci </v>
          </cell>
          <cell r="H4241">
            <v>65.900000000000006</v>
          </cell>
        </row>
        <row r="4242">
          <cell r="A4242">
            <v>46223</v>
          </cell>
          <cell r="C4242" t="str">
            <v xml:space="preserve">Itapaci </v>
          </cell>
          <cell r="H4242">
            <v>35.04</v>
          </cell>
        </row>
        <row r="4243">
          <cell r="A4243">
            <v>46223</v>
          </cell>
          <cell r="C4243" t="str">
            <v xml:space="preserve">Itapaci </v>
          </cell>
          <cell r="H4243">
            <v>45.6</v>
          </cell>
        </row>
        <row r="4244">
          <cell r="A4244">
            <v>46223</v>
          </cell>
          <cell r="C4244" t="str">
            <v xml:space="preserve">Itapaci </v>
          </cell>
          <cell r="H4244">
            <v>35.54</v>
          </cell>
        </row>
        <row r="4245">
          <cell r="A4245">
            <v>46223</v>
          </cell>
          <cell r="C4245" t="str">
            <v xml:space="preserve">Itapaci </v>
          </cell>
          <cell r="H4245">
            <v>33.479999999999997</v>
          </cell>
        </row>
        <row r="4246">
          <cell r="A4246">
            <v>46223</v>
          </cell>
          <cell r="C4246" t="str">
            <v xml:space="preserve">Itapaci </v>
          </cell>
          <cell r="H4246">
            <v>43.38</v>
          </cell>
        </row>
        <row r="4247">
          <cell r="A4247">
            <v>46223</v>
          </cell>
          <cell r="C4247" t="str">
            <v xml:space="preserve">Itapaci </v>
          </cell>
          <cell r="H4247">
            <v>42.78</v>
          </cell>
        </row>
        <row r="4248">
          <cell r="A4248">
            <v>46223</v>
          </cell>
          <cell r="C4248" t="str">
            <v xml:space="preserve">Itapaci </v>
          </cell>
          <cell r="H4248">
            <v>34.119999999999997</v>
          </cell>
        </row>
        <row r="4249">
          <cell r="A4249">
            <v>46223</v>
          </cell>
          <cell r="C4249" t="str">
            <v xml:space="preserve">Itapaci </v>
          </cell>
          <cell r="H4249">
            <v>36.340000000000003</v>
          </cell>
        </row>
        <row r="4250">
          <cell r="A4250">
            <v>46223</v>
          </cell>
          <cell r="C4250" t="str">
            <v xml:space="preserve">Itapaci </v>
          </cell>
          <cell r="H4250">
            <v>32.6</v>
          </cell>
        </row>
        <row r="4251">
          <cell r="A4251">
            <v>46223</v>
          </cell>
          <cell r="C4251" t="str">
            <v xml:space="preserve">Itapaci </v>
          </cell>
          <cell r="H4251">
            <v>36.6</v>
          </cell>
        </row>
        <row r="4252">
          <cell r="A4252">
            <v>46223</v>
          </cell>
          <cell r="C4252" t="str">
            <v xml:space="preserve">Itapaci </v>
          </cell>
          <cell r="H4252">
            <v>35.5</v>
          </cell>
        </row>
        <row r="4253">
          <cell r="A4253">
            <v>46223</v>
          </cell>
          <cell r="C4253" t="str">
            <v xml:space="preserve">Itapaci </v>
          </cell>
          <cell r="H4253">
            <v>34.86</v>
          </cell>
        </row>
        <row r="4254">
          <cell r="A4254">
            <v>46223</v>
          </cell>
          <cell r="C4254" t="str">
            <v xml:space="preserve">Itapaci </v>
          </cell>
          <cell r="H4254">
            <v>44.12</v>
          </cell>
        </row>
        <row r="4255">
          <cell r="A4255">
            <v>46223</v>
          </cell>
          <cell r="C4255" t="str">
            <v xml:space="preserve">Itapaci </v>
          </cell>
          <cell r="H4255">
            <v>65.400000000000006</v>
          </cell>
        </row>
        <row r="4256">
          <cell r="A4256">
            <v>46223</v>
          </cell>
          <cell r="C4256" t="str">
            <v xml:space="preserve">Itapaci </v>
          </cell>
          <cell r="H4256">
            <v>49.86</v>
          </cell>
        </row>
        <row r="4257">
          <cell r="A4257">
            <v>46223</v>
          </cell>
          <cell r="C4257" t="str">
            <v xml:space="preserve">Itapaci </v>
          </cell>
          <cell r="H4257">
            <v>35.64</v>
          </cell>
        </row>
        <row r="4258">
          <cell r="A4258">
            <v>46223</v>
          </cell>
          <cell r="C4258" t="str">
            <v xml:space="preserve">Itapaci </v>
          </cell>
          <cell r="H4258">
            <v>34.799999999999997</v>
          </cell>
        </row>
        <row r="4259">
          <cell r="A4259">
            <v>46224</v>
          </cell>
          <cell r="C4259" t="str">
            <v xml:space="preserve">Itapaci </v>
          </cell>
          <cell r="H4259">
            <v>33.24</v>
          </cell>
        </row>
        <row r="4260">
          <cell r="C4260" t="str">
            <v xml:space="preserve">Itapaci </v>
          </cell>
          <cell r="H4260">
            <v>65.3</v>
          </cell>
        </row>
        <row r="4261">
          <cell r="A4261">
            <v>46224</v>
          </cell>
          <cell r="C4261" t="str">
            <v xml:space="preserve">Itapaci </v>
          </cell>
          <cell r="H4261">
            <v>49.36</v>
          </cell>
        </row>
        <row r="4262">
          <cell r="A4262">
            <v>46224</v>
          </cell>
          <cell r="C4262" t="str">
            <v xml:space="preserve">Itapaci </v>
          </cell>
          <cell r="H4262">
            <v>66.98</v>
          </cell>
        </row>
        <row r="4263">
          <cell r="A4263">
            <v>46224</v>
          </cell>
          <cell r="C4263" t="str">
            <v xml:space="preserve">Itapaci </v>
          </cell>
          <cell r="H4263">
            <v>42.7</v>
          </cell>
        </row>
        <row r="4264">
          <cell r="A4264">
            <v>46224</v>
          </cell>
          <cell r="C4264" t="str">
            <v xml:space="preserve">Itapaci </v>
          </cell>
          <cell r="H4264">
            <v>43.44</v>
          </cell>
        </row>
        <row r="4265">
          <cell r="A4265">
            <v>46224</v>
          </cell>
          <cell r="C4265" t="str">
            <v xml:space="preserve">Itapaci </v>
          </cell>
          <cell r="H4265">
            <v>34.340000000000003</v>
          </cell>
        </row>
        <row r="4266">
          <cell r="C4266" t="str">
            <v xml:space="preserve">Itapaci </v>
          </cell>
          <cell r="H4266">
            <v>57.82</v>
          </cell>
        </row>
        <row r="4267">
          <cell r="A4267">
            <v>46224</v>
          </cell>
          <cell r="C4267" t="str">
            <v xml:space="preserve">Itapaci </v>
          </cell>
          <cell r="H4267">
            <v>34.159999999999997</v>
          </cell>
        </row>
        <row r="4268">
          <cell r="A4268">
            <v>46224</v>
          </cell>
          <cell r="C4268" t="str">
            <v xml:space="preserve">Itapaci </v>
          </cell>
          <cell r="H4268">
            <v>34.020000000000003</v>
          </cell>
        </row>
        <row r="4269">
          <cell r="A4269">
            <v>46224</v>
          </cell>
          <cell r="C4269" t="str">
            <v xml:space="preserve">Itapaci </v>
          </cell>
          <cell r="H4269">
            <v>35.4</v>
          </cell>
        </row>
        <row r="4270">
          <cell r="A4270">
            <v>46224</v>
          </cell>
          <cell r="C4270" t="str">
            <v xml:space="preserve">Itapaci </v>
          </cell>
          <cell r="H4270">
            <v>35.22</v>
          </cell>
        </row>
        <row r="4271">
          <cell r="C4271" t="str">
            <v xml:space="preserve">Itapaci </v>
          </cell>
          <cell r="H4271">
            <v>34.74</v>
          </cell>
        </row>
        <row r="4272">
          <cell r="C4272" t="str">
            <v xml:space="preserve">Itapaci </v>
          </cell>
          <cell r="H4272">
            <v>45.4</v>
          </cell>
        </row>
        <row r="4273">
          <cell r="A4273">
            <v>46224</v>
          </cell>
          <cell r="C4273" t="str">
            <v xml:space="preserve">Itapaci </v>
          </cell>
          <cell r="H4273">
            <v>34.659999999999997</v>
          </cell>
        </row>
        <row r="4274">
          <cell r="A4274">
            <v>46224</v>
          </cell>
          <cell r="C4274" t="str">
            <v xml:space="preserve">Itapaci </v>
          </cell>
          <cell r="H4274">
            <v>33.28</v>
          </cell>
        </row>
        <row r="4275">
          <cell r="C4275" t="str">
            <v xml:space="preserve">Itapaci </v>
          </cell>
          <cell r="H4275">
            <v>33.56</v>
          </cell>
        </row>
        <row r="4276">
          <cell r="A4276">
            <v>46224</v>
          </cell>
          <cell r="C4276" t="str">
            <v xml:space="preserve">Itapaci </v>
          </cell>
          <cell r="H4276">
            <v>34.619999999999997</v>
          </cell>
        </row>
        <row r="4277">
          <cell r="A4277">
            <v>46224</v>
          </cell>
          <cell r="C4277" t="str">
            <v xml:space="preserve">Itapaci </v>
          </cell>
          <cell r="H4277">
            <v>35.020000000000003</v>
          </cell>
        </row>
        <row r="4278">
          <cell r="A4278">
            <v>46224</v>
          </cell>
          <cell r="C4278" t="str">
            <v xml:space="preserve">Itapaci </v>
          </cell>
          <cell r="H4278">
            <v>31.94</v>
          </cell>
        </row>
        <row r="4279">
          <cell r="A4279">
            <v>46224</v>
          </cell>
          <cell r="C4279" t="str">
            <v xml:space="preserve">Itapaci </v>
          </cell>
          <cell r="H4279">
            <v>34.74</v>
          </cell>
        </row>
        <row r="4280">
          <cell r="A4280">
            <v>46224</v>
          </cell>
          <cell r="C4280" t="str">
            <v xml:space="preserve">Bela Vista </v>
          </cell>
          <cell r="H4280">
            <v>42.54</v>
          </cell>
        </row>
        <row r="4281">
          <cell r="A4281">
            <v>46224</v>
          </cell>
          <cell r="C4281" t="str">
            <v xml:space="preserve">Bela Vista </v>
          </cell>
          <cell r="H4281">
            <v>39.659999999999997</v>
          </cell>
        </row>
        <row r="4282">
          <cell r="A4282">
            <v>46224</v>
          </cell>
          <cell r="C4282" t="str">
            <v xml:space="preserve">Bela Vista </v>
          </cell>
          <cell r="H4282">
            <v>41.56</v>
          </cell>
        </row>
        <row r="4283">
          <cell r="A4283">
            <v>46224</v>
          </cell>
          <cell r="C4283" t="str">
            <v xml:space="preserve">Bela Vista </v>
          </cell>
          <cell r="H4283">
            <v>52.14</v>
          </cell>
        </row>
        <row r="4284">
          <cell r="A4284">
            <v>46224</v>
          </cell>
          <cell r="C4284" t="str">
            <v xml:space="preserve">Bela Vista </v>
          </cell>
          <cell r="H4284">
            <v>41.84</v>
          </cell>
        </row>
        <row r="4285">
          <cell r="A4285">
            <v>46224</v>
          </cell>
          <cell r="C4285" t="str">
            <v xml:space="preserve">Bela Vista </v>
          </cell>
          <cell r="H4285">
            <v>40.76</v>
          </cell>
        </row>
        <row r="4286">
          <cell r="A4286">
            <v>46224</v>
          </cell>
          <cell r="C4286" t="str">
            <v xml:space="preserve">Bela Vista </v>
          </cell>
          <cell r="H4286">
            <v>40.159999999999997</v>
          </cell>
        </row>
        <row r="4287">
          <cell r="A4287">
            <v>46224</v>
          </cell>
          <cell r="C4287" t="str">
            <v xml:space="preserve">Bela Vista </v>
          </cell>
          <cell r="H4287">
            <v>42.22</v>
          </cell>
        </row>
        <row r="4288">
          <cell r="A4288">
            <v>46225</v>
          </cell>
          <cell r="C4288" t="str">
            <v xml:space="preserve">Bela Vista </v>
          </cell>
          <cell r="H4288">
            <v>51.54</v>
          </cell>
        </row>
        <row r="4289">
          <cell r="A4289">
            <v>46225</v>
          </cell>
          <cell r="C4289" t="str">
            <v xml:space="preserve">Bela Vista </v>
          </cell>
          <cell r="H4289">
            <v>40.78</v>
          </cell>
        </row>
        <row r="4290">
          <cell r="A4290">
            <v>46225</v>
          </cell>
          <cell r="C4290" t="str">
            <v xml:space="preserve">Bela Vista </v>
          </cell>
          <cell r="H4290">
            <v>36.4</v>
          </cell>
        </row>
        <row r="4291">
          <cell r="A4291">
            <v>46225</v>
          </cell>
          <cell r="C4291" t="str">
            <v xml:space="preserve">Bela Vista </v>
          </cell>
          <cell r="H4291">
            <v>40.56</v>
          </cell>
        </row>
        <row r="4292">
          <cell r="A4292">
            <v>46224</v>
          </cell>
          <cell r="C4292" t="str">
            <v xml:space="preserve">Itapaci </v>
          </cell>
          <cell r="H4292">
            <v>43.34</v>
          </cell>
        </row>
        <row r="4293">
          <cell r="A4293">
            <v>46224</v>
          </cell>
          <cell r="C4293" t="str">
            <v xml:space="preserve">Itapaci </v>
          </cell>
          <cell r="H4293">
            <v>65.78</v>
          </cell>
        </row>
        <row r="4294">
          <cell r="A4294">
            <v>46224</v>
          </cell>
          <cell r="C4294" t="str">
            <v xml:space="preserve">Itapaci </v>
          </cell>
          <cell r="H4294">
            <v>49.84</v>
          </cell>
        </row>
        <row r="4295">
          <cell r="A4295">
            <v>46225</v>
          </cell>
          <cell r="C4295" t="str">
            <v xml:space="preserve">Itapaci </v>
          </cell>
          <cell r="H4295">
            <v>66.02</v>
          </cell>
        </row>
        <row r="4296">
          <cell r="A4296">
            <v>46224</v>
          </cell>
          <cell r="C4296" t="str">
            <v xml:space="preserve">Itapaci </v>
          </cell>
          <cell r="H4296">
            <v>40.700000000000003</v>
          </cell>
        </row>
        <row r="4297">
          <cell r="A4297">
            <v>46224</v>
          </cell>
          <cell r="C4297" t="str">
            <v xml:space="preserve">Itapaci </v>
          </cell>
          <cell r="H4297">
            <v>36.840000000000003</v>
          </cell>
        </row>
        <row r="4298">
          <cell r="A4298">
            <v>46224</v>
          </cell>
          <cell r="C4298" t="str">
            <v xml:space="preserve">Itapaci </v>
          </cell>
          <cell r="H4298">
            <v>34.54</v>
          </cell>
        </row>
        <row r="4299">
          <cell r="A4299">
            <v>46224</v>
          </cell>
          <cell r="C4299" t="str">
            <v xml:space="preserve">Itapaci </v>
          </cell>
          <cell r="H4299">
            <v>34.619999999999997</v>
          </cell>
        </row>
        <row r="4300">
          <cell r="A4300">
            <v>46224</v>
          </cell>
          <cell r="C4300" t="str">
            <v xml:space="preserve">Itapaci </v>
          </cell>
          <cell r="H4300">
            <v>48.84</v>
          </cell>
        </row>
        <row r="4301">
          <cell r="A4301">
            <v>46224</v>
          </cell>
          <cell r="C4301" t="str">
            <v xml:space="preserve">Itapaci </v>
          </cell>
          <cell r="H4301">
            <v>43.16</v>
          </cell>
        </row>
        <row r="4302">
          <cell r="A4302">
            <v>46224</v>
          </cell>
          <cell r="C4302" t="str">
            <v xml:space="preserve">Itapaci </v>
          </cell>
          <cell r="H4302">
            <v>33.96</v>
          </cell>
        </row>
        <row r="4303">
          <cell r="A4303">
            <v>46224</v>
          </cell>
          <cell r="C4303" t="str">
            <v xml:space="preserve">Itapaci </v>
          </cell>
          <cell r="H4303">
            <v>35.46</v>
          </cell>
        </row>
        <row r="4304">
          <cell r="A4304">
            <v>46224</v>
          </cell>
          <cell r="C4304" t="str">
            <v xml:space="preserve">Itapaci </v>
          </cell>
          <cell r="H4304">
            <v>33.54</v>
          </cell>
        </row>
        <row r="4305">
          <cell r="A4305">
            <v>46224</v>
          </cell>
          <cell r="C4305" t="str">
            <v xml:space="preserve">Itapaci </v>
          </cell>
          <cell r="H4305">
            <v>33.78</v>
          </cell>
        </row>
        <row r="4306">
          <cell r="A4306">
            <v>46224</v>
          </cell>
          <cell r="C4306" t="str">
            <v xml:space="preserve">Itapaci </v>
          </cell>
          <cell r="H4306">
            <v>34.159999999999997</v>
          </cell>
        </row>
        <row r="4307">
          <cell r="A4307">
            <v>46224</v>
          </cell>
          <cell r="C4307" t="str">
            <v xml:space="preserve">Itapaci </v>
          </cell>
          <cell r="H4307">
            <v>34.200000000000003</v>
          </cell>
        </row>
        <row r="4308">
          <cell r="A4308">
            <v>46224</v>
          </cell>
          <cell r="C4308" t="str">
            <v xml:space="preserve">Itapaci </v>
          </cell>
          <cell r="H4308">
            <v>35.200000000000003</v>
          </cell>
        </row>
        <row r="4309">
          <cell r="A4309">
            <v>46224</v>
          </cell>
          <cell r="C4309" t="str">
            <v xml:space="preserve">Itapaci </v>
          </cell>
          <cell r="H4309">
            <v>34.18</v>
          </cell>
        </row>
        <row r="4310">
          <cell r="A4310">
            <v>46224</v>
          </cell>
          <cell r="C4310" t="str">
            <v xml:space="preserve">Itapaci </v>
          </cell>
          <cell r="H4310">
            <v>34.1</v>
          </cell>
        </row>
        <row r="4311">
          <cell r="A4311">
            <v>46224</v>
          </cell>
          <cell r="C4311" t="str">
            <v xml:space="preserve">Itapaci </v>
          </cell>
          <cell r="H4311">
            <v>66.040000000000006</v>
          </cell>
        </row>
        <row r="4312">
          <cell r="A4312">
            <v>46224</v>
          </cell>
          <cell r="C4312" t="str">
            <v xml:space="preserve">Itapaci </v>
          </cell>
          <cell r="H4312">
            <v>48.98</v>
          </cell>
        </row>
        <row r="4313">
          <cell r="A4313">
            <v>46224</v>
          </cell>
          <cell r="C4313" t="str">
            <v xml:space="preserve">Itapaci </v>
          </cell>
          <cell r="H4313">
            <v>45.3</v>
          </cell>
        </row>
        <row r="4314">
          <cell r="A4314">
            <v>46224</v>
          </cell>
          <cell r="C4314" t="str">
            <v xml:space="preserve">Itapaci </v>
          </cell>
          <cell r="H4314">
            <v>65.64</v>
          </cell>
        </row>
        <row r="4315">
          <cell r="A4315">
            <v>46224</v>
          </cell>
          <cell r="C4315" t="str">
            <v xml:space="preserve">Itapaci </v>
          </cell>
          <cell r="H4315">
            <v>57.08</v>
          </cell>
        </row>
        <row r="4316">
          <cell r="A4316">
            <v>46224</v>
          </cell>
          <cell r="C4316" t="str">
            <v xml:space="preserve">Itapaci </v>
          </cell>
          <cell r="H4316">
            <v>33.119999999999997</v>
          </cell>
        </row>
        <row r="4317">
          <cell r="A4317">
            <v>46225</v>
          </cell>
          <cell r="C4317" t="str">
            <v xml:space="preserve">Itapaci </v>
          </cell>
          <cell r="H4317">
            <v>34.22</v>
          </cell>
        </row>
        <row r="4318">
          <cell r="A4318">
            <v>46224</v>
          </cell>
          <cell r="C4318" t="str">
            <v xml:space="preserve">Itapaci </v>
          </cell>
          <cell r="H4318">
            <v>42.02</v>
          </cell>
        </row>
        <row r="4319">
          <cell r="A4319">
            <v>46224</v>
          </cell>
          <cell r="C4319" t="str">
            <v xml:space="preserve">Itapaci </v>
          </cell>
          <cell r="H4319">
            <v>34.06</v>
          </cell>
        </row>
        <row r="4320">
          <cell r="A4320">
            <v>46224</v>
          </cell>
          <cell r="C4320" t="str">
            <v xml:space="preserve">Itapaci </v>
          </cell>
          <cell r="H4320">
            <v>34.56</v>
          </cell>
        </row>
        <row r="4321">
          <cell r="A4321">
            <v>46224</v>
          </cell>
          <cell r="C4321" t="str">
            <v xml:space="preserve">Itapaci </v>
          </cell>
          <cell r="H4321">
            <v>34.74</v>
          </cell>
        </row>
        <row r="4322">
          <cell r="A4322">
            <v>46225</v>
          </cell>
          <cell r="C4322" t="str">
            <v xml:space="preserve">Itapaci </v>
          </cell>
          <cell r="H4322">
            <v>64.52</v>
          </cell>
        </row>
        <row r="4323">
          <cell r="A4323">
            <v>46224</v>
          </cell>
          <cell r="C4323" t="str">
            <v xml:space="preserve">Itapaci </v>
          </cell>
          <cell r="H4323">
            <v>34.58</v>
          </cell>
        </row>
        <row r="4324">
          <cell r="A4324">
            <v>46225</v>
          </cell>
          <cell r="C4324" t="str">
            <v xml:space="preserve">Itapaci </v>
          </cell>
          <cell r="H4324">
            <v>42.16</v>
          </cell>
        </row>
        <row r="4325">
          <cell r="A4325">
            <v>46225</v>
          </cell>
          <cell r="C4325" t="str">
            <v xml:space="preserve">Itapaci </v>
          </cell>
          <cell r="H4325">
            <v>41.84</v>
          </cell>
        </row>
        <row r="4326">
          <cell r="A4326">
            <v>46224</v>
          </cell>
          <cell r="C4326" t="str">
            <v xml:space="preserve">Itapaci </v>
          </cell>
          <cell r="H4326">
            <v>33.74</v>
          </cell>
        </row>
        <row r="4327">
          <cell r="A4327">
            <v>46224</v>
          </cell>
          <cell r="C4327" t="str">
            <v xml:space="preserve">Itapaci </v>
          </cell>
          <cell r="H4327">
            <v>34.46</v>
          </cell>
        </row>
        <row r="4328">
          <cell r="A4328">
            <v>46224</v>
          </cell>
          <cell r="C4328" t="str">
            <v xml:space="preserve">Itapaci </v>
          </cell>
          <cell r="H4328">
            <v>34.96</v>
          </cell>
        </row>
        <row r="4329">
          <cell r="A4329">
            <v>46224</v>
          </cell>
          <cell r="C4329" t="str">
            <v xml:space="preserve">Itapaci </v>
          </cell>
          <cell r="H4329">
            <v>33.54</v>
          </cell>
        </row>
        <row r="4330">
          <cell r="A4330">
            <v>46225</v>
          </cell>
          <cell r="C4330" t="str">
            <v xml:space="preserve">Itapaci </v>
          </cell>
          <cell r="H4330">
            <v>32.92</v>
          </cell>
        </row>
        <row r="4331">
          <cell r="A4331">
            <v>46225</v>
          </cell>
          <cell r="C4331" t="str">
            <v xml:space="preserve">Itapaci </v>
          </cell>
          <cell r="H4331">
            <v>34.299999999999997</v>
          </cell>
        </row>
        <row r="4332">
          <cell r="A4332">
            <v>46225</v>
          </cell>
          <cell r="C4332" t="str">
            <v xml:space="preserve">Itapaci </v>
          </cell>
          <cell r="H4332">
            <v>34.799999999999997</v>
          </cell>
        </row>
        <row r="4333">
          <cell r="A4333">
            <v>46225</v>
          </cell>
          <cell r="C4333" t="str">
            <v xml:space="preserve">Itapaci </v>
          </cell>
          <cell r="H4333">
            <v>29.6</v>
          </cell>
        </row>
        <row r="4334">
          <cell r="A4334">
            <v>46225</v>
          </cell>
          <cell r="C4334" t="str">
            <v xml:space="preserve">Itapaci </v>
          </cell>
          <cell r="H4334">
            <v>33.14</v>
          </cell>
        </row>
        <row r="4335">
          <cell r="A4335">
            <v>46225</v>
          </cell>
          <cell r="C4335" t="str">
            <v xml:space="preserve">Itapaci </v>
          </cell>
          <cell r="H4335">
            <v>51.84</v>
          </cell>
        </row>
        <row r="4336">
          <cell r="A4336">
            <v>46225</v>
          </cell>
          <cell r="C4336" t="str">
            <v xml:space="preserve">Itapaci </v>
          </cell>
          <cell r="H4336">
            <v>33.42</v>
          </cell>
        </row>
        <row r="4337">
          <cell r="A4337">
            <v>46225</v>
          </cell>
          <cell r="C4337" t="str">
            <v xml:space="preserve">Itapaci </v>
          </cell>
          <cell r="H4337">
            <v>44.2</v>
          </cell>
        </row>
        <row r="4338">
          <cell r="A4338">
            <v>46225</v>
          </cell>
          <cell r="C4338" t="str">
            <v xml:space="preserve">Itapaci </v>
          </cell>
          <cell r="H4338">
            <v>36.24</v>
          </cell>
        </row>
        <row r="4339">
          <cell r="A4339">
            <v>46225</v>
          </cell>
          <cell r="C4339" t="str">
            <v xml:space="preserve">Itapaci </v>
          </cell>
          <cell r="H4339">
            <v>34.700000000000003</v>
          </cell>
        </row>
        <row r="4340">
          <cell r="A4340">
            <v>46225</v>
          </cell>
          <cell r="C4340" t="str">
            <v xml:space="preserve">Itapaci </v>
          </cell>
          <cell r="H4340">
            <v>65.34</v>
          </cell>
        </row>
        <row r="4341">
          <cell r="A4341">
            <v>46225</v>
          </cell>
          <cell r="C4341" t="str">
            <v xml:space="preserve">Bela Vista </v>
          </cell>
          <cell r="H4341">
            <v>40.799999999999997</v>
          </cell>
        </row>
        <row r="4342">
          <cell r="A4342">
            <v>46225</v>
          </cell>
          <cell r="C4342" t="str">
            <v xml:space="preserve">Bela Vista </v>
          </cell>
          <cell r="H4342">
            <v>37.54</v>
          </cell>
        </row>
        <row r="4343">
          <cell r="A4343">
            <v>46225</v>
          </cell>
          <cell r="C4343" t="str">
            <v xml:space="preserve">Bela Vista </v>
          </cell>
          <cell r="H4343">
            <v>48.34</v>
          </cell>
        </row>
        <row r="4344">
          <cell r="A4344">
            <v>46225</v>
          </cell>
          <cell r="C4344" t="str">
            <v xml:space="preserve">Bela Vista </v>
          </cell>
          <cell r="H4344">
            <v>38.700000000000003</v>
          </cell>
        </row>
        <row r="4345">
          <cell r="A4345">
            <v>46226</v>
          </cell>
          <cell r="C4345" t="str">
            <v xml:space="preserve">Bela Vista </v>
          </cell>
          <cell r="H4345">
            <v>39.96</v>
          </cell>
        </row>
        <row r="4346">
          <cell r="A4346">
            <v>46225</v>
          </cell>
          <cell r="C4346" t="str">
            <v xml:space="preserve">Bela Vista </v>
          </cell>
          <cell r="H4346">
            <v>41.58</v>
          </cell>
        </row>
        <row r="4347">
          <cell r="A4347">
            <v>46225</v>
          </cell>
          <cell r="C4347" t="str">
            <v xml:space="preserve">Bela Vista </v>
          </cell>
          <cell r="H4347">
            <v>37.5</v>
          </cell>
        </row>
        <row r="4348">
          <cell r="A4348">
            <v>46225</v>
          </cell>
          <cell r="C4348" t="str">
            <v xml:space="preserve">Bela Vista </v>
          </cell>
          <cell r="H4348">
            <v>39.5</v>
          </cell>
        </row>
        <row r="4349">
          <cell r="A4349">
            <v>46225</v>
          </cell>
          <cell r="C4349" t="str">
            <v xml:space="preserve">Bela Vista </v>
          </cell>
          <cell r="H4349">
            <v>39.86</v>
          </cell>
        </row>
        <row r="4350">
          <cell r="A4350">
            <v>46226</v>
          </cell>
          <cell r="C4350" t="str">
            <v xml:space="preserve">Bela Vista </v>
          </cell>
          <cell r="H4350"/>
        </row>
        <row r="4351">
          <cell r="A4351">
            <v>46226</v>
          </cell>
          <cell r="C4351" t="str">
            <v xml:space="preserve">Bela Vista </v>
          </cell>
          <cell r="H4351">
            <v>39.32</v>
          </cell>
        </row>
        <row r="4352">
          <cell r="A4352">
            <v>46226</v>
          </cell>
          <cell r="C4352" t="str">
            <v xml:space="preserve">Bela Vista </v>
          </cell>
          <cell r="H4352">
            <v>49.88</v>
          </cell>
        </row>
        <row r="4353">
          <cell r="A4353">
            <v>46226</v>
          </cell>
          <cell r="C4353" t="str">
            <v xml:space="preserve">Bela Vista </v>
          </cell>
          <cell r="H4353">
            <v>40.68</v>
          </cell>
        </row>
        <row r="4354">
          <cell r="A4354">
            <v>46226</v>
          </cell>
          <cell r="C4354" t="str">
            <v xml:space="preserve">Bela Vista </v>
          </cell>
          <cell r="H4354">
            <v>41.84</v>
          </cell>
        </row>
        <row r="4355">
          <cell r="A4355">
            <v>46226</v>
          </cell>
          <cell r="C4355" t="str">
            <v xml:space="preserve">Bela Vista </v>
          </cell>
          <cell r="H4355">
            <v>49.8</v>
          </cell>
        </row>
        <row r="4356">
          <cell r="A4356">
            <v>46225</v>
          </cell>
          <cell r="C4356" t="str">
            <v xml:space="preserve">Itapaci </v>
          </cell>
          <cell r="H4356">
            <v>34.380000000000003</v>
          </cell>
        </row>
        <row r="4357">
          <cell r="A4357">
            <v>46225</v>
          </cell>
          <cell r="C4357" t="str">
            <v xml:space="preserve">Itapaci </v>
          </cell>
          <cell r="H4357">
            <v>32.979999999999997</v>
          </cell>
        </row>
        <row r="4358">
          <cell r="A4358">
            <v>46225</v>
          </cell>
          <cell r="C4358" t="str">
            <v xml:space="preserve">Itapaci </v>
          </cell>
          <cell r="H4358">
            <v>34.46</v>
          </cell>
        </row>
        <row r="4359">
          <cell r="A4359">
            <v>46225</v>
          </cell>
          <cell r="C4359" t="str">
            <v xml:space="preserve">Itapaci </v>
          </cell>
          <cell r="H4359">
            <v>65.599999999999994</v>
          </cell>
        </row>
        <row r="4360">
          <cell r="A4360">
            <v>46225</v>
          </cell>
          <cell r="C4360" t="str">
            <v xml:space="preserve">Itapaci </v>
          </cell>
          <cell r="H4360">
            <v>44.26</v>
          </cell>
        </row>
        <row r="4361">
          <cell r="A4361">
            <v>46225</v>
          </cell>
          <cell r="C4361" t="str">
            <v xml:space="preserve">Itapaci </v>
          </cell>
          <cell r="H4361">
            <v>58.72</v>
          </cell>
        </row>
        <row r="4362">
          <cell r="A4362">
            <v>46225</v>
          </cell>
          <cell r="C4362" t="str">
            <v xml:space="preserve">Itapaci </v>
          </cell>
          <cell r="H4362">
            <v>49.58</v>
          </cell>
        </row>
        <row r="4363">
          <cell r="A4363">
            <v>46225</v>
          </cell>
          <cell r="C4363" t="str">
            <v xml:space="preserve">Itapaci </v>
          </cell>
          <cell r="H4363">
            <v>33.119999999999997</v>
          </cell>
        </row>
        <row r="4364">
          <cell r="A4364">
            <v>46225</v>
          </cell>
          <cell r="C4364" t="str">
            <v xml:space="preserve">Itapaci </v>
          </cell>
          <cell r="H4364">
            <v>66.760000000000005</v>
          </cell>
        </row>
        <row r="4365">
          <cell r="A4365">
            <v>46225</v>
          </cell>
          <cell r="C4365" t="str">
            <v xml:space="preserve">Itapaci </v>
          </cell>
          <cell r="H4365">
            <v>34.6</v>
          </cell>
        </row>
        <row r="4366">
          <cell r="A4366">
            <v>46225</v>
          </cell>
          <cell r="C4366" t="str">
            <v xml:space="preserve">Itapaci </v>
          </cell>
          <cell r="H4366">
            <v>34.64</v>
          </cell>
        </row>
        <row r="4367">
          <cell r="A4367">
            <v>46225</v>
          </cell>
          <cell r="C4367" t="str">
            <v xml:space="preserve">Itapaci </v>
          </cell>
          <cell r="H4367">
            <v>34.5</v>
          </cell>
        </row>
        <row r="4368">
          <cell r="A4368">
            <v>46225</v>
          </cell>
          <cell r="C4368" t="str">
            <v xml:space="preserve">Itapaci </v>
          </cell>
          <cell r="H4368">
            <v>34.520000000000003</v>
          </cell>
        </row>
        <row r="4369">
          <cell r="A4369">
            <v>46225</v>
          </cell>
          <cell r="C4369" t="str">
            <v xml:space="preserve">Itapaci </v>
          </cell>
          <cell r="H4369">
            <v>37.28</v>
          </cell>
        </row>
        <row r="4370">
          <cell r="A4370">
            <v>46225</v>
          </cell>
          <cell r="C4370" t="str">
            <v xml:space="preserve">Itapaci </v>
          </cell>
          <cell r="H4370">
            <v>35.6</v>
          </cell>
        </row>
        <row r="4371">
          <cell r="A4371">
            <v>46225</v>
          </cell>
          <cell r="C4371" t="str">
            <v xml:space="preserve">Itapaci </v>
          </cell>
          <cell r="H4371">
            <v>34.76</v>
          </cell>
        </row>
        <row r="4372">
          <cell r="A4372">
            <v>46225</v>
          </cell>
          <cell r="C4372" t="str">
            <v xml:space="preserve">Itapaci </v>
          </cell>
          <cell r="H4372">
            <v>34.86</v>
          </cell>
        </row>
        <row r="4373">
          <cell r="A4373">
            <v>46225</v>
          </cell>
          <cell r="C4373" t="str">
            <v xml:space="preserve">Itapaci </v>
          </cell>
          <cell r="H4373">
            <v>33.94</v>
          </cell>
        </row>
        <row r="4374">
          <cell r="A4374">
            <v>46225</v>
          </cell>
          <cell r="C4374" t="str">
            <v xml:space="preserve">Itapaci </v>
          </cell>
          <cell r="H4374">
            <v>35.4</v>
          </cell>
        </row>
        <row r="4375">
          <cell r="A4375">
            <v>46225</v>
          </cell>
          <cell r="C4375" t="str">
            <v xml:space="preserve">Itapaci </v>
          </cell>
          <cell r="H4375">
            <v>34.58</v>
          </cell>
        </row>
        <row r="4376">
          <cell r="A4376">
            <v>46225</v>
          </cell>
          <cell r="C4376" t="str">
            <v xml:space="preserve">Itapaci </v>
          </cell>
          <cell r="H4376">
            <v>37.44</v>
          </cell>
        </row>
        <row r="4377">
          <cell r="A4377">
            <v>46225</v>
          </cell>
          <cell r="C4377" t="str">
            <v xml:space="preserve">Itapaci </v>
          </cell>
          <cell r="H4377">
            <v>35.58</v>
          </cell>
        </row>
        <row r="4378">
          <cell r="A4378">
            <v>46225</v>
          </cell>
          <cell r="C4378" t="str">
            <v xml:space="preserve">Itapaci </v>
          </cell>
          <cell r="H4378">
            <v>44.92</v>
          </cell>
        </row>
        <row r="4379">
          <cell r="A4379">
            <v>46225</v>
          </cell>
          <cell r="C4379" t="str">
            <v xml:space="preserve">Itapaci </v>
          </cell>
          <cell r="H4379">
            <v>44.56</v>
          </cell>
        </row>
        <row r="4380">
          <cell r="A4380">
            <v>46225</v>
          </cell>
          <cell r="C4380" t="str">
            <v xml:space="preserve">Itapaci </v>
          </cell>
          <cell r="H4380">
            <v>46.6</v>
          </cell>
        </row>
        <row r="4381">
          <cell r="A4381">
            <v>46225</v>
          </cell>
          <cell r="C4381" t="str">
            <v xml:space="preserve">Itapaci </v>
          </cell>
          <cell r="H4381">
            <v>33.700000000000003</v>
          </cell>
        </row>
        <row r="4382">
          <cell r="A4382">
            <v>46225</v>
          </cell>
          <cell r="C4382" t="str">
            <v xml:space="preserve">Itapaci </v>
          </cell>
          <cell r="H4382">
            <v>68.06</v>
          </cell>
        </row>
        <row r="4383">
          <cell r="A4383">
            <v>46225</v>
          </cell>
          <cell r="C4383" t="str">
            <v xml:space="preserve">Itapaci </v>
          </cell>
          <cell r="H4383">
            <v>34.380000000000003</v>
          </cell>
        </row>
        <row r="4384">
          <cell r="A4384">
            <v>46225</v>
          </cell>
          <cell r="C4384" t="str">
            <v xml:space="preserve">Itapaci </v>
          </cell>
          <cell r="H4384">
            <v>66</v>
          </cell>
        </row>
        <row r="4385">
          <cell r="A4385">
            <v>46225</v>
          </cell>
          <cell r="C4385" t="str">
            <v xml:space="preserve">Itapaci </v>
          </cell>
          <cell r="H4385">
            <v>42.46</v>
          </cell>
        </row>
        <row r="4386">
          <cell r="A4386">
            <v>46225</v>
          </cell>
          <cell r="C4386" t="str">
            <v xml:space="preserve">Itapaci </v>
          </cell>
          <cell r="H4386">
            <v>65.38</v>
          </cell>
        </row>
        <row r="4387">
          <cell r="A4387">
            <v>46226</v>
          </cell>
          <cell r="C4387" t="str">
            <v xml:space="preserve">Itapaci </v>
          </cell>
          <cell r="H4387">
            <v>61.86</v>
          </cell>
        </row>
        <row r="4388">
          <cell r="A4388">
            <v>46225</v>
          </cell>
          <cell r="C4388" t="str">
            <v xml:space="preserve">Itapaci </v>
          </cell>
          <cell r="H4388">
            <v>33.700000000000003</v>
          </cell>
        </row>
        <row r="4389">
          <cell r="A4389">
            <v>46226</v>
          </cell>
          <cell r="C4389" t="str">
            <v xml:space="preserve">Itapaci </v>
          </cell>
          <cell r="H4389">
            <v>34.1</v>
          </cell>
        </row>
        <row r="4390">
          <cell r="A4390">
            <v>46225</v>
          </cell>
          <cell r="C4390" t="str">
            <v xml:space="preserve">Itapaci </v>
          </cell>
          <cell r="H4390">
            <v>33.299999999999997</v>
          </cell>
        </row>
        <row r="4391">
          <cell r="A4391">
            <v>46225</v>
          </cell>
          <cell r="C4391" t="str">
            <v xml:space="preserve">Itapaci </v>
          </cell>
          <cell r="H4391">
            <v>34.18</v>
          </cell>
        </row>
        <row r="4392">
          <cell r="A4392">
            <v>46225</v>
          </cell>
          <cell r="C4392" t="str">
            <v xml:space="preserve">Itapaci </v>
          </cell>
          <cell r="H4392">
            <v>33.94</v>
          </cell>
        </row>
        <row r="4393">
          <cell r="A4393">
            <v>46225</v>
          </cell>
          <cell r="C4393" t="str">
            <v xml:space="preserve">Itapaci </v>
          </cell>
          <cell r="H4393">
            <v>34.6</v>
          </cell>
        </row>
        <row r="4394">
          <cell r="A4394">
            <v>46225</v>
          </cell>
          <cell r="C4394" t="str">
            <v xml:space="preserve">Itapaci </v>
          </cell>
          <cell r="H4394">
            <v>34.68</v>
          </cell>
        </row>
        <row r="4395">
          <cell r="A4395">
            <v>46226</v>
          </cell>
          <cell r="C4395" t="str">
            <v xml:space="preserve">Itapaci </v>
          </cell>
          <cell r="H4395">
            <v>68.42</v>
          </cell>
        </row>
        <row r="4396">
          <cell r="A4396">
            <v>46226</v>
          </cell>
          <cell r="C4396" t="str">
            <v xml:space="preserve">Itapaci </v>
          </cell>
          <cell r="H4396">
            <v>31.92</v>
          </cell>
        </row>
        <row r="4397">
          <cell r="A4397">
            <v>46226</v>
          </cell>
          <cell r="C4397" t="str">
            <v xml:space="preserve">Itapaci </v>
          </cell>
          <cell r="H4397">
            <v>34.74</v>
          </cell>
        </row>
        <row r="4398">
          <cell r="A4398">
            <v>46226</v>
          </cell>
          <cell r="C4398" t="str">
            <v xml:space="preserve">Itapaci </v>
          </cell>
          <cell r="H4398">
            <v>33.6</v>
          </cell>
        </row>
        <row r="4399">
          <cell r="A4399">
            <v>46226</v>
          </cell>
          <cell r="C4399" t="str">
            <v xml:space="preserve">Itapaci </v>
          </cell>
          <cell r="H4399">
            <v>34.4</v>
          </cell>
        </row>
        <row r="4400">
          <cell r="A4400">
            <v>46226</v>
          </cell>
          <cell r="C4400" t="str">
            <v xml:space="preserve">Itapaci </v>
          </cell>
          <cell r="H4400">
            <v>36.26</v>
          </cell>
        </row>
        <row r="4401">
          <cell r="A4401">
            <v>46226</v>
          </cell>
          <cell r="C4401" t="str">
            <v xml:space="preserve">Itapaci </v>
          </cell>
          <cell r="H4401">
            <v>35.86</v>
          </cell>
        </row>
        <row r="4402">
          <cell r="A4402">
            <v>46226</v>
          </cell>
          <cell r="C4402" t="str">
            <v xml:space="preserve">Itapaci </v>
          </cell>
          <cell r="H4402">
            <v>35.54</v>
          </cell>
        </row>
        <row r="4403">
          <cell r="A4403">
            <v>46226</v>
          </cell>
          <cell r="C4403" t="str">
            <v xml:space="preserve">Itapaci </v>
          </cell>
          <cell r="H4403">
            <v>35.340000000000003</v>
          </cell>
        </row>
        <row r="4404">
          <cell r="A4404">
            <v>46226</v>
          </cell>
          <cell r="C4404" t="str">
            <v xml:space="preserve">Itapaci </v>
          </cell>
          <cell r="H4404">
            <v>34.78</v>
          </cell>
        </row>
        <row r="4405">
          <cell r="A4405">
            <v>46226</v>
          </cell>
          <cell r="C4405" t="str">
            <v xml:space="preserve">Itapaci </v>
          </cell>
          <cell r="H4405">
            <v>34.979999999999997</v>
          </cell>
        </row>
        <row r="4406">
          <cell r="A4406">
            <v>46226</v>
          </cell>
          <cell r="C4406" t="str">
            <v xml:space="preserve">Itapaci </v>
          </cell>
          <cell r="H4406">
            <v>34.92</v>
          </cell>
        </row>
        <row r="4407">
          <cell r="A4407">
            <v>46226</v>
          </cell>
          <cell r="C4407" t="str">
            <v xml:space="preserve">Itapaci </v>
          </cell>
          <cell r="H4407">
            <v>44.28</v>
          </cell>
        </row>
        <row r="4408">
          <cell r="A4408">
            <v>46226</v>
          </cell>
          <cell r="C4408" t="str">
            <v xml:space="preserve">Itapaci </v>
          </cell>
          <cell r="H4408">
            <v>34.880000000000003</v>
          </cell>
        </row>
        <row r="4409">
          <cell r="A4409">
            <v>46226</v>
          </cell>
          <cell r="C4409" t="str">
            <v xml:space="preserve">Bela Vista </v>
          </cell>
          <cell r="H4409">
            <v>41.54</v>
          </cell>
        </row>
        <row r="4410">
          <cell r="A4410">
            <v>46226</v>
          </cell>
          <cell r="C4410" t="str">
            <v xml:space="preserve">Bela Vista </v>
          </cell>
          <cell r="H4410">
            <v>40.24</v>
          </cell>
        </row>
        <row r="4411">
          <cell r="A4411">
            <v>46226</v>
          </cell>
          <cell r="C4411" t="str">
            <v xml:space="preserve">Bela Vista </v>
          </cell>
          <cell r="H4411">
            <v>40.96</v>
          </cell>
        </row>
        <row r="4412">
          <cell r="A4412">
            <v>46226</v>
          </cell>
          <cell r="C4412" t="str">
            <v xml:space="preserve">Bela Vista </v>
          </cell>
          <cell r="H4412">
            <v>53.28</v>
          </cell>
        </row>
        <row r="4413">
          <cell r="A4413">
            <v>46226</v>
          </cell>
          <cell r="C4413" t="str">
            <v xml:space="preserve">Bela Vista </v>
          </cell>
          <cell r="H4413">
            <v>40.5</v>
          </cell>
        </row>
        <row r="4414">
          <cell r="A4414">
            <v>46226</v>
          </cell>
          <cell r="C4414" t="str">
            <v xml:space="preserve">Bela Vista </v>
          </cell>
          <cell r="H4414">
            <v>37.54</v>
          </cell>
        </row>
        <row r="4415">
          <cell r="A4415">
            <v>46226</v>
          </cell>
          <cell r="C4415" t="str">
            <v xml:space="preserve">Bela Vista </v>
          </cell>
          <cell r="H4415">
            <v>39.520000000000003</v>
          </cell>
        </row>
        <row r="4416">
          <cell r="A4416">
            <v>46226</v>
          </cell>
          <cell r="C4416" t="str">
            <v xml:space="preserve">Bela Vista </v>
          </cell>
          <cell r="H4416">
            <v>41.16</v>
          </cell>
        </row>
        <row r="4417">
          <cell r="A4417">
            <v>46226</v>
          </cell>
          <cell r="C4417" t="str">
            <v xml:space="preserve">Bela Vista </v>
          </cell>
          <cell r="H4417">
            <v>37.24</v>
          </cell>
        </row>
        <row r="4418">
          <cell r="A4418">
            <v>46226</v>
          </cell>
          <cell r="C4418" t="str">
            <v xml:space="preserve">Bela Vista </v>
          </cell>
          <cell r="H4418">
            <v>39.380000000000003</v>
          </cell>
        </row>
        <row r="4419">
          <cell r="A4419">
            <v>46226</v>
          </cell>
          <cell r="C4419" t="str">
            <v xml:space="preserve">Bela Vista </v>
          </cell>
          <cell r="H4419">
            <v>40.46</v>
          </cell>
        </row>
        <row r="4420">
          <cell r="A4420">
            <v>46226</v>
          </cell>
          <cell r="C4420" t="str">
            <v xml:space="preserve">Bela Vista </v>
          </cell>
          <cell r="H4420">
            <v>41.4</v>
          </cell>
        </row>
        <row r="4421">
          <cell r="A4421">
            <v>46226</v>
          </cell>
          <cell r="C4421" t="str">
            <v xml:space="preserve">Bela Vista </v>
          </cell>
          <cell r="H4421">
            <v>36.68</v>
          </cell>
        </row>
        <row r="4422">
          <cell r="A4422">
            <v>46226</v>
          </cell>
          <cell r="C4422" t="str">
            <v xml:space="preserve">Bela Vista </v>
          </cell>
          <cell r="H4422">
            <v>38.14</v>
          </cell>
        </row>
        <row r="4423">
          <cell r="A4423">
            <v>46226</v>
          </cell>
          <cell r="C4423" t="str">
            <v xml:space="preserve">Bela Vista </v>
          </cell>
          <cell r="H4423">
            <v>49.82</v>
          </cell>
        </row>
        <row r="4424">
          <cell r="A4424">
            <v>46226</v>
          </cell>
          <cell r="C4424" t="str">
            <v xml:space="preserve">Bela Vista </v>
          </cell>
          <cell r="H4424">
            <v>38.26</v>
          </cell>
        </row>
        <row r="4425">
          <cell r="A4425">
            <v>46227</v>
          </cell>
          <cell r="C4425" t="str">
            <v xml:space="preserve">Bela Vista </v>
          </cell>
          <cell r="H4425">
            <v>49.12</v>
          </cell>
        </row>
        <row r="4426">
          <cell r="A4426">
            <v>46227</v>
          </cell>
          <cell r="C4426" t="str">
            <v xml:space="preserve">Bela Vista </v>
          </cell>
          <cell r="H4426">
            <v>39</v>
          </cell>
        </row>
        <row r="4427">
          <cell r="A4427">
            <v>46227</v>
          </cell>
          <cell r="C4427" t="str">
            <v xml:space="preserve">Bela Vista </v>
          </cell>
          <cell r="H4427">
            <v>39.020000000000003</v>
          </cell>
        </row>
        <row r="4428">
          <cell r="A4428">
            <v>46227</v>
          </cell>
          <cell r="C4428" t="str">
            <v xml:space="preserve">Bela Vista </v>
          </cell>
          <cell r="H4428">
            <v>39.42</v>
          </cell>
        </row>
        <row r="4429">
          <cell r="A4429">
            <v>46227</v>
          </cell>
          <cell r="C4429" t="str">
            <v xml:space="preserve">Bela Vista </v>
          </cell>
          <cell r="H4429">
            <v>41.62</v>
          </cell>
        </row>
        <row r="4430">
          <cell r="A4430">
            <v>46227</v>
          </cell>
          <cell r="C4430" t="str">
            <v xml:space="preserve">Bela Vista </v>
          </cell>
          <cell r="H4430">
            <v>40.1</v>
          </cell>
        </row>
        <row r="4431">
          <cell r="A4431">
            <v>46227</v>
          </cell>
          <cell r="C4431" t="str">
            <v xml:space="preserve">Bela Vista </v>
          </cell>
          <cell r="H4431">
            <v>47.48</v>
          </cell>
        </row>
        <row r="4432">
          <cell r="A4432">
            <v>46226</v>
          </cell>
          <cell r="C4432" t="str">
            <v xml:space="preserve">Itapaci </v>
          </cell>
          <cell r="H4432">
            <v>35.58</v>
          </cell>
        </row>
        <row r="4433">
          <cell r="A4433">
            <v>46226</v>
          </cell>
          <cell r="C4433" t="str">
            <v xml:space="preserve">Itapaci </v>
          </cell>
          <cell r="H4433">
            <v>34.92</v>
          </cell>
        </row>
        <row r="4434">
          <cell r="A4434">
            <v>46226</v>
          </cell>
          <cell r="C4434" t="str">
            <v xml:space="preserve">Itapaci </v>
          </cell>
          <cell r="H4434">
            <v>35.78</v>
          </cell>
        </row>
        <row r="4435">
          <cell r="A4435">
            <v>46226</v>
          </cell>
          <cell r="C4435" t="str">
            <v xml:space="preserve">Itapaci </v>
          </cell>
          <cell r="H4435">
            <v>44.34</v>
          </cell>
        </row>
        <row r="4436">
          <cell r="A4436">
            <v>46226</v>
          </cell>
          <cell r="C4436" t="str">
            <v xml:space="preserve">Itapaci </v>
          </cell>
          <cell r="H4436">
            <v>46.26</v>
          </cell>
        </row>
        <row r="4437">
          <cell r="A4437">
            <v>46226</v>
          </cell>
          <cell r="C4437" t="str">
            <v xml:space="preserve">Itapaci </v>
          </cell>
          <cell r="H4437">
            <v>67.56</v>
          </cell>
        </row>
        <row r="4438">
          <cell r="A4438">
            <v>46226</v>
          </cell>
          <cell r="C4438" t="str">
            <v xml:space="preserve">Itapaci </v>
          </cell>
          <cell r="H4438">
            <v>69.680000000000007</v>
          </cell>
        </row>
        <row r="4439">
          <cell r="A4439">
            <v>46226</v>
          </cell>
          <cell r="C4439" t="str">
            <v xml:space="preserve">Itapaci </v>
          </cell>
          <cell r="H4439">
            <v>67.959999999999994</v>
          </cell>
        </row>
        <row r="4440">
          <cell r="A4440">
            <v>46226</v>
          </cell>
          <cell r="C4440" t="str">
            <v xml:space="preserve">Itapaci </v>
          </cell>
          <cell r="H4440">
            <v>35.36</v>
          </cell>
        </row>
        <row r="4441">
          <cell r="A4441">
            <v>46226</v>
          </cell>
          <cell r="C4441" t="str">
            <v xml:space="preserve">Itapaci </v>
          </cell>
          <cell r="H4441">
            <v>36.9</v>
          </cell>
        </row>
        <row r="4442">
          <cell r="C4442" t="str">
            <v xml:space="preserve">Itapaci </v>
          </cell>
          <cell r="H4442">
            <v>36.68</v>
          </cell>
        </row>
        <row r="4443">
          <cell r="A4443">
            <v>46226</v>
          </cell>
          <cell r="C4443" t="str">
            <v xml:space="preserve">Itapaci </v>
          </cell>
          <cell r="H4443">
            <v>43.8</v>
          </cell>
        </row>
        <row r="4444">
          <cell r="A4444">
            <v>46226</v>
          </cell>
          <cell r="C4444" t="str">
            <v xml:space="preserve">Itapaci </v>
          </cell>
          <cell r="H4444">
            <v>36.58</v>
          </cell>
        </row>
        <row r="4445">
          <cell r="A4445">
            <v>46226</v>
          </cell>
          <cell r="C4445" t="str">
            <v xml:space="preserve">Itapaci </v>
          </cell>
          <cell r="H4445">
            <v>35.64</v>
          </cell>
        </row>
        <row r="4446">
          <cell r="A4446">
            <v>46226</v>
          </cell>
          <cell r="C4446" t="str">
            <v xml:space="preserve">Itapaci </v>
          </cell>
          <cell r="H4446">
            <v>35.32</v>
          </cell>
        </row>
        <row r="4447">
          <cell r="A4447">
            <v>46226</v>
          </cell>
          <cell r="C4447" t="str">
            <v xml:space="preserve">Itapaci </v>
          </cell>
          <cell r="H4447">
            <v>36.78</v>
          </cell>
        </row>
        <row r="4448">
          <cell r="A4448">
            <v>46226</v>
          </cell>
          <cell r="C4448" t="str">
            <v xml:space="preserve">Itapaci </v>
          </cell>
          <cell r="H4448">
            <v>35.659999999999997</v>
          </cell>
        </row>
        <row r="4449">
          <cell r="A4449">
            <v>46226</v>
          </cell>
          <cell r="C4449" t="str">
            <v xml:space="preserve">Itapaci </v>
          </cell>
          <cell r="H4449">
            <v>70.540000000000006</v>
          </cell>
        </row>
        <row r="4450">
          <cell r="A4450">
            <v>46226</v>
          </cell>
          <cell r="C4450" t="str">
            <v xml:space="preserve">Itapaci </v>
          </cell>
          <cell r="H4450">
            <v>36.619999999999997</v>
          </cell>
        </row>
        <row r="4451">
          <cell r="A4451">
            <v>46226</v>
          </cell>
          <cell r="C4451" t="str">
            <v xml:space="preserve">Itapaci </v>
          </cell>
          <cell r="H4451">
            <v>47.52</v>
          </cell>
        </row>
        <row r="4452">
          <cell r="A4452">
            <v>46226</v>
          </cell>
          <cell r="C4452" t="str">
            <v xml:space="preserve">Itapaci </v>
          </cell>
          <cell r="H4452">
            <v>35.74</v>
          </cell>
        </row>
        <row r="4453">
          <cell r="A4453">
            <v>46226</v>
          </cell>
          <cell r="C4453" t="str">
            <v xml:space="preserve">Itapaci </v>
          </cell>
          <cell r="H4453">
            <v>36.58</v>
          </cell>
        </row>
        <row r="4454">
          <cell r="A4454">
            <v>46226</v>
          </cell>
          <cell r="C4454" t="str">
            <v xml:space="preserve">Itapaci </v>
          </cell>
          <cell r="H4454">
            <v>35.08</v>
          </cell>
        </row>
        <row r="4455">
          <cell r="A4455">
            <v>46226</v>
          </cell>
          <cell r="C4455" t="str">
            <v xml:space="preserve">Itapaci </v>
          </cell>
          <cell r="H4455">
            <v>35.46</v>
          </cell>
        </row>
        <row r="4456">
          <cell r="A4456">
            <v>46226</v>
          </cell>
          <cell r="C4456" t="str">
            <v xml:space="preserve">Itapaci </v>
          </cell>
          <cell r="H4456">
            <v>35.68</v>
          </cell>
        </row>
        <row r="4457">
          <cell r="A4457">
            <v>46226</v>
          </cell>
          <cell r="C4457" t="str">
            <v xml:space="preserve">Itapaci </v>
          </cell>
          <cell r="H4457">
            <v>36.36</v>
          </cell>
        </row>
        <row r="4458">
          <cell r="C4458" t="str">
            <v xml:space="preserve">Itapaci </v>
          </cell>
          <cell r="H4458">
            <v>33.24</v>
          </cell>
        </row>
        <row r="4459">
          <cell r="A4459">
            <v>46226</v>
          </cell>
          <cell r="C4459" t="str">
            <v xml:space="preserve">Itapaci </v>
          </cell>
          <cell r="H4459">
            <v>35.06</v>
          </cell>
        </row>
        <row r="4460">
          <cell r="A4460">
            <v>46226</v>
          </cell>
          <cell r="C4460" t="str">
            <v xml:space="preserve">Itapaci </v>
          </cell>
          <cell r="H4460">
            <v>67.84</v>
          </cell>
        </row>
        <row r="4461">
          <cell r="A4461">
            <v>46226</v>
          </cell>
          <cell r="C4461" t="str">
            <v xml:space="preserve">Itapaci </v>
          </cell>
          <cell r="H4461">
            <v>36.200000000000003</v>
          </cell>
        </row>
        <row r="4462">
          <cell r="C4462" t="str">
            <v xml:space="preserve">Itapaci </v>
          </cell>
          <cell r="H4462">
            <v>34.58</v>
          </cell>
        </row>
        <row r="4463">
          <cell r="C4463" t="str">
            <v xml:space="preserve">Itapaci </v>
          </cell>
          <cell r="H4463">
            <v>36.54</v>
          </cell>
        </row>
        <row r="4464">
          <cell r="A4464">
            <v>46226</v>
          </cell>
          <cell r="C4464" t="str">
            <v xml:space="preserve">Itapaci </v>
          </cell>
          <cell r="H4464">
            <v>67.239999999999995</v>
          </cell>
        </row>
        <row r="4465">
          <cell r="A4465">
            <v>46226</v>
          </cell>
          <cell r="C4465" t="str">
            <v xml:space="preserve">Itapaci </v>
          </cell>
          <cell r="H4465">
            <v>67.34</v>
          </cell>
        </row>
        <row r="4466">
          <cell r="C4466" t="str">
            <v xml:space="preserve">Itapaci </v>
          </cell>
          <cell r="H4466">
            <v>69.22</v>
          </cell>
        </row>
        <row r="4467">
          <cell r="C4467" t="str">
            <v xml:space="preserve">Itapaci </v>
          </cell>
          <cell r="H4467">
            <v>36.28</v>
          </cell>
        </row>
        <row r="4468">
          <cell r="C4468" t="str">
            <v xml:space="preserve">Itapaci </v>
          </cell>
          <cell r="H4468">
            <v>35.24</v>
          </cell>
        </row>
        <row r="4469">
          <cell r="C4469" t="str">
            <v xml:space="preserve">Itapaci </v>
          </cell>
          <cell r="H4469">
            <v>35.56</v>
          </cell>
        </row>
        <row r="4470">
          <cell r="C4470" t="str">
            <v xml:space="preserve">Itapaci </v>
          </cell>
          <cell r="H4470">
            <v>37.32</v>
          </cell>
        </row>
        <row r="4471">
          <cell r="C4471" t="str">
            <v xml:space="preserve">Itapaci </v>
          </cell>
          <cell r="H4471">
            <v>35.5</v>
          </cell>
        </row>
        <row r="4472">
          <cell r="C4472" t="str">
            <v xml:space="preserve">Itapaci </v>
          </cell>
          <cell r="H4472">
            <v>34.979999999999997</v>
          </cell>
        </row>
        <row r="4473">
          <cell r="C4473" t="str">
            <v xml:space="preserve">Itapaci </v>
          </cell>
          <cell r="H4473">
            <v>36.22</v>
          </cell>
        </row>
        <row r="4474">
          <cell r="C4474" t="str">
            <v xml:space="preserve">Itapaci </v>
          </cell>
          <cell r="H4474">
            <v>35.299999999999997</v>
          </cell>
        </row>
        <row r="4475">
          <cell r="C4475" t="str">
            <v xml:space="preserve">Itapaci </v>
          </cell>
          <cell r="H4475">
            <v>37.020000000000003</v>
          </cell>
        </row>
        <row r="4476">
          <cell r="C4476" t="str">
            <v xml:space="preserve">Itapaci </v>
          </cell>
          <cell r="H4476">
            <v>45.82</v>
          </cell>
        </row>
        <row r="4477">
          <cell r="C4477" t="str">
            <v xml:space="preserve">Itapaci </v>
          </cell>
          <cell r="H4477">
            <v>35.64</v>
          </cell>
        </row>
        <row r="4478">
          <cell r="C4478" t="str">
            <v xml:space="preserve">Itapaci </v>
          </cell>
          <cell r="H4478">
            <v>35.78</v>
          </cell>
        </row>
        <row r="4479">
          <cell r="C4479" t="str">
            <v xml:space="preserve">Itapaci </v>
          </cell>
          <cell r="H4479">
            <v>36.5</v>
          </cell>
        </row>
        <row r="4480">
          <cell r="C4480" t="str">
            <v xml:space="preserve">Itapaci </v>
          </cell>
          <cell r="H4480">
            <v>34.5</v>
          </cell>
        </row>
        <row r="4481">
          <cell r="C4481" t="str">
            <v xml:space="preserve">Itapaci </v>
          </cell>
          <cell r="H4481">
            <v>48.06</v>
          </cell>
        </row>
        <row r="4482">
          <cell r="A4482">
            <v>46227</v>
          </cell>
          <cell r="C4482" t="str">
            <v xml:space="preserve">Bela Vista </v>
          </cell>
          <cell r="H4482">
            <v>41.92</v>
          </cell>
        </row>
        <row r="4483">
          <cell r="A4483">
            <v>46227</v>
          </cell>
          <cell r="C4483" t="str">
            <v xml:space="preserve">Bela Vista </v>
          </cell>
          <cell r="H4483">
            <v>38.6</v>
          </cell>
        </row>
        <row r="4484">
          <cell r="A4484">
            <v>46227</v>
          </cell>
          <cell r="C4484" t="str">
            <v xml:space="preserve">Bela Vista </v>
          </cell>
          <cell r="H4484">
            <v>37.18</v>
          </cell>
        </row>
        <row r="4485">
          <cell r="A4485">
            <v>46227</v>
          </cell>
          <cell r="C4485" t="str">
            <v xml:space="preserve">Bela Vista </v>
          </cell>
          <cell r="H4485">
            <v>49.2</v>
          </cell>
        </row>
        <row r="4486">
          <cell r="A4486">
            <v>46227</v>
          </cell>
          <cell r="C4486" t="str">
            <v xml:space="preserve">Bela Vista </v>
          </cell>
          <cell r="H4486">
            <v>40.119999999999997</v>
          </cell>
        </row>
        <row r="4487">
          <cell r="A4487">
            <v>46227</v>
          </cell>
          <cell r="C4487" t="str">
            <v xml:space="preserve">Bela Vista </v>
          </cell>
          <cell r="H4487">
            <v>38.799999999999997</v>
          </cell>
        </row>
        <row r="4488">
          <cell r="A4488">
            <v>46227</v>
          </cell>
          <cell r="C4488" t="str">
            <v xml:space="preserve">Bela Vista </v>
          </cell>
          <cell r="H4488">
            <v>51.56</v>
          </cell>
        </row>
        <row r="4489">
          <cell r="A4489">
            <v>46227</v>
          </cell>
          <cell r="C4489" t="str">
            <v xml:space="preserve">Bela Vista </v>
          </cell>
          <cell r="H4489">
            <v>42.16</v>
          </cell>
        </row>
        <row r="4490">
          <cell r="A4490">
            <v>46227</v>
          </cell>
          <cell r="C4490" t="str">
            <v xml:space="preserve">Bela Vista </v>
          </cell>
          <cell r="H4490">
            <v>47.6</v>
          </cell>
        </row>
        <row r="4491">
          <cell r="C4491" t="str">
            <v xml:space="preserve">Bela Vista </v>
          </cell>
          <cell r="H4491">
            <v>39.26</v>
          </cell>
        </row>
        <row r="4492">
          <cell r="C4492" t="str">
            <v xml:space="preserve">Bela Vista </v>
          </cell>
          <cell r="H4492">
            <v>36.880000000000003</v>
          </cell>
        </row>
        <row r="4493">
          <cell r="C4493" t="str">
            <v xml:space="preserve">Bela Vista </v>
          </cell>
          <cell r="H4493">
            <v>39.26</v>
          </cell>
        </row>
        <row r="4494">
          <cell r="C4494" t="str">
            <v xml:space="preserve">Bela Vista </v>
          </cell>
          <cell r="H4494">
            <v>38.54</v>
          </cell>
        </row>
        <row r="4495">
          <cell r="C4495" t="str">
            <v xml:space="preserve">Bela Vista </v>
          </cell>
          <cell r="H4495">
            <v>36.880000000000003</v>
          </cell>
        </row>
        <row r="4496">
          <cell r="C4496" t="str">
            <v xml:space="preserve">Bela Vista </v>
          </cell>
          <cell r="H4496">
            <v>49.2</v>
          </cell>
        </row>
        <row r="4497">
          <cell r="C4497" t="str">
            <v xml:space="preserve">Bela Vista </v>
          </cell>
          <cell r="H4497">
            <v>46.3</v>
          </cell>
        </row>
        <row r="4498">
          <cell r="C4498" t="str">
            <v xml:space="preserve">Itapaci </v>
          </cell>
          <cell r="H4498">
            <v>34.979999999999997</v>
          </cell>
        </row>
        <row r="4499">
          <cell r="C4499" t="str">
            <v xml:space="preserve">Itapaci </v>
          </cell>
          <cell r="H4499">
            <v>35.86</v>
          </cell>
        </row>
        <row r="4500">
          <cell r="C4500" t="str">
            <v xml:space="preserve">Itapaci </v>
          </cell>
          <cell r="H4500">
            <v>65.52</v>
          </cell>
        </row>
        <row r="4501">
          <cell r="C4501" t="str">
            <v xml:space="preserve">Itapaci </v>
          </cell>
          <cell r="H4501">
            <v>65.8</v>
          </cell>
        </row>
        <row r="4502">
          <cell r="C4502" t="str">
            <v xml:space="preserve">Itapaci </v>
          </cell>
          <cell r="H4502">
            <v>65.28</v>
          </cell>
        </row>
        <row r="4503">
          <cell r="C4503" t="str">
            <v xml:space="preserve">Itapaci </v>
          </cell>
          <cell r="H4503">
            <v>66.94</v>
          </cell>
        </row>
        <row r="4504">
          <cell r="C4504" t="str">
            <v xml:space="preserve">Itapaci </v>
          </cell>
          <cell r="H4504">
            <v>31.82</v>
          </cell>
        </row>
        <row r="4505">
          <cell r="C4505" t="str">
            <v xml:space="preserve">Itapaci </v>
          </cell>
          <cell r="H4505">
            <v>40.9</v>
          </cell>
        </row>
        <row r="4506">
          <cell r="C4506" t="str">
            <v xml:space="preserve">Itapaci </v>
          </cell>
          <cell r="H4506">
            <v>67.5</v>
          </cell>
        </row>
        <row r="4507">
          <cell r="C4507" t="str">
            <v xml:space="preserve">Itapaci </v>
          </cell>
          <cell r="H4507">
            <v>45.1</v>
          </cell>
        </row>
        <row r="4508">
          <cell r="C4508" t="str">
            <v xml:space="preserve">Itapaci </v>
          </cell>
          <cell r="H4508">
            <v>35.119999999999997</v>
          </cell>
        </row>
        <row r="4509">
          <cell r="A4509">
            <v>46227</v>
          </cell>
          <cell r="C4509" t="str">
            <v xml:space="preserve">Itapaci </v>
          </cell>
          <cell r="H4509">
            <v>32.380000000000003</v>
          </cell>
        </row>
        <row r="4510">
          <cell r="A4510">
            <v>46227</v>
          </cell>
          <cell r="C4510" t="str">
            <v xml:space="preserve">Itapaci </v>
          </cell>
          <cell r="H4510">
            <v>35.36</v>
          </cell>
        </row>
        <row r="4511">
          <cell r="A4511">
            <v>46227</v>
          </cell>
          <cell r="C4511" t="str">
            <v xml:space="preserve">Itapaci </v>
          </cell>
          <cell r="H4511">
            <v>35.22</v>
          </cell>
        </row>
        <row r="4512">
          <cell r="A4512">
            <v>46227</v>
          </cell>
          <cell r="C4512" t="str">
            <v xml:space="preserve">Itapaci </v>
          </cell>
          <cell r="H4512">
            <v>34.659999999999997</v>
          </cell>
        </row>
        <row r="4513">
          <cell r="A4513">
            <v>46227</v>
          </cell>
          <cell r="C4513" t="str">
            <v xml:space="preserve">Itapaci </v>
          </cell>
          <cell r="H4513">
            <v>36.22</v>
          </cell>
        </row>
        <row r="4514">
          <cell r="A4514">
            <v>46227</v>
          </cell>
          <cell r="C4514" t="str">
            <v xml:space="preserve">Itapaci </v>
          </cell>
          <cell r="H4514">
            <v>35.36</v>
          </cell>
        </row>
        <row r="4515">
          <cell r="C4515" t="str">
            <v xml:space="preserve">Itapaci </v>
          </cell>
          <cell r="H4515">
            <v>34.119999999999997</v>
          </cell>
        </row>
        <row r="4516">
          <cell r="C4516" t="str">
            <v xml:space="preserve">Itapaci </v>
          </cell>
          <cell r="H4516">
            <v>35.64</v>
          </cell>
        </row>
        <row r="4517">
          <cell r="C4517" t="str">
            <v xml:space="preserve">Itapaci </v>
          </cell>
          <cell r="H4517">
            <v>34.020000000000003</v>
          </cell>
        </row>
        <row r="4518">
          <cell r="C4518" t="str">
            <v xml:space="preserve">Itapaci </v>
          </cell>
          <cell r="H4518">
            <v>64.98</v>
          </cell>
        </row>
        <row r="4519">
          <cell r="C4519" t="str">
            <v xml:space="preserve">Itapaci </v>
          </cell>
          <cell r="H4519">
            <v>66.239999999999995</v>
          </cell>
        </row>
        <row r="4520">
          <cell r="C4520" t="str">
            <v xml:space="preserve">Itapaci </v>
          </cell>
          <cell r="H4520">
            <v>64.36</v>
          </cell>
        </row>
        <row r="4521">
          <cell r="C4521" t="str">
            <v xml:space="preserve">Itapaci </v>
          </cell>
          <cell r="H4521">
            <v>35.159999999999997</v>
          </cell>
        </row>
        <row r="4522">
          <cell r="C4522" t="str">
            <v xml:space="preserve">Itapaci </v>
          </cell>
          <cell r="H4522">
            <v>31.72</v>
          </cell>
        </row>
        <row r="4523">
          <cell r="C4523" t="str">
            <v xml:space="preserve">Itapaci </v>
          </cell>
          <cell r="H4523">
            <v>31.12</v>
          </cell>
        </row>
        <row r="4524">
          <cell r="C4524" t="str">
            <v xml:space="preserve">Itapaci </v>
          </cell>
          <cell r="H4524">
            <v>34.42</v>
          </cell>
        </row>
        <row r="4525">
          <cell r="C4525" t="str">
            <v xml:space="preserve">Itapaci </v>
          </cell>
          <cell r="H4525">
            <v>34.659999999999997</v>
          </cell>
        </row>
        <row r="4526">
          <cell r="C4526" t="str">
            <v xml:space="preserve">Itapaci </v>
          </cell>
          <cell r="H4526">
            <v>35.04</v>
          </cell>
        </row>
        <row r="4527">
          <cell r="C4527" t="str">
            <v xml:space="preserve">Itapaci </v>
          </cell>
          <cell r="H4527">
            <v>34.28</v>
          </cell>
        </row>
        <row r="4528">
          <cell r="C4528" t="str">
            <v xml:space="preserve">Itapaci </v>
          </cell>
          <cell r="H4528">
            <v>41.48</v>
          </cell>
        </row>
        <row r="4529">
          <cell r="C4529" t="str">
            <v xml:space="preserve">Itapaci </v>
          </cell>
          <cell r="H4529">
            <v>35.1</v>
          </cell>
        </row>
        <row r="4530">
          <cell r="C4530" t="str">
            <v xml:space="preserve">Itapaci </v>
          </cell>
          <cell r="H4530">
            <v>43.96</v>
          </cell>
        </row>
        <row r="4531">
          <cell r="C4531" t="str">
            <v xml:space="preserve">Itapaci </v>
          </cell>
          <cell r="H4531">
            <v>71.38</v>
          </cell>
        </row>
        <row r="4532">
          <cell r="C4532" t="str">
            <v xml:space="preserve">Itapaci </v>
          </cell>
          <cell r="H4532">
            <v>67.64</v>
          </cell>
        </row>
        <row r="4533">
          <cell r="C4533" t="str">
            <v xml:space="preserve">Bela Vista </v>
          </cell>
          <cell r="H4533">
            <v>47.12</v>
          </cell>
        </row>
        <row r="4534">
          <cell r="C4534" t="str">
            <v xml:space="preserve">Bela Vista </v>
          </cell>
          <cell r="H4534">
            <v>35.78</v>
          </cell>
        </row>
        <row r="4535">
          <cell r="C4535" t="str">
            <v xml:space="preserve">Bela Vista </v>
          </cell>
          <cell r="H4535">
            <v>48.36</v>
          </cell>
        </row>
        <row r="4536">
          <cell r="C4536" t="str">
            <v xml:space="preserve">Bela Vista </v>
          </cell>
          <cell r="H4536">
            <v>40.159999999999997</v>
          </cell>
        </row>
        <row r="4537">
          <cell r="C4537" t="str">
            <v xml:space="preserve">Bela Vista </v>
          </cell>
          <cell r="H4537">
            <v>37.020000000000003</v>
          </cell>
        </row>
        <row r="4538">
          <cell r="C4538" t="str">
            <v xml:space="preserve">Bela Vista </v>
          </cell>
          <cell r="H4538">
            <v>39.32</v>
          </cell>
        </row>
        <row r="4539">
          <cell r="C4539" t="str">
            <v xml:space="preserve">Itapaci </v>
          </cell>
          <cell r="H4539">
            <v>34.06</v>
          </cell>
        </row>
        <row r="4540">
          <cell r="C4540" t="str">
            <v xml:space="preserve">Itapaci </v>
          </cell>
          <cell r="H4540">
            <v>36.74</v>
          </cell>
        </row>
      </sheetData>
      <sheetData sheetId="2"/>
      <sheetData sheetId="3"/>
      <sheetData sheetId="4">
        <row r="1">
          <cell r="A1" t="str">
            <v>Data de Recebimento de Material</v>
          </cell>
          <cell r="G1" t="str">
            <v>Quant. Material Recebido TON</v>
          </cell>
        </row>
        <row r="2">
          <cell r="A2">
            <v>46064</v>
          </cell>
          <cell r="G2">
            <v>35.32</v>
          </cell>
        </row>
        <row r="3">
          <cell r="A3">
            <v>46064</v>
          </cell>
          <cell r="G3">
            <v>38.200000000000003</v>
          </cell>
        </row>
        <row r="4">
          <cell r="A4">
            <v>46064</v>
          </cell>
          <cell r="G4">
            <v>38.28</v>
          </cell>
        </row>
        <row r="5">
          <cell r="A5">
            <v>46064</v>
          </cell>
          <cell r="G5">
            <v>34.64</v>
          </cell>
        </row>
        <row r="6">
          <cell r="A6">
            <v>46064</v>
          </cell>
          <cell r="G6">
            <v>34.56</v>
          </cell>
        </row>
        <row r="7">
          <cell r="A7">
            <v>46064</v>
          </cell>
          <cell r="G7">
            <v>35.200000000000003</v>
          </cell>
        </row>
        <row r="8">
          <cell r="A8">
            <v>46064</v>
          </cell>
          <cell r="G8">
            <v>34.979999999999997</v>
          </cell>
        </row>
        <row r="9">
          <cell r="A9">
            <v>46064</v>
          </cell>
          <cell r="G9">
            <v>35.619999999999997</v>
          </cell>
        </row>
        <row r="10">
          <cell r="G10">
            <v>286.79999999999995</v>
          </cell>
        </row>
      </sheetData>
      <sheetData sheetId="5"/>
      <sheetData sheetId="6"/>
    </sheetDataSet>
  </externalBook>
</externalLink>
</file>

<file path=xl/theme/theme1.xml><?xml version="1.0" encoding="utf-8"?>
<a:theme xmlns:a="http://schemas.openxmlformats.org/drawingml/2006/main" name="Tema do Office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</a:majorFont>
      <a:minorFont>
        <a:latin typeface="Aptos Narrow" panose="0211000402020202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  <a:ln w="2540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S60"/>
  <sheetViews>
    <sheetView showGridLines="0" tabSelected="1" zoomScaleNormal="100" workbookViewId="0">
      <pane ySplit="8" topLeftCell="A9" activePane="bottomLeft" state="frozen"/>
      <selection activeCell="E14" sqref="E14"/>
      <selection pane="bottomLeft" activeCell="E20" sqref="E20"/>
    </sheetView>
  </sheetViews>
  <sheetFormatPr defaultColWidth="8.54296875" defaultRowHeight="14.5" x14ac:dyDescent="0.35"/>
  <cols>
    <col min="1" max="1" width="3" customWidth="1"/>
    <col min="2" max="2" width="30" customWidth="1"/>
    <col min="3" max="5" width="16" customWidth="1"/>
    <col min="6" max="6" width="16" style="9" customWidth="1"/>
    <col min="7" max="13" width="16" customWidth="1"/>
  </cols>
  <sheetData>
    <row r="1" spans="2:19" hidden="1" x14ac:dyDescent="0.35"/>
    <row r="2" spans="2:19" ht="21.75" hidden="1" customHeight="1" x14ac:dyDescent="0.35">
      <c r="B2" s="158" t="s">
        <v>0</v>
      </c>
      <c r="C2" s="159"/>
      <c r="D2" s="159"/>
      <c r="E2" s="159"/>
      <c r="F2" s="159"/>
      <c r="G2" s="159"/>
    </row>
    <row r="3" spans="2:19" ht="15" hidden="1" customHeight="1" x14ac:dyDescent="0.35">
      <c r="B3" s="160" t="s">
        <v>1</v>
      </c>
      <c r="C3" s="161"/>
      <c r="D3" s="161"/>
      <c r="E3" s="161"/>
      <c r="F3" s="161"/>
      <c r="G3" s="162"/>
    </row>
    <row r="4" spans="2:19" ht="15" hidden="1" customHeight="1" x14ac:dyDescent="0.35">
      <c r="B4" s="163"/>
      <c r="C4" s="159"/>
      <c r="D4" s="159"/>
      <c r="E4" s="159"/>
      <c r="F4" s="159"/>
      <c r="G4" s="164"/>
    </row>
    <row r="5" spans="2:19" ht="15" hidden="1" customHeight="1" x14ac:dyDescent="0.35">
      <c r="B5" s="163"/>
      <c r="C5" s="159"/>
      <c r="D5" s="159"/>
      <c r="E5" s="159"/>
      <c r="F5" s="159"/>
      <c r="G5" s="164"/>
    </row>
    <row r="6" spans="2:19" ht="15" hidden="1" customHeight="1" x14ac:dyDescent="0.35">
      <c r="B6" s="163"/>
      <c r="C6" s="159"/>
      <c r="D6" s="159"/>
      <c r="E6" s="159"/>
      <c r="F6" s="159"/>
      <c r="G6" s="164"/>
    </row>
    <row r="7" spans="2:19" ht="15" hidden="1" customHeight="1" x14ac:dyDescent="0.35">
      <c r="B7" s="165"/>
      <c r="C7" s="166"/>
      <c r="D7" s="166"/>
      <c r="E7" s="166"/>
      <c r="F7" s="166"/>
      <c r="G7" s="167"/>
    </row>
    <row r="8" spans="2:19" hidden="1" x14ac:dyDescent="0.35"/>
    <row r="9" spans="2:19" ht="15" customHeight="1" x14ac:dyDescent="0.35">
      <c r="B9" s="1" t="s">
        <v>2</v>
      </c>
    </row>
    <row r="10" spans="2:19" ht="15" customHeight="1" x14ac:dyDescent="0.35">
      <c r="B10" s="2" t="s">
        <v>3</v>
      </c>
      <c r="C10" s="3">
        <v>46199</v>
      </c>
    </row>
    <row r="12" spans="2:19" ht="15" customHeight="1" x14ac:dyDescent="0.35">
      <c r="B12" s="1" t="s">
        <v>4</v>
      </c>
    </row>
    <row r="13" spans="2:19" ht="15" customHeight="1" x14ac:dyDescent="0.35">
      <c r="B13" s="174" t="s">
        <v>5</v>
      </c>
      <c r="C13" s="177" t="s">
        <v>240</v>
      </c>
      <c r="D13" s="178" t="s">
        <v>241</v>
      </c>
      <c r="E13" s="183" t="s">
        <v>240</v>
      </c>
      <c r="F13" s="178" t="s">
        <v>241</v>
      </c>
      <c r="G13" s="183" t="s">
        <v>240</v>
      </c>
      <c r="H13" s="178" t="s">
        <v>241</v>
      </c>
      <c r="I13" s="184" t="s">
        <v>6</v>
      </c>
      <c r="J13" s="172"/>
      <c r="K13" s="172"/>
      <c r="L13" s="173"/>
      <c r="M13" s="173"/>
      <c r="N13" s="173"/>
      <c r="O13" s="173"/>
      <c r="P13" s="173"/>
      <c r="Q13" s="173"/>
      <c r="R13" s="173"/>
      <c r="S13" s="173"/>
    </row>
    <row r="14" spans="2:19" ht="15" customHeight="1" x14ac:dyDescent="0.35">
      <c r="B14" s="175" t="s">
        <v>216</v>
      </c>
      <c r="C14" s="179">
        <v>71260</v>
      </c>
      <c r="D14" s="180">
        <v>81440</v>
      </c>
      <c r="E14" s="179">
        <v>85640</v>
      </c>
      <c r="F14" s="180">
        <v>87000</v>
      </c>
      <c r="G14" s="179"/>
      <c r="H14" s="180"/>
      <c r="I14" s="185">
        <v>87000</v>
      </c>
      <c r="J14" s="171"/>
      <c r="K14" s="171"/>
      <c r="L14" s="173"/>
      <c r="M14" s="173"/>
      <c r="N14" s="173"/>
      <c r="O14" s="173"/>
      <c r="P14" s="173"/>
      <c r="Q14" s="173"/>
      <c r="R14" s="173"/>
      <c r="S14" s="173"/>
    </row>
    <row r="15" spans="2:19" ht="15" customHeight="1" x14ac:dyDescent="0.35">
      <c r="B15" s="175" t="s">
        <v>7</v>
      </c>
      <c r="C15" s="179">
        <v>0</v>
      </c>
      <c r="D15" s="180">
        <v>67050</v>
      </c>
      <c r="E15" s="179"/>
      <c r="F15" s="180"/>
      <c r="G15" s="179"/>
      <c r="H15" s="180"/>
      <c r="I15" s="185"/>
      <c r="J15" s="171"/>
      <c r="K15" s="171"/>
      <c r="L15" s="173"/>
      <c r="M15" s="173"/>
      <c r="N15" s="173"/>
      <c r="O15" s="173"/>
      <c r="P15" s="173"/>
      <c r="Q15" s="173"/>
      <c r="R15" s="173"/>
      <c r="S15" s="173"/>
    </row>
    <row r="16" spans="2:19" ht="15" customHeight="1" x14ac:dyDescent="0.35">
      <c r="B16" s="175" t="s">
        <v>8</v>
      </c>
      <c r="C16" s="179">
        <v>0</v>
      </c>
      <c r="D16" s="180">
        <v>55700</v>
      </c>
      <c r="E16" s="179"/>
      <c r="F16" s="180"/>
      <c r="G16" s="179"/>
      <c r="H16" s="180"/>
      <c r="I16" s="185"/>
      <c r="J16" s="171"/>
      <c r="K16" s="171"/>
      <c r="L16" s="173"/>
      <c r="M16" s="173"/>
      <c r="N16" s="173"/>
      <c r="O16" s="173"/>
      <c r="P16" s="173"/>
      <c r="Q16" s="173"/>
      <c r="R16" s="173"/>
      <c r="S16" s="173"/>
    </row>
    <row r="17" spans="2:19" ht="15" customHeight="1" x14ac:dyDescent="0.35">
      <c r="B17" s="175" t="s">
        <v>9</v>
      </c>
      <c r="C17" s="179">
        <v>0</v>
      </c>
      <c r="D17" s="180">
        <v>32120</v>
      </c>
      <c r="E17" s="179">
        <v>34220</v>
      </c>
      <c r="F17" s="180">
        <v>34420</v>
      </c>
      <c r="G17" s="179">
        <v>35000</v>
      </c>
      <c r="H17" s="180">
        <v>54980</v>
      </c>
      <c r="I17" s="185"/>
      <c r="J17" s="171"/>
      <c r="K17" s="171"/>
      <c r="L17" s="173"/>
      <c r="M17" s="173"/>
      <c r="N17" s="173"/>
      <c r="O17" s="173"/>
      <c r="P17" s="173"/>
      <c r="Q17" s="173"/>
      <c r="R17" s="173"/>
      <c r="S17" s="173"/>
    </row>
    <row r="18" spans="2:19" ht="15" customHeight="1" x14ac:dyDescent="0.35">
      <c r="B18" s="175" t="s">
        <v>10</v>
      </c>
      <c r="C18" s="179">
        <v>0</v>
      </c>
      <c r="D18" s="180">
        <v>32120</v>
      </c>
      <c r="E18" s="179">
        <v>35000</v>
      </c>
      <c r="F18" s="180">
        <v>50260</v>
      </c>
      <c r="G18" s="179">
        <v>50540</v>
      </c>
      <c r="H18" s="180">
        <v>54200</v>
      </c>
      <c r="I18" s="185"/>
      <c r="J18" s="171"/>
      <c r="K18" s="171"/>
      <c r="L18" s="173"/>
      <c r="M18" s="173"/>
      <c r="N18" s="173"/>
      <c r="O18" s="173"/>
      <c r="P18" s="173"/>
      <c r="Q18" s="173"/>
      <c r="R18" s="173"/>
      <c r="S18" s="173"/>
    </row>
    <row r="19" spans="2:19" ht="15" customHeight="1" x14ac:dyDescent="0.35">
      <c r="B19" s="175" t="s">
        <v>11</v>
      </c>
      <c r="C19" s="179">
        <v>0</v>
      </c>
      <c r="D19" s="180">
        <v>21550</v>
      </c>
      <c r="E19" s="179">
        <v>22960</v>
      </c>
      <c r="F19" s="180">
        <v>25980</v>
      </c>
      <c r="G19" s="179">
        <v>26100</v>
      </c>
      <c r="H19" s="180">
        <v>30540</v>
      </c>
      <c r="I19" s="185"/>
      <c r="J19" s="171"/>
      <c r="K19" s="171"/>
      <c r="L19" s="173"/>
      <c r="M19" s="173"/>
      <c r="N19" s="173"/>
      <c r="O19" s="173"/>
      <c r="P19" s="173"/>
      <c r="Q19" s="173"/>
      <c r="R19" s="173"/>
      <c r="S19" s="173"/>
    </row>
    <row r="20" spans="2:19" ht="15" customHeight="1" x14ac:dyDescent="0.35">
      <c r="B20" s="175" t="s">
        <v>12</v>
      </c>
      <c r="C20" s="179">
        <v>0</v>
      </c>
      <c r="D20" s="180">
        <v>21600</v>
      </c>
      <c r="E20" s="179">
        <v>23000</v>
      </c>
      <c r="F20" s="180">
        <v>30580</v>
      </c>
      <c r="G20" s="179">
        <v>35000</v>
      </c>
      <c r="H20" s="180">
        <v>39000</v>
      </c>
      <c r="I20" s="185"/>
      <c r="J20" s="171"/>
      <c r="K20" s="171"/>
      <c r="L20" s="173"/>
      <c r="M20" s="173"/>
      <c r="N20" s="173"/>
      <c r="O20" s="173"/>
      <c r="P20" s="173"/>
      <c r="Q20" s="173"/>
      <c r="R20" s="173"/>
      <c r="S20" s="173"/>
    </row>
    <row r="21" spans="2:19" ht="15" customHeight="1" x14ac:dyDescent="0.35">
      <c r="B21" s="175" t="s">
        <v>13</v>
      </c>
      <c r="C21" s="179">
        <v>0</v>
      </c>
      <c r="D21" s="180">
        <v>21600</v>
      </c>
      <c r="E21" s="179">
        <v>23000</v>
      </c>
      <c r="F21" s="180">
        <v>26100</v>
      </c>
      <c r="G21" s="179"/>
      <c r="H21" s="180"/>
      <c r="I21" s="185"/>
      <c r="J21" s="171"/>
      <c r="K21" s="171"/>
      <c r="L21" s="173"/>
      <c r="M21" s="173"/>
      <c r="N21" s="173"/>
      <c r="O21" s="173"/>
      <c r="P21" s="173"/>
      <c r="Q21" s="173"/>
      <c r="R21" s="173"/>
      <c r="S21" s="173"/>
    </row>
    <row r="22" spans="2:19" ht="15" customHeight="1" x14ac:dyDescent="0.35">
      <c r="B22" s="175" t="s">
        <v>14</v>
      </c>
      <c r="C22" s="179">
        <v>0</v>
      </c>
      <c r="D22" s="180">
        <v>15100</v>
      </c>
      <c r="E22" s="179"/>
      <c r="F22" s="180"/>
      <c r="G22" s="179"/>
      <c r="H22" s="180"/>
      <c r="I22" s="185"/>
      <c r="J22" s="171"/>
      <c r="K22" s="171"/>
      <c r="L22" s="173"/>
      <c r="M22" s="173"/>
      <c r="N22" s="173"/>
      <c r="O22" s="173"/>
      <c r="P22" s="173"/>
      <c r="Q22" s="173"/>
      <c r="R22" s="173"/>
      <c r="S22" s="173"/>
    </row>
    <row r="23" spans="2:19" ht="15" customHeight="1" x14ac:dyDescent="0.35">
      <c r="B23" s="176" t="s">
        <v>242</v>
      </c>
      <c r="C23" s="179">
        <v>0</v>
      </c>
      <c r="D23" s="180">
        <v>6780</v>
      </c>
      <c r="E23" s="179">
        <v>7000</v>
      </c>
      <c r="F23" s="180">
        <v>15160</v>
      </c>
      <c r="G23" s="179"/>
      <c r="H23" s="180"/>
      <c r="I23" s="185"/>
      <c r="J23" s="171"/>
      <c r="K23" s="171"/>
      <c r="L23" s="173"/>
      <c r="M23" s="173"/>
      <c r="N23" s="173"/>
      <c r="O23" s="173"/>
      <c r="P23" s="173"/>
      <c r="Q23" s="173"/>
      <c r="R23" s="173"/>
      <c r="S23" s="173"/>
    </row>
    <row r="24" spans="2:19" ht="15" customHeight="1" x14ac:dyDescent="0.35">
      <c r="B24" s="176" t="s">
        <v>243</v>
      </c>
      <c r="C24" s="179">
        <v>0</v>
      </c>
      <c r="D24" s="180">
        <v>6780</v>
      </c>
      <c r="E24" s="179">
        <v>7000</v>
      </c>
      <c r="F24" s="180">
        <v>7880</v>
      </c>
      <c r="G24" s="179"/>
      <c r="H24" s="180"/>
      <c r="I24" s="185"/>
      <c r="J24" s="171"/>
      <c r="K24" s="171"/>
      <c r="L24" s="173"/>
      <c r="M24" s="173"/>
      <c r="N24" s="173"/>
      <c r="O24" s="173"/>
      <c r="P24" s="173"/>
      <c r="Q24" s="173"/>
      <c r="R24" s="173"/>
      <c r="S24" s="173"/>
    </row>
    <row r="25" spans="2:19" ht="15" customHeight="1" x14ac:dyDescent="0.35">
      <c r="B25" s="175" t="s">
        <v>15</v>
      </c>
      <c r="C25" s="179">
        <v>0</v>
      </c>
      <c r="D25" s="180">
        <v>6780</v>
      </c>
      <c r="E25" s="179"/>
      <c r="F25" s="180"/>
      <c r="G25" s="179"/>
      <c r="H25" s="180"/>
      <c r="I25" s="185"/>
      <c r="J25" s="171"/>
      <c r="K25" s="9"/>
    </row>
    <row r="26" spans="2:19" ht="15" customHeight="1" x14ac:dyDescent="0.35">
      <c r="B26" s="175" t="s">
        <v>16</v>
      </c>
      <c r="C26" s="181">
        <v>0</v>
      </c>
      <c r="D26" s="182">
        <v>49496</v>
      </c>
      <c r="E26" s="181"/>
      <c r="F26" s="182"/>
      <c r="G26" s="181"/>
      <c r="H26" s="182"/>
      <c r="I26" s="185"/>
      <c r="J26" s="171"/>
      <c r="K26" s="9"/>
    </row>
    <row r="27" spans="2:19" x14ac:dyDescent="0.35">
      <c r="K27" s="173"/>
      <c r="L27" s="173"/>
    </row>
    <row r="28" spans="2:19" ht="15" customHeight="1" x14ac:dyDescent="0.35">
      <c r="B28" s="1" t="s">
        <v>17</v>
      </c>
      <c r="K28" s="173"/>
      <c r="L28" s="173"/>
    </row>
    <row r="29" spans="2:19" ht="15" customHeight="1" x14ac:dyDescent="0.35">
      <c r="B29" s="2" t="s">
        <v>18</v>
      </c>
      <c r="C29" s="6">
        <v>116460</v>
      </c>
      <c r="K29" s="173"/>
      <c r="L29" s="173"/>
    </row>
    <row r="30" spans="2:19" ht="15" customHeight="1" x14ac:dyDescent="0.35">
      <c r="B30" s="7" t="s">
        <v>19</v>
      </c>
      <c r="K30" s="173"/>
      <c r="L30" s="173"/>
    </row>
    <row r="31" spans="2:19" ht="15" customHeight="1" x14ac:dyDescent="0.35">
      <c r="B31" s="4" t="s">
        <v>20</v>
      </c>
      <c r="C31" s="4" t="s">
        <v>21</v>
      </c>
      <c r="D31" s="4" t="s">
        <v>22</v>
      </c>
    </row>
    <row r="32" spans="2:19" ht="15" customHeight="1" x14ac:dyDescent="0.35">
      <c r="B32" s="5" t="s">
        <v>23</v>
      </c>
      <c r="C32" s="6">
        <v>0</v>
      </c>
      <c r="D32" s="6">
        <v>92000</v>
      </c>
    </row>
    <row r="33" spans="2:5" ht="15" customHeight="1" x14ac:dyDescent="0.35">
      <c r="B33" s="5" t="s">
        <v>24</v>
      </c>
      <c r="C33" s="6"/>
      <c r="D33" s="6"/>
    </row>
    <row r="34" spans="2:5" ht="15" customHeight="1" x14ac:dyDescent="0.35">
      <c r="B34" s="5" t="s">
        <v>25</v>
      </c>
      <c r="C34" s="6"/>
      <c r="D34" s="6"/>
    </row>
    <row r="35" spans="2:5" ht="15" customHeight="1" x14ac:dyDescent="0.35">
      <c r="B35" s="5" t="s">
        <v>26</v>
      </c>
      <c r="C35" s="6"/>
      <c r="D35" s="6"/>
    </row>
    <row r="36" spans="2:5" ht="15" customHeight="1" x14ac:dyDescent="0.35">
      <c r="B36" s="5" t="s">
        <v>27</v>
      </c>
      <c r="C36" s="6"/>
      <c r="D36" s="6"/>
    </row>
    <row r="37" spans="2:5" ht="15" customHeight="1" x14ac:dyDescent="0.35">
      <c r="B37" s="5" t="s">
        <v>28</v>
      </c>
      <c r="C37" s="6"/>
      <c r="D37" s="6"/>
    </row>
    <row r="38" spans="2:5" ht="15" customHeight="1" x14ac:dyDescent="0.35">
      <c r="B38" s="5" t="s">
        <v>29</v>
      </c>
      <c r="C38" s="6"/>
      <c r="D38" s="6"/>
    </row>
    <row r="39" spans="2:5" ht="15" customHeight="1" x14ac:dyDescent="0.35">
      <c r="B39" s="5" t="s">
        <v>30</v>
      </c>
      <c r="C39" s="6"/>
      <c r="D39" s="6"/>
    </row>
    <row r="41" spans="2:5" x14ac:dyDescent="0.35">
      <c r="B41" s="12" t="s">
        <v>33</v>
      </c>
    </row>
    <row r="42" spans="2:5" x14ac:dyDescent="0.35">
      <c r="B42" s="13" t="s">
        <v>34</v>
      </c>
    </row>
    <row r="43" spans="2:5" x14ac:dyDescent="0.35">
      <c r="B43" s="14" t="s">
        <v>20</v>
      </c>
      <c r="C43" s="14" t="s">
        <v>21</v>
      </c>
      <c r="D43" s="14" t="s">
        <v>22</v>
      </c>
      <c r="E43" s="14" t="s">
        <v>35</v>
      </c>
    </row>
    <row r="44" spans="2:5" x14ac:dyDescent="0.35">
      <c r="B44" s="15" t="s">
        <v>23</v>
      </c>
      <c r="C44" s="16">
        <v>6820</v>
      </c>
      <c r="D44" s="16">
        <v>7540</v>
      </c>
      <c r="E44" s="16" t="s">
        <v>55</v>
      </c>
    </row>
    <row r="45" spans="2:5" x14ac:dyDescent="0.35">
      <c r="B45" s="15" t="s">
        <v>24</v>
      </c>
      <c r="C45" s="16">
        <v>7760</v>
      </c>
      <c r="D45" s="16">
        <v>8580</v>
      </c>
      <c r="E45" s="16" t="s">
        <v>55</v>
      </c>
    </row>
    <row r="46" spans="2:5" x14ac:dyDescent="0.35">
      <c r="B46" s="15" t="s">
        <v>25</v>
      </c>
      <c r="C46" s="16">
        <v>9680</v>
      </c>
      <c r="D46" s="16">
        <v>9700</v>
      </c>
      <c r="E46" s="16" t="s">
        <v>55</v>
      </c>
    </row>
    <row r="47" spans="2:5" x14ac:dyDescent="0.35">
      <c r="B47" s="15" t="s">
        <v>26</v>
      </c>
      <c r="C47" s="16">
        <v>9960</v>
      </c>
      <c r="D47" s="16">
        <v>10160</v>
      </c>
      <c r="E47" s="16" t="s">
        <v>55</v>
      </c>
    </row>
    <row r="48" spans="2:5" x14ac:dyDescent="0.35">
      <c r="B48" s="15" t="s">
        <v>27</v>
      </c>
      <c r="C48" s="16">
        <v>10780</v>
      </c>
      <c r="D48" s="16">
        <v>10980</v>
      </c>
      <c r="E48" s="16" t="s">
        <v>55</v>
      </c>
    </row>
    <row r="49" spans="2:6" x14ac:dyDescent="0.35">
      <c r="B49" s="15" t="s">
        <v>28</v>
      </c>
      <c r="C49" s="16">
        <v>11460</v>
      </c>
      <c r="D49" s="16">
        <v>11760</v>
      </c>
      <c r="E49" s="16" t="s">
        <v>55</v>
      </c>
    </row>
    <row r="50" spans="2:6" x14ac:dyDescent="0.35">
      <c r="B50" s="15" t="s">
        <v>29</v>
      </c>
      <c r="C50" s="16">
        <v>21540</v>
      </c>
      <c r="D50" s="16">
        <v>23020</v>
      </c>
      <c r="E50" s="16" t="s">
        <v>55</v>
      </c>
    </row>
    <row r="51" spans="2:6" x14ac:dyDescent="0.35">
      <c r="B51" s="15" t="s">
        <v>30</v>
      </c>
      <c r="C51" s="16">
        <v>23600</v>
      </c>
      <c r="D51" s="16">
        <v>26440</v>
      </c>
      <c r="E51" s="16" t="s">
        <v>55</v>
      </c>
    </row>
    <row r="52" spans="2:6" x14ac:dyDescent="0.35">
      <c r="B52" s="15" t="s">
        <v>36</v>
      </c>
      <c r="C52" s="16">
        <v>50280</v>
      </c>
      <c r="D52" s="16">
        <v>50630</v>
      </c>
      <c r="E52" s="16" t="s">
        <v>55</v>
      </c>
    </row>
    <row r="53" spans="2:6" x14ac:dyDescent="0.35">
      <c r="B53" s="15" t="s">
        <v>37</v>
      </c>
      <c r="C53" s="16">
        <v>53250</v>
      </c>
      <c r="D53" s="16">
        <v>53420</v>
      </c>
      <c r="E53" s="16" t="s">
        <v>55</v>
      </c>
    </row>
    <row r="54" spans="2:6" x14ac:dyDescent="0.35">
      <c r="B54" s="15" t="s">
        <v>38</v>
      </c>
      <c r="C54" s="16">
        <v>56240</v>
      </c>
      <c r="D54" s="16">
        <v>56900</v>
      </c>
      <c r="E54" s="16" t="s">
        <v>55</v>
      </c>
    </row>
    <row r="55" spans="2:6" x14ac:dyDescent="0.35">
      <c r="B55" s="15" t="s">
        <v>39</v>
      </c>
      <c r="C55" s="16">
        <v>80920</v>
      </c>
      <c r="D55" s="16">
        <v>81100</v>
      </c>
      <c r="E55" s="16" t="s">
        <v>55</v>
      </c>
      <c r="F55" s="152"/>
    </row>
    <row r="56" spans="2:6" x14ac:dyDescent="0.35">
      <c r="B56" s="15" t="s">
        <v>50</v>
      </c>
      <c r="C56" s="16">
        <v>82660</v>
      </c>
      <c r="D56" s="16">
        <v>82860</v>
      </c>
      <c r="E56" s="154" t="s">
        <v>55</v>
      </c>
    </row>
    <row r="57" spans="2:6" x14ac:dyDescent="0.35">
      <c r="B57" s="15" t="s">
        <v>51</v>
      </c>
      <c r="C57" s="16">
        <v>83580</v>
      </c>
      <c r="D57" s="16">
        <v>84000</v>
      </c>
      <c r="E57" s="154" t="s">
        <v>55</v>
      </c>
    </row>
    <row r="58" spans="2:6" x14ac:dyDescent="0.35">
      <c r="B58" s="15" t="s">
        <v>52</v>
      </c>
      <c r="C58" s="16">
        <v>84750</v>
      </c>
      <c r="D58" s="16">
        <v>85200</v>
      </c>
      <c r="E58" s="154" t="s">
        <v>55</v>
      </c>
    </row>
    <row r="59" spans="2:6" x14ac:dyDescent="0.35">
      <c r="B59" s="15" t="s">
        <v>53</v>
      </c>
      <c r="C59" s="16">
        <v>89140</v>
      </c>
      <c r="D59" s="16">
        <v>89400</v>
      </c>
      <c r="E59" s="16"/>
    </row>
    <row r="60" spans="2:6" x14ac:dyDescent="0.35">
      <c r="B60" s="15" t="s">
        <v>54</v>
      </c>
      <c r="C60" s="16">
        <v>96100</v>
      </c>
      <c r="D60" s="16">
        <v>96740</v>
      </c>
      <c r="E60" s="16"/>
    </row>
  </sheetData>
  <mergeCells count="2">
    <mergeCell ref="B2:G2"/>
    <mergeCell ref="B3:G7"/>
  </mergeCells>
  <phoneticPr fontId="19" type="noConversion"/>
  <dataValidations disablePrompts="1" count="1">
    <dataValidation type="list" allowBlank="1" sqref="E44:E55" xr:uid="{00000000-0002-0000-0000-000000000000}">
      <formula1>"C,"</formula1>
    </dataValidation>
  </dataValidation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ABAA6F-B094-4870-B646-3E66FE1EE6FE}">
  <dimension ref="A1:AM37"/>
  <sheetViews>
    <sheetView workbookViewId="0">
      <selection activeCell="E14" sqref="E14"/>
    </sheetView>
  </sheetViews>
  <sheetFormatPr defaultRowHeight="14.5" x14ac:dyDescent="0.35"/>
  <cols>
    <col min="1" max="1" width="17.26953125" style="19" bestFit="1" customWidth="1"/>
    <col min="2" max="24" width="8.7265625" style="19"/>
    <col min="25" max="39" width="8.7265625" style="8"/>
  </cols>
  <sheetData>
    <row r="1" spans="1:24" x14ac:dyDescent="0.35">
      <c r="A1" s="22" t="s">
        <v>63</v>
      </c>
      <c r="B1" s="22"/>
      <c r="C1" s="22"/>
      <c r="D1" s="22"/>
      <c r="E1" s="22"/>
      <c r="F1" s="22"/>
      <c r="G1" s="22"/>
      <c r="H1" s="22"/>
      <c r="I1" s="22"/>
      <c r="J1" s="22"/>
      <c r="K1" s="22"/>
      <c r="L1" s="22"/>
      <c r="M1" s="22"/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</row>
    <row r="2" spans="1:24" x14ac:dyDescent="0.35">
      <c r="A2" s="4" t="s">
        <v>62</v>
      </c>
      <c r="B2" s="20">
        <v>45992</v>
      </c>
      <c r="C2" s="20">
        <v>46023</v>
      </c>
      <c r="D2" s="20">
        <v>46054</v>
      </c>
      <c r="E2" s="20">
        <v>46082</v>
      </c>
      <c r="F2" s="20">
        <v>46113</v>
      </c>
      <c r="G2" s="20">
        <v>46143</v>
      </c>
      <c r="H2" s="20">
        <v>46174</v>
      </c>
      <c r="I2" s="20">
        <v>46204</v>
      </c>
      <c r="J2" s="20">
        <v>46235</v>
      </c>
      <c r="K2" s="20">
        <v>46266</v>
      </c>
      <c r="L2" s="20">
        <v>46296</v>
      </c>
      <c r="M2" s="20">
        <v>46327</v>
      </c>
      <c r="N2" s="20">
        <v>46357</v>
      </c>
      <c r="O2" s="20">
        <v>46388</v>
      </c>
      <c r="P2" s="20">
        <v>46419</v>
      </c>
      <c r="Q2" s="20">
        <v>46447</v>
      </c>
      <c r="R2" s="20">
        <v>46478</v>
      </c>
      <c r="S2" s="20">
        <v>46508</v>
      </c>
      <c r="T2" s="20">
        <v>46539</v>
      </c>
      <c r="U2" s="20">
        <v>46569</v>
      </c>
      <c r="V2" s="20">
        <v>46600</v>
      </c>
      <c r="W2" s="20">
        <v>46631</v>
      </c>
      <c r="X2" s="20">
        <v>46661</v>
      </c>
    </row>
    <row r="3" spans="1:24" x14ac:dyDescent="0.35">
      <c r="A3" s="19" t="s">
        <v>56</v>
      </c>
      <c r="B3" s="18">
        <v>0</v>
      </c>
      <c r="C3" s="18">
        <v>0</v>
      </c>
      <c r="D3" s="18">
        <v>1.6999999999999999E-3</v>
      </c>
      <c r="E3" s="18">
        <v>2.7799999999999998E-2</v>
      </c>
      <c r="F3" s="18">
        <v>4.8800000000000003E-2</v>
      </c>
      <c r="G3" s="18">
        <v>5.9200000000000003E-2</v>
      </c>
      <c r="H3" s="18">
        <v>6.2700000000000006E-2</v>
      </c>
      <c r="I3" s="18">
        <v>7.2900000000000006E-2</v>
      </c>
      <c r="J3" s="18">
        <v>7.1499999999999994E-2</v>
      </c>
      <c r="K3" s="18">
        <v>8.2600000000000007E-2</v>
      </c>
      <c r="L3" s="18">
        <v>3.6700000000000003E-2</v>
      </c>
      <c r="M3" s="18">
        <v>4.3799999999999999E-2</v>
      </c>
      <c r="N3" s="18">
        <v>3.7400000000000003E-2</v>
      </c>
      <c r="O3" s="18">
        <v>5.45E-2</v>
      </c>
      <c r="P3" s="18">
        <v>4.6600000000000003E-2</v>
      </c>
      <c r="Q3" s="18">
        <v>6.1699999999999998E-2</v>
      </c>
      <c r="R3" s="18">
        <v>6.2E-2</v>
      </c>
      <c r="S3" s="18">
        <v>5.6300000000000003E-2</v>
      </c>
      <c r="T3" s="18">
        <v>6.3299999999999995E-2</v>
      </c>
      <c r="U3" s="18">
        <v>6.2399999999999997E-2</v>
      </c>
      <c r="V3" s="18">
        <v>4.3499999999999997E-2</v>
      </c>
      <c r="W3" s="18">
        <v>4.5999999999999999E-3</v>
      </c>
      <c r="X3" s="18">
        <v>0</v>
      </c>
    </row>
    <row r="4" spans="1:24" x14ac:dyDescent="0.35">
      <c r="A4" s="19" t="s">
        <v>59</v>
      </c>
      <c r="B4" s="18">
        <f>B3</f>
        <v>0</v>
      </c>
      <c r="C4" s="18">
        <f>C3+B4</f>
        <v>0</v>
      </c>
      <c r="D4" s="18">
        <f t="shared" ref="D4:X4" si="0">D3+C4</f>
        <v>1.6999999999999999E-3</v>
      </c>
      <c r="E4" s="18">
        <f t="shared" si="0"/>
        <v>2.9499999999999998E-2</v>
      </c>
      <c r="F4" s="18">
        <f t="shared" si="0"/>
        <v>7.8300000000000008E-2</v>
      </c>
      <c r="G4" s="18">
        <f t="shared" si="0"/>
        <v>0.13750000000000001</v>
      </c>
      <c r="H4" s="18">
        <f t="shared" si="0"/>
        <v>0.20020000000000002</v>
      </c>
      <c r="I4" s="18">
        <f t="shared" si="0"/>
        <v>0.27310000000000001</v>
      </c>
      <c r="J4" s="18">
        <f t="shared" si="0"/>
        <v>0.34460000000000002</v>
      </c>
      <c r="K4" s="18">
        <f t="shared" si="0"/>
        <v>0.42720000000000002</v>
      </c>
      <c r="L4" s="18">
        <f t="shared" si="0"/>
        <v>0.46390000000000003</v>
      </c>
      <c r="M4" s="18">
        <f t="shared" si="0"/>
        <v>0.50770000000000004</v>
      </c>
      <c r="N4" s="18">
        <f t="shared" si="0"/>
        <v>0.54510000000000003</v>
      </c>
      <c r="O4" s="18">
        <f t="shared" si="0"/>
        <v>0.59960000000000002</v>
      </c>
      <c r="P4" s="18">
        <f t="shared" si="0"/>
        <v>0.6462</v>
      </c>
      <c r="Q4" s="18">
        <f t="shared" si="0"/>
        <v>0.70789999999999997</v>
      </c>
      <c r="R4" s="18">
        <f t="shared" si="0"/>
        <v>0.76990000000000003</v>
      </c>
      <c r="S4" s="18">
        <f t="shared" si="0"/>
        <v>0.82620000000000005</v>
      </c>
      <c r="T4" s="18">
        <f t="shared" si="0"/>
        <v>0.88950000000000007</v>
      </c>
      <c r="U4" s="18">
        <f t="shared" si="0"/>
        <v>0.95190000000000008</v>
      </c>
      <c r="V4" s="18">
        <f t="shared" si="0"/>
        <v>0.99540000000000006</v>
      </c>
      <c r="W4" s="18">
        <f t="shared" si="0"/>
        <v>1</v>
      </c>
      <c r="X4" s="18">
        <f t="shared" si="0"/>
        <v>1</v>
      </c>
    </row>
    <row r="5" spans="1:24" x14ac:dyDescent="0.35">
      <c r="A5" s="19" t="s">
        <v>57</v>
      </c>
      <c r="B5" s="18"/>
      <c r="C5" s="18"/>
      <c r="D5" s="18"/>
      <c r="E5" s="18"/>
      <c r="F5" s="18"/>
      <c r="G5" s="18"/>
      <c r="H5" s="18"/>
      <c r="I5" s="17">
        <f>I6-H8</f>
        <v>5.5681122612536646E-2</v>
      </c>
      <c r="J5" s="17">
        <f>J6-I6</f>
        <v>6.0126232841078542E-2</v>
      </c>
      <c r="K5" s="17">
        <f t="shared" ref="K5:X5" si="1">K6-J6</f>
        <v>7.4787238135729905E-2</v>
      </c>
      <c r="L5" s="17">
        <f t="shared" si="1"/>
        <v>0.10018226433277233</v>
      </c>
      <c r="M5" s="17">
        <f t="shared" si="1"/>
        <v>7.5895784248031228E-2</v>
      </c>
      <c r="N5" s="17">
        <f t="shared" si="1"/>
        <v>2.9970372856917615E-2</v>
      </c>
      <c r="O5" s="17">
        <f t="shared" si="1"/>
        <v>5.1248471111156824E-2</v>
      </c>
      <c r="P5" s="17">
        <f t="shared" si="1"/>
        <v>5.8632920006427058E-2</v>
      </c>
      <c r="Q5" s="17">
        <f t="shared" si="1"/>
        <v>5.6407645053120459E-2</v>
      </c>
      <c r="R5" s="17">
        <f t="shared" si="1"/>
        <v>6.0917381831679496E-2</v>
      </c>
      <c r="S5" s="17">
        <f t="shared" si="1"/>
        <v>6.274495142708858E-2</v>
      </c>
      <c r="T5" s="17">
        <f t="shared" si="1"/>
        <v>6.8887452206161437E-2</v>
      </c>
      <c r="U5" s="17">
        <f t="shared" si="1"/>
        <v>4.5998290001694753E-2</v>
      </c>
      <c r="V5" s="17">
        <f t="shared" si="1"/>
        <v>6.9874482363482371E-2</v>
      </c>
      <c r="W5" s="17">
        <f t="shared" si="1"/>
        <v>4.269644674781492E-2</v>
      </c>
      <c r="X5" s="17">
        <f t="shared" si="1"/>
        <v>1.6489442243078356E-3</v>
      </c>
    </row>
    <row r="6" spans="1:24" x14ac:dyDescent="0.35">
      <c r="A6" s="19" t="s">
        <v>60</v>
      </c>
      <c r="B6" s="18"/>
      <c r="C6" s="18"/>
      <c r="D6" s="18"/>
      <c r="E6" s="18"/>
      <c r="F6" s="18"/>
      <c r="G6" s="18"/>
      <c r="H6" s="18"/>
      <c r="I6" s="17">
        <v>0.13998112261253665</v>
      </c>
      <c r="J6" s="17">
        <v>0.20010735545361519</v>
      </c>
      <c r="K6" s="17">
        <v>0.27489459358934509</v>
      </c>
      <c r="L6" s="17">
        <v>0.37507685792211742</v>
      </c>
      <c r="M6" s="17">
        <v>0.45097264217014865</v>
      </c>
      <c r="N6" s="17">
        <v>0.48094301502706627</v>
      </c>
      <c r="O6" s="17">
        <v>0.53219148613822309</v>
      </c>
      <c r="P6" s="17">
        <v>0.59082440614465015</v>
      </c>
      <c r="Q6" s="17">
        <v>0.64723205119777061</v>
      </c>
      <c r="R6" s="17">
        <v>0.7081494330294501</v>
      </c>
      <c r="S6" s="17">
        <v>0.77089438445653868</v>
      </c>
      <c r="T6" s="17">
        <v>0.83978183666270012</v>
      </c>
      <c r="U6" s="17">
        <v>0.88578012666439487</v>
      </c>
      <c r="V6" s="17">
        <v>0.95565460902787724</v>
      </c>
      <c r="W6" s="17">
        <v>0.99835105577569216</v>
      </c>
      <c r="X6" s="17">
        <v>1</v>
      </c>
    </row>
    <row r="7" spans="1:24" x14ac:dyDescent="0.35">
      <c r="A7" s="19" t="s">
        <v>58</v>
      </c>
      <c r="B7" s="18">
        <v>0</v>
      </c>
      <c r="C7" s="18">
        <v>0</v>
      </c>
      <c r="D7" s="18">
        <v>1.0822882312570559E-3</v>
      </c>
      <c r="E7" s="18">
        <v>3.2766602641749777E-3</v>
      </c>
      <c r="F7" s="18">
        <v>1.6741051504567967E-2</v>
      </c>
      <c r="G7" s="18">
        <v>2.3899999999999998E-2</v>
      </c>
      <c r="H7" s="18">
        <v>3.9300000000000002E-2</v>
      </c>
      <c r="I7" s="17">
        <v>3.0899999999999997E-2</v>
      </c>
      <c r="J7" s="17"/>
      <c r="K7" s="17"/>
      <c r="L7" s="17"/>
      <c r="M7" s="17"/>
      <c r="N7" s="17"/>
      <c r="O7" s="17"/>
      <c r="P7" s="17"/>
      <c r="Q7" s="17"/>
      <c r="R7" s="17"/>
      <c r="S7" s="17"/>
      <c r="T7" s="17"/>
      <c r="U7" s="17"/>
      <c r="V7" s="17"/>
      <c r="W7" s="17"/>
      <c r="X7" s="17"/>
    </row>
    <row r="8" spans="1:24" x14ac:dyDescent="0.35">
      <c r="A8" s="19" t="s">
        <v>61</v>
      </c>
      <c r="B8" s="18">
        <f>B7</f>
        <v>0</v>
      </c>
      <c r="C8" s="18">
        <f>C7+B8</f>
        <v>0</v>
      </c>
      <c r="D8" s="18">
        <f t="shared" ref="D8:I8" si="2">D7+C8</f>
        <v>1.0822882312570559E-3</v>
      </c>
      <c r="E8" s="18">
        <f t="shared" si="2"/>
        <v>4.3589484954320336E-3</v>
      </c>
      <c r="F8" s="18">
        <f t="shared" si="2"/>
        <v>2.1100000000000001E-2</v>
      </c>
      <c r="G8" s="18">
        <f t="shared" si="2"/>
        <v>4.4999999999999998E-2</v>
      </c>
      <c r="H8" s="18">
        <f t="shared" si="2"/>
        <v>8.43E-2</v>
      </c>
      <c r="I8" s="17">
        <f t="shared" si="2"/>
        <v>0.1152</v>
      </c>
      <c r="J8" s="17"/>
      <c r="K8" s="17"/>
      <c r="L8" s="17"/>
      <c r="M8" s="17"/>
      <c r="N8" s="17"/>
      <c r="O8" s="17"/>
      <c r="P8" s="17"/>
      <c r="Q8" s="17"/>
      <c r="R8" s="17"/>
      <c r="S8" s="17"/>
      <c r="T8" s="17"/>
      <c r="U8" s="17"/>
      <c r="V8" s="17"/>
      <c r="W8" s="17"/>
      <c r="X8" s="17"/>
    </row>
    <row r="10" spans="1:24" x14ac:dyDescent="0.35">
      <c r="A10" s="22" t="s">
        <v>64</v>
      </c>
      <c r="B10" s="22"/>
      <c r="C10" s="22"/>
      <c r="D10" s="22"/>
      <c r="E10" s="22"/>
      <c r="F10" s="22"/>
      <c r="G10" s="22"/>
      <c r="H10" s="22"/>
      <c r="I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</row>
    <row r="11" spans="1:24" x14ac:dyDescent="0.35">
      <c r="A11" s="4" t="s">
        <v>62</v>
      </c>
      <c r="B11" s="20">
        <v>45992</v>
      </c>
      <c r="C11" s="20">
        <v>46023</v>
      </c>
      <c r="D11" s="20">
        <v>46054</v>
      </c>
      <c r="E11" s="20">
        <v>46082</v>
      </c>
      <c r="F11" s="20">
        <v>46113</v>
      </c>
      <c r="G11" s="20">
        <v>46143</v>
      </c>
      <c r="H11" s="20">
        <v>46174</v>
      </c>
      <c r="I11" s="20">
        <v>46204</v>
      </c>
      <c r="J11" s="20">
        <v>46235</v>
      </c>
      <c r="K11" s="20">
        <v>46266</v>
      </c>
      <c r="L11" s="20">
        <v>46296</v>
      </c>
      <c r="M11" s="20">
        <v>46327</v>
      </c>
      <c r="N11" s="20">
        <v>46357</v>
      </c>
      <c r="O11" s="20">
        <v>46388</v>
      </c>
      <c r="P11" s="20">
        <v>46419</v>
      </c>
      <c r="Q11" s="20">
        <v>46447</v>
      </c>
      <c r="R11" s="20">
        <v>46478</v>
      </c>
      <c r="S11" s="20">
        <v>46508</v>
      </c>
      <c r="T11" s="20">
        <v>46539</v>
      </c>
      <c r="U11" s="20">
        <v>46569</v>
      </c>
      <c r="V11" s="20">
        <v>46600</v>
      </c>
      <c r="W11" s="20">
        <v>46631</v>
      </c>
      <c r="X11" s="20">
        <v>46661</v>
      </c>
    </row>
    <row r="12" spans="1:24" x14ac:dyDescent="0.35">
      <c r="A12" s="19" t="s">
        <v>56</v>
      </c>
      <c r="B12" s="18">
        <v>0</v>
      </c>
      <c r="C12" s="18">
        <v>6.4333595409319993E-4</v>
      </c>
      <c r="D12" s="18">
        <v>9.9175180819338626E-3</v>
      </c>
      <c r="E12" s="18">
        <v>3.414205389288015E-2</v>
      </c>
      <c r="F12" s="18">
        <v>5.394543052840433E-2</v>
      </c>
      <c r="G12" s="18">
        <v>5.8991405542812354E-2</v>
      </c>
      <c r="H12" s="18">
        <v>5.9422565259280781E-2</v>
      </c>
      <c r="I12" s="18">
        <v>6.8141882134882606E-2</v>
      </c>
      <c r="J12" s="18">
        <v>6.6892273806522323E-2</v>
      </c>
      <c r="K12" s="18">
        <v>7.6374295605331433E-2</v>
      </c>
      <c r="L12" s="18">
        <v>3.7841055452758648E-2</v>
      </c>
      <c r="M12" s="18">
        <v>4.3912888525442451E-2</v>
      </c>
      <c r="N12" s="18">
        <v>3.7701468887471515E-2</v>
      </c>
      <c r="O12" s="18">
        <v>5.241483767375222E-2</v>
      </c>
      <c r="P12" s="18">
        <v>4.5591992865880039E-2</v>
      </c>
      <c r="Q12" s="18">
        <v>5.8505059712241361E-2</v>
      </c>
      <c r="R12" s="18">
        <v>5.8818552982326119E-2</v>
      </c>
      <c r="S12" s="18">
        <v>5.3936424443498589E-2</v>
      </c>
      <c r="T12" s="18">
        <v>5.9865440901881353E-2</v>
      </c>
      <c r="U12" s="18">
        <v>5.9137487761205497E-2</v>
      </c>
      <c r="V12" s="18">
        <v>4.3000850293942301E-2</v>
      </c>
      <c r="W12" s="18">
        <v>1.302028492382944E-2</v>
      </c>
      <c r="X12" s="18">
        <v>7.7828947696293024E-3</v>
      </c>
    </row>
    <row r="13" spans="1:24" x14ac:dyDescent="0.35">
      <c r="A13" s="19" t="s">
        <v>59</v>
      </c>
      <c r="B13" s="18">
        <v>0</v>
      </c>
      <c r="C13" s="18">
        <v>6.4333595409319993E-4</v>
      </c>
      <c r="D13" s="18">
        <v>1.0560854036027063E-2</v>
      </c>
      <c r="E13" s="18">
        <v>4.4702907928907215E-2</v>
      </c>
      <c r="F13" s="18">
        <v>9.8648338457311552E-2</v>
      </c>
      <c r="G13" s="18">
        <v>0.1576397440001239</v>
      </c>
      <c r="H13" s="18">
        <v>0.21706230925940467</v>
      </c>
      <c r="I13" s="18">
        <v>0.28520419139428727</v>
      </c>
      <c r="J13" s="18">
        <v>0.35209646520080962</v>
      </c>
      <c r="K13" s="18">
        <v>0.42847076080614105</v>
      </c>
      <c r="L13" s="18">
        <v>0.46631181625889973</v>
      </c>
      <c r="M13" s="18">
        <v>0.51022470478434223</v>
      </c>
      <c r="N13" s="18">
        <v>0.54792617367181373</v>
      </c>
      <c r="O13" s="18">
        <v>0.60034101134556594</v>
      </c>
      <c r="P13" s="18">
        <v>0.64593300421144595</v>
      </c>
      <c r="Q13" s="18">
        <v>0.70443806392368735</v>
      </c>
      <c r="R13" s="18">
        <v>0.76325661690601343</v>
      </c>
      <c r="S13" s="18">
        <v>0.81719304134951198</v>
      </c>
      <c r="T13" s="18">
        <v>0.87705848225139338</v>
      </c>
      <c r="U13" s="18">
        <v>0.93619597001259891</v>
      </c>
      <c r="V13" s="18">
        <v>0.9791968203065412</v>
      </c>
      <c r="W13" s="18">
        <v>0.99221710523037066</v>
      </c>
      <c r="X13" s="18">
        <v>1</v>
      </c>
    </row>
    <row r="14" spans="1:24" x14ac:dyDescent="0.35">
      <c r="A14" s="19" t="s">
        <v>57</v>
      </c>
      <c r="B14" s="18"/>
      <c r="C14" s="18"/>
      <c r="D14" s="18"/>
      <c r="E14" s="18"/>
      <c r="F14" s="18"/>
      <c r="G14" s="18"/>
      <c r="H14" s="17">
        <f>H16</f>
        <v>3.0753542478033292E-2</v>
      </c>
      <c r="I14" s="17">
        <v>6.2063462264065845E-2</v>
      </c>
      <c r="J14" s="17">
        <v>6.4042976916113423E-2</v>
      </c>
      <c r="K14" s="17">
        <v>7.5548329069434553E-2</v>
      </c>
      <c r="L14" s="17">
        <v>8.1128357730885156E-2</v>
      </c>
      <c r="M14" s="17">
        <v>5.7999445920207823E-2</v>
      </c>
      <c r="N14" s="17">
        <v>3.8743564876880028E-2</v>
      </c>
      <c r="O14" s="17">
        <v>5.3254993344301033E-2</v>
      </c>
      <c r="P14" s="17">
        <v>5.8851259016141147E-2</v>
      </c>
      <c r="Q14" s="17">
        <v>5.7936909045832902E-2</v>
      </c>
      <c r="R14" s="17">
        <v>6.0858796974976599E-2</v>
      </c>
      <c r="S14" s="17">
        <v>5.950350454635922E-2</v>
      </c>
      <c r="T14" s="17">
        <v>6.4472693392601921E-2</v>
      </c>
      <c r="U14" s="17">
        <v>4.9685510256737848E-2</v>
      </c>
      <c r="V14" s="17">
        <v>5.7585700259017679E-2</v>
      </c>
      <c r="W14" s="17">
        <v>3.4968969447305945E-2</v>
      </c>
      <c r="X14" s="17">
        <v>1.7451029412143E-2</v>
      </c>
    </row>
    <row r="15" spans="1:24" x14ac:dyDescent="0.35">
      <c r="A15" s="19" t="s">
        <v>60</v>
      </c>
      <c r="B15" s="18"/>
      <c r="C15" s="18"/>
      <c r="D15" s="18"/>
      <c r="E15" s="18"/>
      <c r="F15" s="18"/>
      <c r="G15" s="18"/>
      <c r="H15" s="17">
        <f>H17</f>
        <v>0.10590449752699597</v>
      </c>
      <c r="I15" s="17">
        <f>I14+H15</f>
        <v>0.16796795979106183</v>
      </c>
      <c r="J15" s="17">
        <f t="shared" ref="J15:X15" si="3">J14+I15</f>
        <v>0.23201093670717526</v>
      </c>
      <c r="K15" s="17">
        <f t="shared" si="3"/>
        <v>0.3075592657766098</v>
      </c>
      <c r="L15" s="17">
        <f t="shared" si="3"/>
        <v>0.38868762350749497</v>
      </c>
      <c r="M15" s="17">
        <f t="shared" si="3"/>
        <v>0.44668706942770281</v>
      </c>
      <c r="N15" s="17">
        <f t="shared" si="3"/>
        <v>0.48543063430458283</v>
      </c>
      <c r="O15" s="17">
        <f t="shared" si="3"/>
        <v>0.53868562764888384</v>
      </c>
      <c r="P15" s="17">
        <f t="shared" si="3"/>
        <v>0.59753688666502502</v>
      </c>
      <c r="Q15" s="17">
        <f t="shared" si="3"/>
        <v>0.65547379571085795</v>
      </c>
      <c r="R15" s="17">
        <f t="shared" si="3"/>
        <v>0.7163325926858346</v>
      </c>
      <c r="S15" s="17">
        <f t="shared" si="3"/>
        <v>0.77583609723219382</v>
      </c>
      <c r="T15" s="17">
        <f t="shared" si="3"/>
        <v>0.84030879062479569</v>
      </c>
      <c r="U15" s="17">
        <f t="shared" si="3"/>
        <v>0.88999430088153353</v>
      </c>
      <c r="V15" s="17">
        <f t="shared" si="3"/>
        <v>0.94758000114055119</v>
      </c>
      <c r="W15" s="17">
        <f t="shared" si="3"/>
        <v>0.98254897058785717</v>
      </c>
      <c r="X15" s="17">
        <f t="shared" si="3"/>
        <v>1.0000000000000002</v>
      </c>
    </row>
    <row r="16" spans="1:24" x14ac:dyDescent="0.35">
      <c r="A16" s="19" t="s">
        <v>58</v>
      </c>
      <c r="B16" s="18">
        <v>4.0208218671403066E-3</v>
      </c>
      <c r="C16" s="18">
        <v>2.6019194434145397E-3</v>
      </c>
      <c r="D16" s="18">
        <v>4.9377404509101663E-3</v>
      </c>
      <c r="E16" s="18">
        <v>2.4588206370443792E-2</v>
      </c>
      <c r="F16" s="18">
        <v>1.8059052186227127E-2</v>
      </c>
      <c r="G16" s="18">
        <v>2.0943214730826758E-2</v>
      </c>
      <c r="H16" s="17">
        <v>3.0753542478033292E-2</v>
      </c>
      <c r="I16" s="17"/>
      <c r="J16" s="17"/>
      <c r="K16" s="17"/>
      <c r="L16" s="17"/>
      <c r="M16" s="17"/>
      <c r="N16" s="17"/>
      <c r="O16" s="17"/>
      <c r="P16" s="17"/>
      <c r="Q16" s="17"/>
      <c r="R16" s="17"/>
      <c r="S16" s="17"/>
      <c r="T16" s="17"/>
      <c r="U16" s="17"/>
      <c r="V16" s="17"/>
      <c r="W16" s="17"/>
      <c r="X16" s="17"/>
    </row>
    <row r="17" spans="1:24" x14ac:dyDescent="0.35">
      <c r="A17" s="19" t="s">
        <v>61</v>
      </c>
      <c r="B17" s="18">
        <f>B16</f>
        <v>4.0208218671403066E-3</v>
      </c>
      <c r="C17" s="18">
        <f>C16+B17</f>
        <v>6.6227413105548463E-3</v>
      </c>
      <c r="D17" s="18">
        <f t="shared" ref="D17:H17" si="4">D16+C17</f>
        <v>1.1560481761465013E-2</v>
      </c>
      <c r="E17" s="18">
        <f t="shared" si="4"/>
        <v>3.6148688131908802E-2</v>
      </c>
      <c r="F17" s="18">
        <f t="shared" si="4"/>
        <v>5.4207740318135925E-2</v>
      </c>
      <c r="G17" s="18">
        <f t="shared" si="4"/>
        <v>7.5150955048962687E-2</v>
      </c>
      <c r="H17" s="17">
        <f t="shared" si="4"/>
        <v>0.10590449752699597</v>
      </c>
      <c r="I17" s="17"/>
      <c r="J17" s="17"/>
      <c r="K17" s="17"/>
      <c r="L17" s="17"/>
      <c r="M17" s="17"/>
      <c r="N17" s="17"/>
      <c r="O17" s="17"/>
      <c r="P17" s="17"/>
      <c r="Q17" s="17"/>
      <c r="R17" s="17"/>
      <c r="S17" s="17"/>
      <c r="T17" s="17"/>
      <c r="U17" s="17"/>
      <c r="V17" s="17"/>
      <c r="W17" s="17"/>
      <c r="X17" s="17"/>
    </row>
    <row r="19" spans="1:24" x14ac:dyDescent="0.35">
      <c r="A19" s="22" t="s">
        <v>65</v>
      </c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</row>
    <row r="20" spans="1:24" x14ac:dyDescent="0.35">
      <c r="A20" s="4" t="s">
        <v>62</v>
      </c>
      <c r="B20" s="20">
        <v>45992</v>
      </c>
      <c r="C20" s="20">
        <v>46023</v>
      </c>
      <c r="D20" s="20">
        <v>46054</v>
      </c>
      <c r="E20" s="20">
        <v>46082</v>
      </c>
      <c r="F20" s="20">
        <v>46113</v>
      </c>
      <c r="G20" s="20">
        <v>46143</v>
      </c>
      <c r="H20" s="20">
        <v>46174</v>
      </c>
      <c r="I20" s="20">
        <v>46204</v>
      </c>
      <c r="J20" s="20">
        <v>46235</v>
      </c>
      <c r="K20" s="20">
        <v>46266</v>
      </c>
      <c r="L20" s="20">
        <v>46296</v>
      </c>
      <c r="M20" s="20">
        <v>46327</v>
      </c>
      <c r="N20" s="20">
        <v>46357</v>
      </c>
      <c r="O20" s="20">
        <v>46388</v>
      </c>
      <c r="P20" s="20">
        <v>46419</v>
      </c>
      <c r="Q20" s="20">
        <v>46447</v>
      </c>
      <c r="R20" s="20">
        <v>46478</v>
      </c>
      <c r="S20" s="20">
        <v>46508</v>
      </c>
      <c r="T20" s="20">
        <v>46539</v>
      </c>
      <c r="U20" s="20">
        <v>46569</v>
      </c>
      <c r="V20" s="20">
        <v>46600</v>
      </c>
      <c r="W20" s="20">
        <v>46631</v>
      </c>
      <c r="X20" s="20">
        <v>46661</v>
      </c>
    </row>
    <row r="21" spans="1:24" x14ac:dyDescent="0.35">
      <c r="A21" s="19" t="s">
        <v>56</v>
      </c>
      <c r="B21" s="21">
        <f>SUMIFS(HISTOGRAMA!$33:$33,HISTOGRAMA!$2:$2,"prev.",HISTOGRAMA!$1:$1,CURVAS!B$20)</f>
        <v>12</v>
      </c>
      <c r="C21" s="21">
        <f>SUMIFS(HISTOGRAMA!$33:$33,HISTOGRAMA!$2:$2,"prev.",HISTOGRAMA!$1:$1,CURVAS!C$20)</f>
        <v>140.5</v>
      </c>
      <c r="D21" s="21">
        <f>SUMIFS(HISTOGRAMA!$33:$33,HISTOGRAMA!$2:$2,"prev.",HISTOGRAMA!$1:$1,CURVAS!D$20)</f>
        <v>219</v>
      </c>
      <c r="E21" s="21">
        <f>SUMIFS(HISTOGRAMA!$33:$33,HISTOGRAMA!$2:$2,"prev.",HISTOGRAMA!$1:$1,CURVAS!E$20)</f>
        <v>250</v>
      </c>
      <c r="F21" s="21">
        <f>SUMIFS(HISTOGRAMA!$33:$33,HISTOGRAMA!$2:$2,"prev.",HISTOGRAMA!$1:$1,CURVAS!F$20)</f>
        <v>260</v>
      </c>
      <c r="G21" s="21">
        <f>SUMIFS(HISTOGRAMA!$33:$33,HISTOGRAMA!$2:$2,"prev.",HISTOGRAMA!$1:$1,CURVAS!G$20)</f>
        <v>260</v>
      </c>
      <c r="H21" s="21">
        <f>SUMIFS(HISTOGRAMA!$33:$33,HISTOGRAMA!$2:$2,"prev.",HISTOGRAMA!$1:$1,CURVAS!H$20)</f>
        <v>260</v>
      </c>
      <c r="I21" s="21">
        <f>SUMIFS(HISTOGRAMA!$33:$33,HISTOGRAMA!$2:$2,"prev.",HISTOGRAMA!$1:$1,CURVAS!I$20)</f>
        <v>260</v>
      </c>
      <c r="J21" s="21">
        <f>SUMIFS(HISTOGRAMA!$33:$33,HISTOGRAMA!$2:$2,"prev.",HISTOGRAMA!$1:$1,CURVAS!J$20)</f>
        <v>260</v>
      </c>
      <c r="K21" s="21">
        <f>SUMIFS(HISTOGRAMA!$33:$33,HISTOGRAMA!$2:$2,"prev.",HISTOGRAMA!$1:$1,CURVAS!K$20)</f>
        <v>260</v>
      </c>
      <c r="L21" s="21">
        <f>SUMIFS(HISTOGRAMA!$33:$33,HISTOGRAMA!$2:$2,"prev.",HISTOGRAMA!$1:$1,CURVAS!L$20)</f>
        <v>260</v>
      </c>
      <c r="M21" s="21">
        <f>SUMIFS(HISTOGRAMA!$33:$33,HISTOGRAMA!$2:$2,"prev.",HISTOGRAMA!$1:$1,CURVAS!M$20)</f>
        <v>256</v>
      </c>
      <c r="N21" s="21">
        <f>SUMIFS(HISTOGRAMA!$33:$33,HISTOGRAMA!$2:$2,"prev.",HISTOGRAMA!$1:$1,CURVAS!N$20)</f>
        <v>256</v>
      </c>
      <c r="O21" s="21">
        <f>SUMIFS(HISTOGRAMA!$33:$33,HISTOGRAMA!$2:$2,"prev.",HISTOGRAMA!$1:$1,CURVAS!O$20)</f>
        <v>256</v>
      </c>
      <c r="P21" s="21">
        <f>SUMIFS(HISTOGRAMA!$33:$33,HISTOGRAMA!$2:$2,"prev.",HISTOGRAMA!$1:$1,CURVAS!P$20)</f>
        <v>260</v>
      </c>
      <c r="Q21" s="21">
        <f>SUMIFS(HISTOGRAMA!$33:$33,HISTOGRAMA!$2:$2,"prev.",HISTOGRAMA!$1:$1,CURVAS!Q$20)</f>
        <v>264</v>
      </c>
      <c r="R21" s="21">
        <f>SUMIFS(HISTOGRAMA!$33:$33,HISTOGRAMA!$2:$2,"prev.",HISTOGRAMA!$1:$1,CURVAS!R$20)</f>
        <v>264</v>
      </c>
      <c r="S21" s="21">
        <f>SUMIFS(HISTOGRAMA!$33:$33,HISTOGRAMA!$2:$2,"prev.",HISTOGRAMA!$1:$1,CURVAS!S$20)</f>
        <v>264</v>
      </c>
      <c r="T21" s="21">
        <f>SUMIFS(HISTOGRAMA!$33:$33,HISTOGRAMA!$2:$2,"prev.",HISTOGRAMA!$1:$1,CURVAS!T$20)</f>
        <v>264</v>
      </c>
      <c r="U21" s="21">
        <f>SUMIFS(HISTOGRAMA!$33:$33,HISTOGRAMA!$2:$2,"prev.",HISTOGRAMA!$1:$1,CURVAS!U$20)</f>
        <v>264</v>
      </c>
      <c r="V21" s="21">
        <f>SUMIFS(HISTOGRAMA!$33:$33,HISTOGRAMA!$2:$2,"prev.",HISTOGRAMA!$1:$1,CURVAS!V$20)</f>
        <v>264</v>
      </c>
      <c r="W21" s="21">
        <f>SUMIFS(HISTOGRAMA!$33:$33,HISTOGRAMA!$2:$2,"prev.",HISTOGRAMA!$1:$1,CURVAS!W$20)</f>
        <v>240</v>
      </c>
      <c r="X21" s="21">
        <f>SUMIFS(HISTOGRAMA!$33:$33,HISTOGRAMA!$2:$2,"prev.",HISTOGRAMA!$1:$1,CURVAS!X$20)</f>
        <v>114.5</v>
      </c>
    </row>
    <row r="22" spans="1:24" x14ac:dyDescent="0.35">
      <c r="A22" s="19" t="s">
        <v>58</v>
      </c>
      <c r="B22" s="21">
        <f>HISTOGRAMA!C33</f>
        <v>5</v>
      </c>
      <c r="C22" s="21">
        <f>HISTOGRAMA!E33</f>
        <v>89</v>
      </c>
      <c r="D22" s="21">
        <f>HISTOGRAMA!G33</f>
        <v>127</v>
      </c>
      <c r="E22" s="21">
        <f>HISTOGRAMA!I33</f>
        <v>150</v>
      </c>
      <c r="F22" s="21">
        <f>HISTOGRAMA!K33</f>
        <v>144</v>
      </c>
      <c r="G22" s="21">
        <f>HISTOGRAMA!M33</f>
        <v>194</v>
      </c>
      <c r="H22" s="21">
        <f>HISTOGRAMA!O33</f>
        <v>198</v>
      </c>
      <c r="I22" s="132">
        <f>HISTOGRAMA!Q33</f>
        <v>214</v>
      </c>
      <c r="J22" s="17"/>
      <c r="K22" s="17"/>
      <c r="L22" s="17"/>
      <c r="M22" s="17"/>
      <c r="N22" s="17"/>
      <c r="O22" s="17"/>
      <c r="P22" s="17"/>
      <c r="Q22" s="17"/>
      <c r="R22" s="17"/>
      <c r="S22" s="17"/>
      <c r="T22" s="17"/>
      <c r="U22" s="17"/>
      <c r="V22" s="17"/>
      <c r="W22" s="17"/>
      <c r="X22" s="17"/>
    </row>
    <row r="24" spans="1:24" x14ac:dyDescent="0.35">
      <c r="A24" s="22" t="s">
        <v>66</v>
      </c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</row>
    <row r="25" spans="1:24" x14ac:dyDescent="0.35">
      <c r="A25" s="4" t="s">
        <v>62</v>
      </c>
      <c r="B25" s="20">
        <v>45992</v>
      </c>
      <c r="C25" s="20">
        <v>46023</v>
      </c>
      <c r="D25" s="20">
        <v>46054</v>
      </c>
      <c r="E25" s="20">
        <v>46082</v>
      </c>
      <c r="F25" s="20">
        <v>46113</v>
      </c>
      <c r="G25" s="20">
        <v>46143</v>
      </c>
      <c r="H25" s="20">
        <v>46174</v>
      </c>
      <c r="I25" s="20">
        <v>46204</v>
      </c>
      <c r="J25" s="20">
        <v>46235</v>
      </c>
      <c r="K25" s="20">
        <v>46266</v>
      </c>
      <c r="L25" s="20">
        <v>46296</v>
      </c>
      <c r="M25" s="20">
        <v>46327</v>
      </c>
      <c r="N25" s="20">
        <v>46357</v>
      </c>
      <c r="O25" s="20">
        <v>46388</v>
      </c>
      <c r="P25" s="20">
        <v>46419</v>
      </c>
      <c r="Q25" s="20">
        <v>46447</v>
      </c>
      <c r="R25" s="20">
        <v>46478</v>
      </c>
      <c r="S25" s="20">
        <v>46508</v>
      </c>
      <c r="T25" s="20">
        <v>46539</v>
      </c>
      <c r="U25" s="20">
        <v>46569</v>
      </c>
      <c r="V25" s="20">
        <v>46600</v>
      </c>
      <c r="W25" s="20">
        <v>46631</v>
      </c>
      <c r="X25" s="20">
        <v>46661</v>
      </c>
    </row>
    <row r="26" spans="1:24" x14ac:dyDescent="0.35">
      <c r="A26" s="19" t="s">
        <v>56</v>
      </c>
      <c r="B26" s="21">
        <f>SUMIFS(HISTOGRAMA!$79:$79,HISTOGRAMA!$2:$2,"prev.",HISTOGRAMA!$1:$1,CURVAS!B$20)</f>
        <v>0</v>
      </c>
      <c r="C26" s="21">
        <f>SUMIFS(HISTOGRAMA!$79:$79,HISTOGRAMA!$2:$2,"prev.",HISTOGRAMA!$1:$1,CURVAS!C$20)</f>
        <v>32.5</v>
      </c>
      <c r="D26" s="21">
        <f>SUMIFS(HISTOGRAMA!$79:$79,HISTOGRAMA!$2:$2,"prev.",HISTOGRAMA!$1:$1,CURVAS!D$20)</f>
        <v>97</v>
      </c>
      <c r="E26" s="21">
        <f>SUMIFS(HISTOGRAMA!$79:$79,HISTOGRAMA!$2:$2,"prev.",HISTOGRAMA!$1:$1,CURVAS!E$20)</f>
        <v>104</v>
      </c>
      <c r="F26" s="21">
        <f>SUMIFS(HISTOGRAMA!$79:$79,HISTOGRAMA!$2:$2,"prev.",HISTOGRAMA!$1:$1,CURVAS!F$20)</f>
        <v>107</v>
      </c>
      <c r="G26" s="21">
        <f>SUMIFS(HISTOGRAMA!$79:$79,HISTOGRAMA!$2:$2,"prev.",HISTOGRAMA!$1:$1,CURVAS!G$20)</f>
        <v>107</v>
      </c>
      <c r="H26" s="21">
        <f>SUMIFS(HISTOGRAMA!$79:$79,HISTOGRAMA!$2:$2,"prev.",HISTOGRAMA!$1:$1,CURVAS!H$20)</f>
        <v>107</v>
      </c>
      <c r="I26" s="21">
        <f>SUMIFS(HISTOGRAMA!$79:$79,HISTOGRAMA!$2:$2,"prev.",HISTOGRAMA!$1:$1,CURVAS!I$20)</f>
        <v>107</v>
      </c>
      <c r="J26" s="21">
        <f>SUMIFS(HISTOGRAMA!$79:$79,HISTOGRAMA!$2:$2,"prev.",HISTOGRAMA!$1:$1,CURVAS!J$20)</f>
        <v>107</v>
      </c>
      <c r="K26" s="21">
        <f>SUMIFS(HISTOGRAMA!$79:$79,HISTOGRAMA!$2:$2,"prev.",HISTOGRAMA!$1:$1,CURVAS!K$20)</f>
        <v>107</v>
      </c>
      <c r="L26" s="21">
        <f>SUMIFS(HISTOGRAMA!$79:$79,HISTOGRAMA!$2:$2,"prev.",HISTOGRAMA!$1:$1,CURVAS!L$20)</f>
        <v>107</v>
      </c>
      <c r="M26" s="21">
        <f>SUMIFS(HISTOGRAMA!$79:$79,HISTOGRAMA!$2:$2,"prev.",HISTOGRAMA!$1:$1,CURVAS!M$20)</f>
        <v>104</v>
      </c>
      <c r="N26" s="21">
        <f>SUMIFS(HISTOGRAMA!$79:$79,HISTOGRAMA!$2:$2,"prev.",HISTOGRAMA!$1:$1,CURVAS!N$20)</f>
        <v>104</v>
      </c>
      <c r="O26" s="21">
        <f>SUMIFS(HISTOGRAMA!$79:$79,HISTOGRAMA!$2:$2,"prev.",HISTOGRAMA!$1:$1,CURVAS!O$20)</f>
        <v>104</v>
      </c>
      <c r="P26" s="21">
        <f>SUMIFS(HISTOGRAMA!$79:$79,HISTOGRAMA!$2:$2,"prev.",HISTOGRAMA!$1:$1,CURVAS!P$20)</f>
        <v>107</v>
      </c>
      <c r="Q26" s="21">
        <f>SUMIFS(HISTOGRAMA!$79:$79,HISTOGRAMA!$2:$2,"prev.",HISTOGRAMA!$1:$1,CURVAS!Q$20)</f>
        <v>108</v>
      </c>
      <c r="R26" s="21">
        <f>SUMIFS(HISTOGRAMA!$79:$79,HISTOGRAMA!$2:$2,"prev.",HISTOGRAMA!$1:$1,CURVAS!R$20)</f>
        <v>108</v>
      </c>
      <c r="S26" s="21">
        <f>SUMIFS(HISTOGRAMA!$79:$79,HISTOGRAMA!$2:$2,"prev.",HISTOGRAMA!$1:$1,CURVAS!S$20)</f>
        <v>108</v>
      </c>
      <c r="T26" s="21">
        <f>SUMIFS(HISTOGRAMA!$79:$79,HISTOGRAMA!$2:$2,"prev.",HISTOGRAMA!$1:$1,CURVAS!T$20)</f>
        <v>109</v>
      </c>
      <c r="U26" s="21">
        <f>SUMIFS(HISTOGRAMA!$79:$79,HISTOGRAMA!$2:$2,"prev.",HISTOGRAMA!$1:$1,CURVAS!U$20)</f>
        <v>109</v>
      </c>
      <c r="V26" s="21">
        <f>SUMIFS(HISTOGRAMA!$79:$79,HISTOGRAMA!$2:$2,"prev.",HISTOGRAMA!$1:$1,CURVAS!V$20)</f>
        <v>108</v>
      </c>
      <c r="W26" s="21">
        <f>SUMIFS(HISTOGRAMA!$79:$79,HISTOGRAMA!$2:$2,"prev.",HISTOGRAMA!$1:$1,CURVAS!W$20)</f>
        <v>101</v>
      </c>
      <c r="X26" s="21">
        <f>SUMIFS(HISTOGRAMA!$79:$79,HISTOGRAMA!$2:$2,"prev.",HISTOGRAMA!$1:$1,CURVAS!X$20)</f>
        <v>69.375</v>
      </c>
    </row>
    <row r="27" spans="1:24" x14ac:dyDescent="0.35">
      <c r="A27" s="19" t="s">
        <v>58</v>
      </c>
      <c r="B27" s="21">
        <f>HISTOGRAMA!C79</f>
        <v>4</v>
      </c>
      <c r="C27" s="21">
        <f>HISTOGRAMA!E79</f>
        <v>34</v>
      </c>
      <c r="D27" s="21">
        <f>HISTOGRAMA!G79</f>
        <v>56</v>
      </c>
      <c r="E27" s="21">
        <f>HISTOGRAMA!I79</f>
        <v>64</v>
      </c>
      <c r="F27" s="21">
        <f>HISTOGRAMA!K79</f>
        <v>72</v>
      </c>
      <c r="G27" s="21">
        <f>HISTOGRAMA!M79</f>
        <v>84</v>
      </c>
      <c r="H27" s="21">
        <f>HISTOGRAMA!O79</f>
        <v>88</v>
      </c>
      <c r="I27" s="132">
        <f>HISTOGRAMA!Q79</f>
        <v>96</v>
      </c>
      <c r="J27" s="17"/>
      <c r="K27" s="17"/>
      <c r="L27" s="17"/>
      <c r="M27" s="17"/>
      <c r="N27" s="17"/>
      <c r="O27" s="17"/>
      <c r="P27" s="17"/>
      <c r="Q27" s="17"/>
      <c r="R27" s="17"/>
      <c r="S27" s="17"/>
      <c r="T27" s="17"/>
      <c r="U27" s="17"/>
      <c r="V27" s="17"/>
      <c r="W27" s="17"/>
      <c r="X27" s="17"/>
    </row>
    <row r="29" spans="1:24" x14ac:dyDescent="0.35">
      <c r="A29" s="22" t="s">
        <v>67</v>
      </c>
      <c r="B29" s="22"/>
      <c r="C29" s="22"/>
      <c r="D29" s="22"/>
      <c r="E29" s="22"/>
      <c r="F29" s="22"/>
      <c r="G29" s="22"/>
      <c r="H29" s="22"/>
      <c r="I29" s="22"/>
      <c r="J29" s="22"/>
      <c r="K29" s="22"/>
      <c r="L29" s="22"/>
      <c r="M29" s="22"/>
      <c r="N29" s="22"/>
      <c r="O29" s="22"/>
      <c r="P29" s="22"/>
      <c r="Q29" s="22"/>
      <c r="R29" s="22"/>
      <c r="S29" s="22"/>
      <c r="T29" s="22"/>
      <c r="U29" s="22"/>
      <c r="V29" s="22"/>
      <c r="W29" s="22"/>
      <c r="X29" s="22"/>
    </row>
    <row r="30" spans="1:24" x14ac:dyDescent="0.35">
      <c r="A30" s="4" t="s">
        <v>62</v>
      </c>
      <c r="B30" s="20">
        <v>45992</v>
      </c>
      <c r="C30" s="20">
        <v>46023</v>
      </c>
      <c r="D30" s="20">
        <v>46054</v>
      </c>
      <c r="E30" s="20">
        <v>46082</v>
      </c>
      <c r="F30" s="20">
        <v>46113</v>
      </c>
      <c r="G30" s="20">
        <v>46143</v>
      </c>
      <c r="H30" s="20">
        <v>46174</v>
      </c>
      <c r="I30" s="20">
        <v>46204</v>
      </c>
      <c r="J30" s="20">
        <v>46235</v>
      </c>
      <c r="K30" s="20">
        <v>46266</v>
      </c>
      <c r="L30" s="20">
        <v>46296</v>
      </c>
      <c r="M30" s="20">
        <v>46327</v>
      </c>
      <c r="N30" s="20">
        <v>46357</v>
      </c>
      <c r="O30" s="20">
        <v>46388</v>
      </c>
      <c r="P30" s="20">
        <v>46419</v>
      </c>
      <c r="Q30" s="20">
        <v>46447</v>
      </c>
      <c r="R30" s="20">
        <v>46478</v>
      </c>
      <c r="S30" s="20">
        <v>46508</v>
      </c>
      <c r="T30" s="20">
        <v>46539</v>
      </c>
      <c r="U30" s="20">
        <v>46569</v>
      </c>
      <c r="V30" s="20">
        <v>46600</v>
      </c>
      <c r="W30" s="20">
        <v>46631</v>
      </c>
      <c r="X30" s="20">
        <v>46661</v>
      </c>
    </row>
    <row r="31" spans="1:24" x14ac:dyDescent="0.35">
      <c r="A31" s="19" t="s">
        <v>56</v>
      </c>
      <c r="B31" s="21">
        <f>SUMIFS(HISTOGRAMA!$116:$116,HISTOGRAMA!$2:$2,"prev.",HISTOGRAMA!$1:$1,CURVAS!B$20)</f>
        <v>1</v>
      </c>
      <c r="C31" s="21">
        <f>SUMIFS(HISTOGRAMA!$116:$116,HISTOGRAMA!$2:$2,"prev.",HISTOGRAMA!$1:$1,CURVAS!C$20)</f>
        <v>1</v>
      </c>
      <c r="D31" s="21">
        <f>SUMIFS(HISTOGRAMA!$116:$116,HISTOGRAMA!$2:$2,"prev.",HISTOGRAMA!$1:$1,CURVAS!D$20)</f>
        <v>21</v>
      </c>
      <c r="E31" s="21">
        <f>SUMIFS(HISTOGRAMA!$116:$116,HISTOGRAMA!$2:$2,"prev.",HISTOGRAMA!$1:$1,CURVAS!E$20)</f>
        <v>36</v>
      </c>
      <c r="F31" s="21">
        <f>SUMIFS(HISTOGRAMA!$116:$116,HISTOGRAMA!$2:$2,"prev.",HISTOGRAMA!$1:$1,CURVAS!F$20)</f>
        <v>39</v>
      </c>
      <c r="G31" s="21">
        <f>SUMIFS(HISTOGRAMA!$116:$116,HISTOGRAMA!$2:$2,"prev.",HISTOGRAMA!$1:$1,CURVAS!G$20)</f>
        <v>39</v>
      </c>
      <c r="H31" s="21">
        <f>SUMIFS(HISTOGRAMA!$116:$116,HISTOGRAMA!$2:$2,"prev.",HISTOGRAMA!$1:$1,CURVAS!H$20)</f>
        <v>39</v>
      </c>
      <c r="I31" s="21">
        <f>SUMIFS(HISTOGRAMA!$116:$116,HISTOGRAMA!$2:$2,"prev.",HISTOGRAMA!$1:$1,CURVAS!I$20)</f>
        <v>39</v>
      </c>
      <c r="J31" s="21">
        <f>SUMIFS(HISTOGRAMA!$116:$116,HISTOGRAMA!$2:$2,"prev.",HISTOGRAMA!$1:$1,CURVAS!J$20)</f>
        <v>39</v>
      </c>
      <c r="K31" s="21">
        <f>SUMIFS(HISTOGRAMA!$116:$116,HISTOGRAMA!$2:$2,"prev.",HISTOGRAMA!$1:$1,CURVAS!K$20)</f>
        <v>39</v>
      </c>
      <c r="L31" s="21">
        <f>SUMIFS(HISTOGRAMA!$116:$116,HISTOGRAMA!$2:$2,"prev.",HISTOGRAMA!$1:$1,CURVAS!L$20)</f>
        <v>39</v>
      </c>
      <c r="M31" s="21">
        <f>SUMIFS(HISTOGRAMA!$116:$116,HISTOGRAMA!$2:$2,"prev.",HISTOGRAMA!$1:$1,CURVAS!M$20)</f>
        <v>37</v>
      </c>
      <c r="N31" s="21">
        <f>SUMIFS(HISTOGRAMA!$116:$116,HISTOGRAMA!$2:$2,"prev.",HISTOGRAMA!$1:$1,CURVAS!N$20)</f>
        <v>37</v>
      </c>
      <c r="O31" s="21">
        <f>SUMIFS(HISTOGRAMA!$116:$116,HISTOGRAMA!$2:$2,"prev.",HISTOGRAMA!$1:$1,CURVAS!O$20)</f>
        <v>37</v>
      </c>
      <c r="P31" s="21">
        <f>SUMIFS(HISTOGRAMA!$116:$116,HISTOGRAMA!$2:$2,"prev.",HISTOGRAMA!$1:$1,CURVAS!P$20)</f>
        <v>39</v>
      </c>
      <c r="Q31" s="21">
        <f>SUMIFS(HISTOGRAMA!$116:$116,HISTOGRAMA!$2:$2,"prev.",HISTOGRAMA!$1:$1,CURVAS!Q$20)</f>
        <v>39</v>
      </c>
      <c r="R31" s="21">
        <f>SUMIFS(HISTOGRAMA!$116:$116,HISTOGRAMA!$2:$2,"prev.",HISTOGRAMA!$1:$1,CURVAS!R$20)</f>
        <v>39</v>
      </c>
      <c r="S31" s="21">
        <f>SUMIFS(HISTOGRAMA!$116:$116,HISTOGRAMA!$2:$2,"prev.",HISTOGRAMA!$1:$1,CURVAS!S$20)</f>
        <v>39</v>
      </c>
      <c r="T31" s="21">
        <f>SUMIFS(HISTOGRAMA!$116:$116,HISTOGRAMA!$2:$2,"prev.",HISTOGRAMA!$1:$1,CURVAS!T$20)</f>
        <v>39</v>
      </c>
      <c r="U31" s="21">
        <f>SUMIFS(HISTOGRAMA!$116:$116,HISTOGRAMA!$2:$2,"prev.",HISTOGRAMA!$1:$1,CURVAS!U$20)</f>
        <v>39</v>
      </c>
      <c r="V31" s="21">
        <f>SUMIFS(HISTOGRAMA!$116:$116,HISTOGRAMA!$2:$2,"prev.",HISTOGRAMA!$1:$1,CURVAS!V$20)</f>
        <v>39</v>
      </c>
      <c r="W31" s="21">
        <f>SUMIFS(HISTOGRAMA!$116:$116,HISTOGRAMA!$2:$2,"prev.",HISTOGRAMA!$1:$1,CURVAS!W$20)</f>
        <v>31</v>
      </c>
      <c r="X31" s="21">
        <f>SUMIFS(HISTOGRAMA!$116:$116,HISTOGRAMA!$2:$2,"prev.",HISTOGRAMA!$1:$1,CURVAS!X$20)</f>
        <v>4.5</v>
      </c>
    </row>
    <row r="32" spans="1:24" x14ac:dyDescent="0.35">
      <c r="A32" s="19" t="s">
        <v>58</v>
      </c>
      <c r="B32" s="21">
        <f>HISTOGRAMA!C116</f>
        <v>1</v>
      </c>
      <c r="C32" s="21">
        <f>HISTOGRAMA!E116</f>
        <v>11</v>
      </c>
      <c r="D32" s="21">
        <f>HISTOGRAMA!G116</f>
        <v>17</v>
      </c>
      <c r="E32" s="21">
        <f>HISTOGRAMA!I116</f>
        <v>21</v>
      </c>
      <c r="F32" s="21">
        <f>HISTOGRAMA!K116</f>
        <v>26</v>
      </c>
      <c r="G32" s="21">
        <f>HISTOGRAMA!M116</f>
        <v>32</v>
      </c>
      <c r="H32" s="21">
        <f>HISTOGRAMA!O116</f>
        <v>38</v>
      </c>
      <c r="I32" s="132">
        <f>HISTOGRAMA!Q116</f>
        <v>43</v>
      </c>
      <c r="J32" s="17"/>
      <c r="K32" s="17"/>
      <c r="L32" s="17"/>
      <c r="M32" s="17"/>
      <c r="N32" s="17"/>
      <c r="O32" s="17"/>
      <c r="P32" s="17"/>
      <c r="Q32" s="17"/>
      <c r="R32" s="17"/>
      <c r="S32" s="17"/>
      <c r="T32" s="17"/>
      <c r="U32" s="17"/>
      <c r="V32" s="17"/>
      <c r="W32" s="17"/>
      <c r="X32" s="17"/>
    </row>
    <row r="34" spans="1:24" x14ac:dyDescent="0.35">
      <c r="A34" s="22" t="s">
        <v>68</v>
      </c>
      <c r="B34" s="22"/>
      <c r="C34" s="22"/>
      <c r="D34" s="22"/>
      <c r="E34" s="22"/>
      <c r="F34" s="22"/>
      <c r="G34" s="22"/>
      <c r="H34" s="22"/>
      <c r="I34" s="22"/>
      <c r="J34" s="22"/>
      <c r="K34" s="22"/>
      <c r="L34" s="22"/>
      <c r="M34" s="22"/>
      <c r="N34" s="22"/>
      <c r="O34" s="22"/>
      <c r="P34" s="22"/>
      <c r="Q34" s="22"/>
      <c r="R34" s="22"/>
      <c r="S34" s="22"/>
      <c r="T34" s="22"/>
      <c r="U34" s="22"/>
      <c r="V34" s="22"/>
      <c r="W34" s="22"/>
      <c r="X34" s="22"/>
    </row>
    <row r="35" spans="1:24" x14ac:dyDescent="0.35">
      <c r="A35" s="4" t="s">
        <v>62</v>
      </c>
      <c r="B35" s="20">
        <v>45992</v>
      </c>
      <c r="C35" s="20">
        <v>46023</v>
      </c>
      <c r="D35" s="20">
        <v>46054</v>
      </c>
      <c r="E35" s="20">
        <v>46082</v>
      </c>
      <c r="F35" s="20">
        <v>46113</v>
      </c>
      <c r="G35" s="20">
        <v>46143</v>
      </c>
      <c r="H35" s="20">
        <v>46174</v>
      </c>
      <c r="I35" s="20">
        <v>46204</v>
      </c>
      <c r="J35" s="20">
        <v>46235</v>
      </c>
      <c r="K35" s="20">
        <v>46266</v>
      </c>
      <c r="L35" s="20">
        <v>46296</v>
      </c>
      <c r="M35" s="20">
        <v>46327</v>
      </c>
      <c r="N35" s="20">
        <v>46357</v>
      </c>
      <c r="O35" s="20">
        <v>46388</v>
      </c>
      <c r="P35" s="20">
        <v>46419</v>
      </c>
      <c r="Q35" s="20">
        <v>46447</v>
      </c>
      <c r="R35" s="20">
        <v>46478</v>
      </c>
      <c r="S35" s="20">
        <v>46508</v>
      </c>
      <c r="T35" s="20">
        <v>46539</v>
      </c>
      <c r="U35" s="20">
        <v>46569</v>
      </c>
      <c r="V35" s="20">
        <v>46600</v>
      </c>
      <c r="W35" s="20">
        <v>46631</v>
      </c>
      <c r="X35" s="20">
        <v>46661</v>
      </c>
    </row>
    <row r="36" spans="1:24" x14ac:dyDescent="0.35">
      <c r="A36" s="19" t="s">
        <v>56</v>
      </c>
      <c r="B36" s="21">
        <f>SUMIFS(HISTOGRAMA!$90:$90,HISTOGRAMA!$2:$2,"prev.",HISTOGRAMA!$1:$1,CURVAS!B$20)</f>
        <v>0</v>
      </c>
      <c r="C36" s="21">
        <f>SUMIFS(HISTOGRAMA!$90:$90,HISTOGRAMA!$2:$2,"prev.",HISTOGRAMA!$1:$1,CURVAS!C$20)</f>
        <v>4</v>
      </c>
      <c r="D36" s="21">
        <f>SUMIFS(HISTOGRAMA!$90:$90,HISTOGRAMA!$2:$2,"prev.",HISTOGRAMA!$1:$1,CURVAS!D$20)</f>
        <v>20</v>
      </c>
      <c r="E36" s="21">
        <f>SUMIFS(HISTOGRAMA!$90:$90,HISTOGRAMA!$2:$2,"prev.",HISTOGRAMA!$1:$1,CURVAS!E$20)</f>
        <v>32</v>
      </c>
      <c r="F36" s="21">
        <f>SUMIFS(HISTOGRAMA!$90:$90,HISTOGRAMA!$2:$2,"prev.",HISTOGRAMA!$1:$1,CURVAS!F$20)</f>
        <v>34</v>
      </c>
      <c r="G36" s="21">
        <f>SUMIFS(HISTOGRAMA!$90:$90,HISTOGRAMA!$2:$2,"prev.",HISTOGRAMA!$1:$1,CURVAS!G$20)</f>
        <v>34</v>
      </c>
      <c r="H36" s="21">
        <f>SUMIFS(HISTOGRAMA!$90:$90,HISTOGRAMA!$2:$2,"prev.",HISTOGRAMA!$1:$1,CURVAS!H$20)</f>
        <v>34</v>
      </c>
      <c r="I36" s="21">
        <f>SUMIFS(HISTOGRAMA!$90:$90,HISTOGRAMA!$2:$2,"prev.",HISTOGRAMA!$1:$1,CURVAS!I$20)</f>
        <v>34</v>
      </c>
      <c r="J36" s="21">
        <f>SUMIFS(HISTOGRAMA!$90:$90,HISTOGRAMA!$2:$2,"prev.",HISTOGRAMA!$1:$1,CURVAS!J$20)</f>
        <v>34</v>
      </c>
      <c r="K36" s="21">
        <f>SUMIFS(HISTOGRAMA!$90:$90,HISTOGRAMA!$2:$2,"prev.",HISTOGRAMA!$1:$1,CURVAS!K$20)</f>
        <v>34</v>
      </c>
      <c r="L36" s="21">
        <f>SUMIFS(HISTOGRAMA!$90:$90,HISTOGRAMA!$2:$2,"prev.",HISTOGRAMA!$1:$1,CURVAS!L$20)</f>
        <v>34</v>
      </c>
      <c r="M36" s="21">
        <f>SUMIFS(HISTOGRAMA!$90:$90,HISTOGRAMA!$2:$2,"prev.",HISTOGRAMA!$1:$1,CURVAS!M$20)</f>
        <v>34</v>
      </c>
      <c r="N36" s="21">
        <f>SUMIFS(HISTOGRAMA!$90:$90,HISTOGRAMA!$2:$2,"prev.",HISTOGRAMA!$1:$1,CURVAS!N$20)</f>
        <v>34</v>
      </c>
      <c r="O36" s="21">
        <f>SUMIFS(HISTOGRAMA!$90:$90,HISTOGRAMA!$2:$2,"prev.",HISTOGRAMA!$1:$1,CURVAS!O$20)</f>
        <v>34</v>
      </c>
      <c r="P36" s="21">
        <f>SUMIFS(HISTOGRAMA!$90:$90,HISTOGRAMA!$2:$2,"prev.",HISTOGRAMA!$1:$1,CURVAS!P$20)</f>
        <v>34</v>
      </c>
      <c r="Q36" s="21">
        <f>SUMIFS(HISTOGRAMA!$90:$90,HISTOGRAMA!$2:$2,"prev.",HISTOGRAMA!$1:$1,CURVAS!Q$20)</f>
        <v>35</v>
      </c>
      <c r="R36" s="21">
        <f>SUMIFS(HISTOGRAMA!$90:$90,HISTOGRAMA!$2:$2,"prev.",HISTOGRAMA!$1:$1,CURVAS!R$20)</f>
        <v>35</v>
      </c>
      <c r="S36" s="21">
        <f>SUMIFS(HISTOGRAMA!$90:$90,HISTOGRAMA!$2:$2,"prev.",HISTOGRAMA!$1:$1,CURVAS!S$20)</f>
        <v>35</v>
      </c>
      <c r="T36" s="21">
        <f>SUMIFS(HISTOGRAMA!$90:$90,HISTOGRAMA!$2:$2,"prev.",HISTOGRAMA!$1:$1,CURVAS!T$20)</f>
        <v>35</v>
      </c>
      <c r="U36" s="21">
        <f>SUMIFS(HISTOGRAMA!$90:$90,HISTOGRAMA!$2:$2,"prev.",HISTOGRAMA!$1:$1,CURVAS!U$20)</f>
        <v>35</v>
      </c>
      <c r="V36" s="21">
        <f>SUMIFS(HISTOGRAMA!$90:$90,HISTOGRAMA!$2:$2,"prev.",HISTOGRAMA!$1:$1,CURVAS!V$20)</f>
        <v>35</v>
      </c>
      <c r="W36" s="21">
        <f>SUMIFS(HISTOGRAMA!$90:$90,HISTOGRAMA!$2:$2,"prev.",HISTOGRAMA!$1:$1,CURVAS!W$20)</f>
        <v>32</v>
      </c>
      <c r="X36" s="21">
        <f>SUMIFS(HISTOGRAMA!$90:$90,HISTOGRAMA!$2:$2,"prev.",HISTOGRAMA!$1:$1,CURVAS!X$20)</f>
        <v>15</v>
      </c>
    </row>
    <row r="37" spans="1:24" x14ac:dyDescent="0.35">
      <c r="A37" s="19" t="s">
        <v>58</v>
      </c>
      <c r="B37" s="21">
        <f>HISTOGRAMA!C90</f>
        <v>0</v>
      </c>
      <c r="C37" s="21">
        <f>HISTOGRAMA!E90</f>
        <v>13</v>
      </c>
      <c r="D37" s="21">
        <f>HISTOGRAMA!G90</f>
        <v>25</v>
      </c>
      <c r="E37" s="21">
        <f>HISTOGRAMA!I90</f>
        <v>25</v>
      </c>
      <c r="F37" s="21">
        <f>HISTOGRAMA!K90</f>
        <v>38</v>
      </c>
      <c r="G37" s="21">
        <f>HISTOGRAMA!M90</f>
        <v>41</v>
      </c>
      <c r="H37" s="21">
        <f>HISTOGRAMA!O90</f>
        <v>42</v>
      </c>
      <c r="I37" s="132">
        <f>HISTOGRAMA!Q90</f>
        <v>43</v>
      </c>
      <c r="J37" s="17"/>
      <c r="K37" s="17"/>
      <c r="L37" s="17"/>
      <c r="M37" s="17"/>
      <c r="N37" s="17"/>
      <c r="O37" s="17"/>
      <c r="P37" s="17"/>
      <c r="Q37" s="17"/>
      <c r="R37" s="17"/>
      <c r="S37" s="17"/>
      <c r="T37" s="17"/>
      <c r="U37" s="17"/>
      <c r="V37" s="17"/>
      <c r="W37" s="17"/>
      <c r="X37" s="17"/>
    </row>
  </sheetData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6E6F1F-C0D7-43E4-BBCA-F0E8F422D280}">
  <dimension ref="A1:BR135"/>
  <sheetViews>
    <sheetView workbookViewId="0">
      <selection activeCell="E14" sqref="E14"/>
    </sheetView>
  </sheetViews>
  <sheetFormatPr defaultRowHeight="14.5" outlineLevelCol="1" x14ac:dyDescent="0.35"/>
  <cols>
    <col min="1" max="1" width="31.6328125" bestFit="1" customWidth="1"/>
    <col min="2" max="47" width="8.7265625" customWidth="1" outlineLevel="1"/>
    <col min="48" max="70" width="8.7265625" customWidth="1"/>
  </cols>
  <sheetData>
    <row r="1" spans="1:70" ht="15" thickBot="1" x14ac:dyDescent="0.4">
      <c r="A1" s="130" t="s">
        <v>99</v>
      </c>
      <c r="B1" s="23">
        <v>45992</v>
      </c>
      <c r="C1" s="24"/>
      <c r="D1" s="23">
        <v>46023</v>
      </c>
      <c r="E1" s="24"/>
      <c r="F1" s="23">
        <v>46054</v>
      </c>
      <c r="G1" s="24"/>
      <c r="H1" s="23">
        <v>46082</v>
      </c>
      <c r="I1" s="24"/>
      <c r="J1" s="23">
        <v>46113</v>
      </c>
      <c r="K1" s="24"/>
      <c r="L1" s="23">
        <v>46143</v>
      </c>
      <c r="M1" s="24"/>
      <c r="N1" s="23">
        <v>46174</v>
      </c>
      <c r="O1" s="24"/>
      <c r="P1" s="23">
        <v>46204</v>
      </c>
      <c r="Q1" s="24"/>
      <c r="R1" s="23">
        <v>46235</v>
      </c>
      <c r="S1" s="24"/>
      <c r="T1" s="23">
        <v>46266</v>
      </c>
      <c r="U1" s="24"/>
      <c r="V1" s="23">
        <v>46296</v>
      </c>
      <c r="W1" s="24"/>
      <c r="X1" s="23">
        <v>46327</v>
      </c>
      <c r="Y1" s="24"/>
      <c r="Z1" s="23">
        <v>46357</v>
      </c>
      <c r="AA1" s="24"/>
      <c r="AB1" s="23">
        <v>46388</v>
      </c>
      <c r="AC1" s="24"/>
      <c r="AD1" s="23">
        <v>46419</v>
      </c>
      <c r="AE1" s="24"/>
      <c r="AF1" s="23">
        <v>46447</v>
      </c>
      <c r="AG1" s="24"/>
      <c r="AH1" s="23">
        <v>46478</v>
      </c>
      <c r="AI1" s="24"/>
      <c r="AJ1" s="23">
        <v>46508</v>
      </c>
      <c r="AK1" s="24"/>
      <c r="AL1" s="23">
        <v>46539</v>
      </c>
      <c r="AM1" s="24"/>
      <c r="AN1" s="23">
        <v>46569</v>
      </c>
      <c r="AO1" s="24"/>
      <c r="AP1" s="23">
        <v>46600</v>
      </c>
      <c r="AQ1" s="24"/>
      <c r="AR1" s="23">
        <v>46631</v>
      </c>
      <c r="AS1" s="24"/>
      <c r="AT1" s="23">
        <v>46661</v>
      </c>
      <c r="AU1" s="25"/>
      <c r="AV1" s="63">
        <v>45992</v>
      </c>
      <c r="AW1" s="62">
        <v>46023</v>
      </c>
      <c r="AX1" s="62">
        <v>46054</v>
      </c>
      <c r="AY1" s="62">
        <v>46082</v>
      </c>
      <c r="AZ1" s="62">
        <v>46113</v>
      </c>
      <c r="BA1" s="62">
        <v>46143</v>
      </c>
      <c r="BB1" s="62">
        <v>46174</v>
      </c>
      <c r="BC1" s="62">
        <v>46204</v>
      </c>
      <c r="BD1" s="62">
        <v>46235</v>
      </c>
      <c r="BE1" s="62">
        <v>46266</v>
      </c>
      <c r="BF1" s="62">
        <v>46296</v>
      </c>
      <c r="BG1" s="62">
        <v>46327</v>
      </c>
      <c r="BH1" s="62">
        <v>46357</v>
      </c>
      <c r="BI1" s="62">
        <v>46388</v>
      </c>
      <c r="BJ1" s="62">
        <v>46419</v>
      </c>
      <c r="BK1" s="62">
        <v>46447</v>
      </c>
      <c r="BL1" s="62">
        <v>46478</v>
      </c>
      <c r="BM1" s="62">
        <v>46508</v>
      </c>
      <c r="BN1" s="62">
        <v>46539</v>
      </c>
      <c r="BO1" s="62">
        <v>46569</v>
      </c>
      <c r="BP1" s="62">
        <v>46600</v>
      </c>
      <c r="BQ1" s="62">
        <v>46631</v>
      </c>
      <c r="BR1" s="64">
        <v>46661</v>
      </c>
    </row>
    <row r="2" spans="1:70" ht="15" thickBot="1" x14ac:dyDescent="0.4">
      <c r="A2" s="131"/>
      <c r="B2" s="26" t="s">
        <v>100</v>
      </c>
      <c r="C2" s="27" t="s">
        <v>101</v>
      </c>
      <c r="D2" s="26" t="s">
        <v>100</v>
      </c>
      <c r="E2" s="27" t="s">
        <v>101</v>
      </c>
      <c r="F2" s="26" t="s">
        <v>100</v>
      </c>
      <c r="G2" s="27" t="s">
        <v>101</v>
      </c>
      <c r="H2" s="26" t="s">
        <v>100</v>
      </c>
      <c r="I2" s="27" t="s">
        <v>101</v>
      </c>
      <c r="J2" s="26" t="s">
        <v>100</v>
      </c>
      <c r="K2" s="27" t="s">
        <v>101</v>
      </c>
      <c r="L2" s="26" t="s">
        <v>100</v>
      </c>
      <c r="M2" s="27" t="s">
        <v>101</v>
      </c>
      <c r="N2" s="26" t="s">
        <v>100</v>
      </c>
      <c r="O2" s="27" t="s">
        <v>101</v>
      </c>
      <c r="P2" s="26" t="s">
        <v>100</v>
      </c>
      <c r="Q2" s="27" t="s">
        <v>101</v>
      </c>
      <c r="R2" s="26" t="s">
        <v>100</v>
      </c>
      <c r="S2" s="27" t="s">
        <v>101</v>
      </c>
      <c r="T2" s="26" t="s">
        <v>100</v>
      </c>
      <c r="U2" s="27" t="s">
        <v>101</v>
      </c>
      <c r="V2" s="26" t="s">
        <v>100</v>
      </c>
      <c r="W2" s="27" t="s">
        <v>101</v>
      </c>
      <c r="X2" s="26" t="s">
        <v>100</v>
      </c>
      <c r="Y2" s="27" t="s">
        <v>101</v>
      </c>
      <c r="Z2" s="26" t="s">
        <v>100</v>
      </c>
      <c r="AA2" s="27" t="s">
        <v>101</v>
      </c>
      <c r="AB2" s="26" t="s">
        <v>100</v>
      </c>
      <c r="AC2" s="27" t="s">
        <v>101</v>
      </c>
      <c r="AD2" s="26" t="s">
        <v>100</v>
      </c>
      <c r="AE2" s="27" t="s">
        <v>101</v>
      </c>
      <c r="AF2" s="26" t="s">
        <v>100</v>
      </c>
      <c r="AG2" s="27" t="s">
        <v>101</v>
      </c>
      <c r="AH2" s="26" t="s">
        <v>100</v>
      </c>
      <c r="AI2" s="27" t="s">
        <v>101</v>
      </c>
      <c r="AJ2" s="26" t="s">
        <v>100</v>
      </c>
      <c r="AK2" s="27" t="s">
        <v>101</v>
      </c>
      <c r="AL2" s="26" t="s">
        <v>100</v>
      </c>
      <c r="AM2" s="27" t="s">
        <v>101</v>
      </c>
      <c r="AN2" s="26" t="s">
        <v>100</v>
      </c>
      <c r="AO2" s="27" t="s">
        <v>101</v>
      </c>
      <c r="AP2" s="26" t="s">
        <v>100</v>
      </c>
      <c r="AQ2" s="27" t="s">
        <v>101</v>
      </c>
      <c r="AR2" s="26" t="s">
        <v>100</v>
      </c>
      <c r="AS2" s="27" t="s">
        <v>101</v>
      </c>
      <c r="AT2" s="26" t="s">
        <v>100</v>
      </c>
      <c r="AU2" s="28" t="s">
        <v>101</v>
      </c>
      <c r="AV2" s="65" t="s">
        <v>164</v>
      </c>
      <c r="AW2" s="26" t="s">
        <v>164</v>
      </c>
      <c r="AX2" s="26" t="s">
        <v>164</v>
      </c>
      <c r="AY2" s="26" t="s">
        <v>164</v>
      </c>
      <c r="AZ2" s="26" t="s">
        <v>164</v>
      </c>
      <c r="BA2" s="26" t="s">
        <v>164</v>
      </c>
      <c r="BB2" s="26" t="s">
        <v>164</v>
      </c>
      <c r="BC2" s="26" t="s">
        <v>164</v>
      </c>
      <c r="BD2" s="26" t="s">
        <v>164</v>
      </c>
      <c r="BE2" s="26" t="s">
        <v>164</v>
      </c>
      <c r="BF2" s="26" t="s">
        <v>164</v>
      </c>
      <c r="BG2" s="26" t="s">
        <v>164</v>
      </c>
      <c r="BH2" s="26" t="s">
        <v>164</v>
      </c>
      <c r="BI2" s="26" t="s">
        <v>164</v>
      </c>
      <c r="BJ2" s="26" t="s">
        <v>164</v>
      </c>
      <c r="BK2" s="26" t="s">
        <v>164</v>
      </c>
      <c r="BL2" s="26" t="s">
        <v>164</v>
      </c>
      <c r="BM2" s="26" t="s">
        <v>164</v>
      </c>
      <c r="BN2" s="26" t="s">
        <v>164</v>
      </c>
      <c r="BO2" s="26" t="s">
        <v>164</v>
      </c>
      <c r="BP2" s="26" t="s">
        <v>164</v>
      </c>
      <c r="BQ2" s="26" t="s">
        <v>164</v>
      </c>
      <c r="BR2" s="66" t="s">
        <v>164</v>
      </c>
    </row>
    <row r="3" spans="1:70" x14ac:dyDescent="0.35">
      <c r="A3" s="29" t="s">
        <v>69</v>
      </c>
      <c r="B3" s="30">
        <v>1</v>
      </c>
      <c r="C3" s="31">
        <v>0</v>
      </c>
      <c r="D3" s="30">
        <v>2</v>
      </c>
      <c r="E3" s="31">
        <v>0</v>
      </c>
      <c r="F3" s="30">
        <v>5</v>
      </c>
      <c r="G3" s="31">
        <v>0</v>
      </c>
      <c r="H3" s="30">
        <v>5</v>
      </c>
      <c r="I3" s="31">
        <v>0</v>
      </c>
      <c r="J3" s="30">
        <v>5</v>
      </c>
      <c r="K3" s="31">
        <v>0</v>
      </c>
      <c r="L3" s="30">
        <v>5</v>
      </c>
      <c r="M3" s="31">
        <v>0</v>
      </c>
      <c r="N3" s="30">
        <v>5</v>
      </c>
      <c r="O3" s="31">
        <v>5</v>
      </c>
      <c r="P3" s="30">
        <v>5</v>
      </c>
      <c r="Q3" s="86">
        <v>1</v>
      </c>
      <c r="R3" s="30">
        <v>5</v>
      </c>
      <c r="S3" s="31"/>
      <c r="T3" s="30">
        <v>5</v>
      </c>
      <c r="U3" s="31"/>
      <c r="V3" s="30">
        <v>5</v>
      </c>
      <c r="W3" s="31"/>
      <c r="X3" s="30">
        <v>5</v>
      </c>
      <c r="Y3" s="31"/>
      <c r="Z3" s="30">
        <v>5</v>
      </c>
      <c r="AA3" s="31"/>
      <c r="AB3" s="30">
        <v>5</v>
      </c>
      <c r="AC3" s="31"/>
      <c r="AD3" s="30">
        <v>5</v>
      </c>
      <c r="AE3" s="31"/>
      <c r="AF3" s="30">
        <v>5</v>
      </c>
      <c r="AG3" s="31"/>
      <c r="AH3" s="30">
        <v>5</v>
      </c>
      <c r="AI3" s="31"/>
      <c r="AJ3" s="30">
        <v>5</v>
      </c>
      <c r="AK3" s="31"/>
      <c r="AL3" s="30">
        <v>5</v>
      </c>
      <c r="AM3" s="31"/>
      <c r="AN3" s="30">
        <v>5</v>
      </c>
      <c r="AO3" s="31"/>
      <c r="AP3" s="30">
        <v>5</v>
      </c>
      <c r="AQ3" s="31"/>
      <c r="AR3" s="30">
        <v>5</v>
      </c>
      <c r="AS3" s="31"/>
      <c r="AT3" s="30">
        <v>3.5</v>
      </c>
      <c r="AU3" s="32"/>
      <c r="AV3" s="67">
        <f>C3-B3</f>
        <v>-1</v>
      </c>
      <c r="AW3" s="31">
        <f>E3-D3</f>
        <v>-2</v>
      </c>
      <c r="AX3" s="31">
        <f>G3-F3</f>
        <v>-5</v>
      </c>
      <c r="AY3" s="31">
        <f>I3-H3</f>
        <v>-5</v>
      </c>
      <c r="AZ3" s="31">
        <f>K3-J3</f>
        <v>-5</v>
      </c>
      <c r="BA3" s="31">
        <f>M3-L3</f>
        <v>-5</v>
      </c>
      <c r="BB3" s="31">
        <f>O3-N3</f>
        <v>0</v>
      </c>
      <c r="BC3" s="31">
        <f>Q3-P3</f>
        <v>-4</v>
      </c>
      <c r="BD3" s="31"/>
      <c r="BE3" s="31"/>
      <c r="BF3" s="31"/>
      <c r="BG3" s="31"/>
      <c r="BH3" s="31"/>
      <c r="BI3" s="31"/>
      <c r="BJ3" s="31"/>
      <c r="BK3" s="31"/>
      <c r="BL3" s="31"/>
      <c r="BM3" s="31"/>
      <c r="BN3" s="31"/>
      <c r="BO3" s="31"/>
      <c r="BP3" s="31"/>
      <c r="BQ3" s="31"/>
      <c r="BR3" s="72"/>
    </row>
    <row r="4" spans="1:70" x14ac:dyDescent="0.35">
      <c r="A4" s="33" t="s">
        <v>70</v>
      </c>
      <c r="B4" s="34">
        <v>8</v>
      </c>
      <c r="C4" s="35">
        <v>0</v>
      </c>
      <c r="D4" s="34">
        <v>46</v>
      </c>
      <c r="E4" s="35">
        <v>34</v>
      </c>
      <c r="F4" s="34">
        <v>79</v>
      </c>
      <c r="G4" s="35">
        <v>37</v>
      </c>
      <c r="H4" s="34">
        <v>95</v>
      </c>
      <c r="I4" s="35">
        <v>38</v>
      </c>
      <c r="J4" s="34">
        <v>96</v>
      </c>
      <c r="K4" s="35">
        <v>42</v>
      </c>
      <c r="L4" s="34">
        <v>96</v>
      </c>
      <c r="M4" s="35">
        <v>45</v>
      </c>
      <c r="N4" s="34">
        <v>96</v>
      </c>
      <c r="O4" s="35">
        <v>41</v>
      </c>
      <c r="P4" s="34">
        <v>96</v>
      </c>
      <c r="Q4" s="87">
        <v>45</v>
      </c>
      <c r="R4" s="34">
        <v>96</v>
      </c>
      <c r="S4" s="35"/>
      <c r="T4" s="34">
        <v>96</v>
      </c>
      <c r="U4" s="35"/>
      <c r="V4" s="34">
        <v>96</v>
      </c>
      <c r="W4" s="35"/>
      <c r="X4" s="34">
        <v>96</v>
      </c>
      <c r="Y4" s="35"/>
      <c r="Z4" s="34">
        <v>96</v>
      </c>
      <c r="AA4" s="35"/>
      <c r="AB4" s="34">
        <v>96</v>
      </c>
      <c r="AC4" s="35"/>
      <c r="AD4" s="34">
        <v>96</v>
      </c>
      <c r="AE4" s="35"/>
      <c r="AF4" s="34">
        <v>96</v>
      </c>
      <c r="AG4" s="35"/>
      <c r="AH4" s="34">
        <v>96</v>
      </c>
      <c r="AI4" s="35"/>
      <c r="AJ4" s="34">
        <v>96</v>
      </c>
      <c r="AK4" s="35"/>
      <c r="AL4" s="34">
        <v>96</v>
      </c>
      <c r="AM4" s="35"/>
      <c r="AN4" s="34">
        <v>96</v>
      </c>
      <c r="AO4" s="35"/>
      <c r="AP4" s="34">
        <v>96</v>
      </c>
      <c r="AQ4" s="35"/>
      <c r="AR4" s="34">
        <v>85</v>
      </c>
      <c r="AS4" s="35"/>
      <c r="AT4" s="34">
        <v>37</v>
      </c>
      <c r="AU4" s="36"/>
      <c r="AV4" s="68">
        <f t="shared" ref="AV4:AV32" si="0">C4-B4</f>
        <v>-8</v>
      </c>
      <c r="AW4" s="35">
        <f t="shared" ref="AW4:AW32" si="1">E4-D4</f>
        <v>-12</v>
      </c>
      <c r="AX4" s="35">
        <f t="shared" ref="AX4:AX32" si="2">G4-F4</f>
        <v>-42</v>
      </c>
      <c r="AY4" s="35">
        <f t="shared" ref="AY4:AY32" si="3">I4-H4</f>
        <v>-57</v>
      </c>
      <c r="AZ4" s="35">
        <f t="shared" ref="AZ4:AZ32" si="4">K4-J4</f>
        <v>-54</v>
      </c>
      <c r="BA4" s="35">
        <f t="shared" ref="BA4:BA32" si="5">M4-L4</f>
        <v>-51</v>
      </c>
      <c r="BB4" s="35">
        <f t="shared" ref="BB4:BB32" si="6">O4-N4</f>
        <v>-55</v>
      </c>
      <c r="BC4" s="35">
        <f t="shared" ref="BC4:BC32" si="7">Q4-P4</f>
        <v>-51</v>
      </c>
      <c r="BD4" s="35"/>
      <c r="BE4" s="35"/>
      <c r="BF4" s="35"/>
      <c r="BG4" s="35"/>
      <c r="BH4" s="35"/>
      <c r="BI4" s="35"/>
      <c r="BJ4" s="35"/>
      <c r="BK4" s="35"/>
      <c r="BL4" s="35"/>
      <c r="BM4" s="35"/>
      <c r="BN4" s="35"/>
      <c r="BO4" s="35"/>
      <c r="BP4" s="35"/>
      <c r="BQ4" s="35"/>
      <c r="BR4" s="36"/>
    </row>
    <row r="5" spans="1:70" x14ac:dyDescent="0.35">
      <c r="A5" s="29" t="s">
        <v>71</v>
      </c>
      <c r="B5" s="37">
        <v>0</v>
      </c>
      <c r="C5" s="38">
        <v>0</v>
      </c>
      <c r="D5" s="37">
        <v>0</v>
      </c>
      <c r="E5" s="38">
        <v>0</v>
      </c>
      <c r="F5" s="37">
        <v>1</v>
      </c>
      <c r="G5" s="38">
        <v>0</v>
      </c>
      <c r="H5" s="37">
        <v>2</v>
      </c>
      <c r="I5" s="38">
        <v>0</v>
      </c>
      <c r="J5" s="37">
        <v>3</v>
      </c>
      <c r="K5" s="38">
        <v>0</v>
      </c>
      <c r="L5" s="37">
        <v>3</v>
      </c>
      <c r="M5" s="38">
        <v>0</v>
      </c>
      <c r="N5" s="37">
        <v>3</v>
      </c>
      <c r="O5" s="38">
        <v>0</v>
      </c>
      <c r="P5" s="37">
        <v>3</v>
      </c>
      <c r="Q5" s="87">
        <v>0</v>
      </c>
      <c r="R5" s="37">
        <v>3</v>
      </c>
      <c r="S5" s="38"/>
      <c r="T5" s="37">
        <v>3</v>
      </c>
      <c r="U5" s="38"/>
      <c r="V5" s="37">
        <v>3</v>
      </c>
      <c r="W5" s="38"/>
      <c r="X5" s="37">
        <v>2</v>
      </c>
      <c r="Y5" s="38"/>
      <c r="Z5" s="37">
        <v>2</v>
      </c>
      <c r="AA5" s="38"/>
      <c r="AB5" s="37">
        <v>2</v>
      </c>
      <c r="AC5" s="38"/>
      <c r="AD5" s="37">
        <v>3</v>
      </c>
      <c r="AE5" s="38"/>
      <c r="AF5" s="37">
        <v>3</v>
      </c>
      <c r="AG5" s="38"/>
      <c r="AH5" s="37">
        <v>3</v>
      </c>
      <c r="AI5" s="38"/>
      <c r="AJ5" s="37">
        <v>3</v>
      </c>
      <c r="AK5" s="38"/>
      <c r="AL5" s="37">
        <v>3</v>
      </c>
      <c r="AM5" s="38"/>
      <c r="AN5" s="37">
        <v>3</v>
      </c>
      <c r="AO5" s="38"/>
      <c r="AP5" s="37">
        <v>3</v>
      </c>
      <c r="AQ5" s="38"/>
      <c r="AR5" s="37">
        <v>2</v>
      </c>
      <c r="AS5" s="38"/>
      <c r="AT5" s="37">
        <v>1</v>
      </c>
      <c r="AU5" s="39"/>
      <c r="AV5" s="69">
        <f t="shared" si="0"/>
        <v>0</v>
      </c>
      <c r="AW5" s="38">
        <f t="shared" si="1"/>
        <v>0</v>
      </c>
      <c r="AX5" s="38">
        <f t="shared" si="2"/>
        <v>-1</v>
      </c>
      <c r="AY5" s="38">
        <f t="shared" si="3"/>
        <v>-2</v>
      </c>
      <c r="AZ5" s="38">
        <f t="shared" si="4"/>
        <v>-3</v>
      </c>
      <c r="BA5" s="38">
        <f t="shared" si="5"/>
        <v>-3</v>
      </c>
      <c r="BB5" s="38">
        <f t="shared" si="6"/>
        <v>-3</v>
      </c>
      <c r="BC5" s="38">
        <f t="shared" si="7"/>
        <v>-3</v>
      </c>
      <c r="BD5" s="38"/>
      <c r="BE5" s="38"/>
      <c r="BF5" s="38"/>
      <c r="BG5" s="38"/>
      <c r="BH5" s="38"/>
      <c r="BI5" s="38"/>
      <c r="BJ5" s="38"/>
      <c r="BK5" s="38"/>
      <c r="BL5" s="38"/>
      <c r="BM5" s="38"/>
      <c r="BN5" s="38"/>
      <c r="BO5" s="38"/>
      <c r="BP5" s="38"/>
      <c r="BQ5" s="38"/>
      <c r="BR5" s="39"/>
    </row>
    <row r="6" spans="1:70" x14ac:dyDescent="0.35">
      <c r="A6" s="33" t="s">
        <v>72</v>
      </c>
      <c r="B6" s="34">
        <v>0</v>
      </c>
      <c r="C6" s="35">
        <v>0</v>
      </c>
      <c r="D6" s="34">
        <v>0</v>
      </c>
      <c r="E6" s="35">
        <v>0</v>
      </c>
      <c r="F6" s="34">
        <v>1</v>
      </c>
      <c r="G6" s="35">
        <v>0</v>
      </c>
      <c r="H6" s="34">
        <v>2</v>
      </c>
      <c r="I6" s="35">
        <v>0</v>
      </c>
      <c r="J6" s="34">
        <v>3</v>
      </c>
      <c r="K6" s="35">
        <v>0</v>
      </c>
      <c r="L6" s="34">
        <v>3</v>
      </c>
      <c r="M6" s="35">
        <v>0</v>
      </c>
      <c r="N6" s="34">
        <v>3</v>
      </c>
      <c r="O6" s="35">
        <v>2</v>
      </c>
      <c r="P6" s="34">
        <v>3</v>
      </c>
      <c r="Q6" s="87">
        <v>3</v>
      </c>
      <c r="R6" s="34">
        <v>3</v>
      </c>
      <c r="S6" s="35"/>
      <c r="T6" s="34">
        <v>3</v>
      </c>
      <c r="U6" s="35"/>
      <c r="V6" s="34">
        <v>3</v>
      </c>
      <c r="W6" s="35"/>
      <c r="X6" s="34">
        <v>2</v>
      </c>
      <c r="Y6" s="35"/>
      <c r="Z6" s="34">
        <v>2</v>
      </c>
      <c r="AA6" s="35"/>
      <c r="AB6" s="34">
        <v>2</v>
      </c>
      <c r="AC6" s="35"/>
      <c r="AD6" s="34">
        <v>3</v>
      </c>
      <c r="AE6" s="35"/>
      <c r="AF6" s="34">
        <v>3</v>
      </c>
      <c r="AG6" s="35"/>
      <c r="AH6" s="34">
        <v>3</v>
      </c>
      <c r="AI6" s="35"/>
      <c r="AJ6" s="34">
        <v>3</v>
      </c>
      <c r="AK6" s="35"/>
      <c r="AL6" s="34">
        <v>3</v>
      </c>
      <c r="AM6" s="35"/>
      <c r="AN6" s="34">
        <v>3</v>
      </c>
      <c r="AO6" s="35"/>
      <c r="AP6" s="34">
        <v>3</v>
      </c>
      <c r="AQ6" s="35"/>
      <c r="AR6" s="34">
        <v>2</v>
      </c>
      <c r="AS6" s="35"/>
      <c r="AT6" s="34">
        <v>1</v>
      </c>
      <c r="AU6" s="36"/>
      <c r="AV6" s="68">
        <f t="shared" si="0"/>
        <v>0</v>
      </c>
      <c r="AW6" s="35">
        <f t="shared" si="1"/>
        <v>0</v>
      </c>
      <c r="AX6" s="35">
        <f t="shared" si="2"/>
        <v>-1</v>
      </c>
      <c r="AY6" s="35">
        <f t="shared" si="3"/>
        <v>-2</v>
      </c>
      <c r="AZ6" s="35">
        <f t="shared" si="4"/>
        <v>-3</v>
      </c>
      <c r="BA6" s="35">
        <f t="shared" si="5"/>
        <v>-3</v>
      </c>
      <c r="BB6" s="35">
        <f t="shared" si="6"/>
        <v>-1</v>
      </c>
      <c r="BC6" s="35">
        <f t="shared" si="7"/>
        <v>0</v>
      </c>
      <c r="BD6" s="35"/>
      <c r="BE6" s="35"/>
      <c r="BF6" s="35"/>
      <c r="BG6" s="35"/>
      <c r="BH6" s="35"/>
      <c r="BI6" s="35"/>
      <c r="BJ6" s="35"/>
      <c r="BK6" s="35"/>
      <c r="BL6" s="35"/>
      <c r="BM6" s="35"/>
      <c r="BN6" s="35"/>
      <c r="BO6" s="35"/>
      <c r="BP6" s="35"/>
      <c r="BQ6" s="35"/>
      <c r="BR6" s="36"/>
    </row>
    <row r="7" spans="1:70" x14ac:dyDescent="0.35">
      <c r="A7" s="29" t="s">
        <v>73</v>
      </c>
      <c r="B7" s="37">
        <v>0</v>
      </c>
      <c r="C7" s="38">
        <v>1</v>
      </c>
      <c r="D7" s="37">
        <v>5</v>
      </c>
      <c r="E7" s="38">
        <v>7</v>
      </c>
      <c r="F7" s="37">
        <v>7</v>
      </c>
      <c r="G7" s="38">
        <v>8</v>
      </c>
      <c r="H7" s="37">
        <v>8</v>
      </c>
      <c r="I7" s="38">
        <v>10</v>
      </c>
      <c r="J7" s="37">
        <v>8</v>
      </c>
      <c r="K7" s="38">
        <v>7</v>
      </c>
      <c r="L7" s="37">
        <v>8</v>
      </c>
      <c r="M7" s="38">
        <v>11</v>
      </c>
      <c r="N7" s="37">
        <v>8</v>
      </c>
      <c r="O7" s="38">
        <v>7</v>
      </c>
      <c r="P7" s="37">
        <v>8</v>
      </c>
      <c r="Q7" s="87">
        <v>7</v>
      </c>
      <c r="R7" s="37">
        <v>8</v>
      </c>
      <c r="S7" s="38"/>
      <c r="T7" s="37">
        <v>8</v>
      </c>
      <c r="U7" s="38"/>
      <c r="V7" s="37">
        <v>8</v>
      </c>
      <c r="W7" s="38"/>
      <c r="X7" s="37">
        <v>8</v>
      </c>
      <c r="Y7" s="38"/>
      <c r="Z7" s="37">
        <v>8</v>
      </c>
      <c r="AA7" s="38"/>
      <c r="AB7" s="37">
        <v>8</v>
      </c>
      <c r="AC7" s="38"/>
      <c r="AD7" s="37">
        <v>8</v>
      </c>
      <c r="AE7" s="38"/>
      <c r="AF7" s="37">
        <v>8</v>
      </c>
      <c r="AG7" s="38"/>
      <c r="AH7" s="37">
        <v>8</v>
      </c>
      <c r="AI7" s="38"/>
      <c r="AJ7" s="37">
        <v>8</v>
      </c>
      <c r="AK7" s="38"/>
      <c r="AL7" s="37">
        <v>8</v>
      </c>
      <c r="AM7" s="38"/>
      <c r="AN7" s="37">
        <v>8</v>
      </c>
      <c r="AO7" s="38"/>
      <c r="AP7" s="37">
        <v>8</v>
      </c>
      <c r="AQ7" s="38"/>
      <c r="AR7" s="37">
        <v>7</v>
      </c>
      <c r="AS7" s="38"/>
      <c r="AT7" s="37">
        <v>3</v>
      </c>
      <c r="AU7" s="39"/>
      <c r="AV7" s="69">
        <f t="shared" si="0"/>
        <v>1</v>
      </c>
      <c r="AW7" s="38">
        <f t="shared" si="1"/>
        <v>2</v>
      </c>
      <c r="AX7" s="38">
        <f t="shared" si="2"/>
        <v>1</v>
      </c>
      <c r="AY7" s="38">
        <f t="shared" si="3"/>
        <v>2</v>
      </c>
      <c r="AZ7" s="38">
        <f t="shared" si="4"/>
        <v>-1</v>
      </c>
      <c r="BA7" s="38">
        <f t="shared" si="5"/>
        <v>3</v>
      </c>
      <c r="BB7" s="38">
        <f t="shared" si="6"/>
        <v>-1</v>
      </c>
      <c r="BC7" s="38">
        <f t="shared" si="7"/>
        <v>-1</v>
      </c>
      <c r="BD7" s="38"/>
      <c r="BE7" s="38"/>
      <c r="BF7" s="38"/>
      <c r="BG7" s="38"/>
      <c r="BH7" s="38"/>
      <c r="BI7" s="38"/>
      <c r="BJ7" s="38"/>
      <c r="BK7" s="38"/>
      <c r="BL7" s="38"/>
      <c r="BM7" s="38"/>
      <c r="BN7" s="38"/>
      <c r="BO7" s="38"/>
      <c r="BP7" s="38"/>
      <c r="BQ7" s="38"/>
      <c r="BR7" s="39"/>
    </row>
    <row r="8" spans="1:70" x14ac:dyDescent="0.35">
      <c r="A8" s="33" t="s">
        <v>74</v>
      </c>
      <c r="B8" s="34">
        <v>1</v>
      </c>
      <c r="C8" s="35">
        <v>0</v>
      </c>
      <c r="D8" s="34">
        <v>2</v>
      </c>
      <c r="E8" s="35">
        <v>5</v>
      </c>
      <c r="F8" s="34">
        <v>4</v>
      </c>
      <c r="G8" s="35">
        <v>5</v>
      </c>
      <c r="H8" s="34">
        <v>4</v>
      </c>
      <c r="I8" s="35">
        <v>5</v>
      </c>
      <c r="J8" s="34">
        <v>4</v>
      </c>
      <c r="K8" s="35">
        <v>5</v>
      </c>
      <c r="L8" s="34">
        <v>4</v>
      </c>
      <c r="M8" s="35">
        <v>5</v>
      </c>
      <c r="N8" s="34">
        <v>4</v>
      </c>
      <c r="O8" s="35">
        <v>5</v>
      </c>
      <c r="P8" s="34">
        <v>4</v>
      </c>
      <c r="Q8" s="87">
        <v>5</v>
      </c>
      <c r="R8" s="34">
        <v>4</v>
      </c>
      <c r="S8" s="35"/>
      <c r="T8" s="34">
        <v>4</v>
      </c>
      <c r="U8" s="35"/>
      <c r="V8" s="34">
        <v>4</v>
      </c>
      <c r="W8" s="35"/>
      <c r="X8" s="34">
        <v>4</v>
      </c>
      <c r="Y8" s="35"/>
      <c r="Z8" s="34">
        <v>4</v>
      </c>
      <c r="AA8" s="35"/>
      <c r="AB8" s="34">
        <v>4</v>
      </c>
      <c r="AC8" s="35"/>
      <c r="AD8" s="34">
        <v>4</v>
      </c>
      <c r="AE8" s="35"/>
      <c r="AF8" s="34">
        <v>4</v>
      </c>
      <c r="AG8" s="35"/>
      <c r="AH8" s="34">
        <v>4</v>
      </c>
      <c r="AI8" s="35"/>
      <c r="AJ8" s="34">
        <v>4</v>
      </c>
      <c r="AK8" s="35"/>
      <c r="AL8" s="34">
        <v>4</v>
      </c>
      <c r="AM8" s="35"/>
      <c r="AN8" s="34">
        <v>4</v>
      </c>
      <c r="AO8" s="35"/>
      <c r="AP8" s="34">
        <v>4</v>
      </c>
      <c r="AQ8" s="35"/>
      <c r="AR8" s="34">
        <v>3.5</v>
      </c>
      <c r="AS8" s="35"/>
      <c r="AT8" s="34">
        <v>1.5</v>
      </c>
      <c r="AU8" s="36"/>
      <c r="AV8" s="68">
        <f t="shared" si="0"/>
        <v>-1</v>
      </c>
      <c r="AW8" s="35">
        <f t="shared" si="1"/>
        <v>3</v>
      </c>
      <c r="AX8" s="35">
        <f t="shared" si="2"/>
        <v>1</v>
      </c>
      <c r="AY8" s="35">
        <f t="shared" si="3"/>
        <v>1</v>
      </c>
      <c r="AZ8" s="35">
        <f t="shared" si="4"/>
        <v>1</v>
      </c>
      <c r="BA8" s="35">
        <f t="shared" si="5"/>
        <v>1</v>
      </c>
      <c r="BB8" s="35">
        <f t="shared" si="6"/>
        <v>1</v>
      </c>
      <c r="BC8" s="35">
        <f t="shared" si="7"/>
        <v>1</v>
      </c>
      <c r="BD8" s="35"/>
      <c r="BE8" s="35"/>
      <c r="BF8" s="35"/>
      <c r="BG8" s="35"/>
      <c r="BH8" s="35"/>
      <c r="BI8" s="35"/>
      <c r="BJ8" s="35"/>
      <c r="BK8" s="35"/>
      <c r="BL8" s="35"/>
      <c r="BM8" s="35"/>
      <c r="BN8" s="35"/>
      <c r="BO8" s="35"/>
      <c r="BP8" s="35"/>
      <c r="BQ8" s="35"/>
      <c r="BR8" s="36"/>
    </row>
    <row r="9" spans="1:70" x14ac:dyDescent="0.35">
      <c r="A9" s="29" t="s">
        <v>75</v>
      </c>
      <c r="B9" s="37">
        <v>0</v>
      </c>
      <c r="C9" s="38">
        <v>0</v>
      </c>
      <c r="D9" s="37">
        <v>5</v>
      </c>
      <c r="E9" s="38">
        <v>0</v>
      </c>
      <c r="F9" s="37">
        <v>5</v>
      </c>
      <c r="G9" s="38">
        <v>2</v>
      </c>
      <c r="H9" s="37">
        <v>5</v>
      </c>
      <c r="I9" s="38">
        <v>2</v>
      </c>
      <c r="J9" s="37">
        <v>5</v>
      </c>
      <c r="K9" s="38">
        <v>0</v>
      </c>
      <c r="L9" s="37">
        <v>5</v>
      </c>
      <c r="M9" s="38">
        <v>2</v>
      </c>
      <c r="N9" s="37">
        <v>5</v>
      </c>
      <c r="O9" s="38">
        <v>2</v>
      </c>
      <c r="P9" s="37">
        <v>5</v>
      </c>
      <c r="Q9" s="87">
        <v>3</v>
      </c>
      <c r="R9" s="37">
        <v>5</v>
      </c>
      <c r="S9" s="38"/>
      <c r="T9" s="37">
        <v>5</v>
      </c>
      <c r="U9" s="38"/>
      <c r="V9" s="37">
        <v>5</v>
      </c>
      <c r="W9" s="38"/>
      <c r="X9" s="37">
        <v>5</v>
      </c>
      <c r="Y9" s="38"/>
      <c r="Z9" s="37">
        <v>5</v>
      </c>
      <c r="AA9" s="38"/>
      <c r="AB9" s="37">
        <v>5</v>
      </c>
      <c r="AC9" s="38"/>
      <c r="AD9" s="37">
        <v>5</v>
      </c>
      <c r="AE9" s="38"/>
      <c r="AF9" s="37">
        <v>5</v>
      </c>
      <c r="AG9" s="38"/>
      <c r="AH9" s="37">
        <v>5</v>
      </c>
      <c r="AI9" s="38"/>
      <c r="AJ9" s="37">
        <v>5</v>
      </c>
      <c r="AK9" s="38"/>
      <c r="AL9" s="37">
        <v>5</v>
      </c>
      <c r="AM9" s="38"/>
      <c r="AN9" s="37">
        <v>5</v>
      </c>
      <c r="AO9" s="38"/>
      <c r="AP9" s="37">
        <v>5</v>
      </c>
      <c r="AQ9" s="38"/>
      <c r="AR9" s="37">
        <v>5</v>
      </c>
      <c r="AS9" s="38"/>
      <c r="AT9" s="37">
        <v>2.5</v>
      </c>
      <c r="AU9" s="39"/>
      <c r="AV9" s="69">
        <f t="shared" si="0"/>
        <v>0</v>
      </c>
      <c r="AW9" s="38">
        <f t="shared" si="1"/>
        <v>-5</v>
      </c>
      <c r="AX9" s="38">
        <f t="shared" si="2"/>
        <v>-3</v>
      </c>
      <c r="AY9" s="38">
        <f t="shared" si="3"/>
        <v>-3</v>
      </c>
      <c r="AZ9" s="38">
        <f t="shared" si="4"/>
        <v>-5</v>
      </c>
      <c r="BA9" s="38">
        <f t="shared" si="5"/>
        <v>-3</v>
      </c>
      <c r="BB9" s="38">
        <f t="shared" si="6"/>
        <v>-3</v>
      </c>
      <c r="BC9" s="38">
        <f t="shared" si="7"/>
        <v>-2</v>
      </c>
      <c r="BD9" s="38"/>
      <c r="BE9" s="38"/>
      <c r="BF9" s="38"/>
      <c r="BG9" s="38"/>
      <c r="BH9" s="38"/>
      <c r="BI9" s="38"/>
      <c r="BJ9" s="38"/>
      <c r="BK9" s="38"/>
      <c r="BL9" s="38"/>
      <c r="BM9" s="38"/>
      <c r="BN9" s="38"/>
      <c r="BO9" s="38"/>
      <c r="BP9" s="38"/>
      <c r="BQ9" s="38"/>
      <c r="BR9" s="39"/>
    </row>
    <row r="10" spans="1:70" x14ac:dyDescent="0.35">
      <c r="A10" s="33" t="s">
        <v>76</v>
      </c>
      <c r="B10" s="34">
        <v>0</v>
      </c>
      <c r="C10" s="35">
        <v>0</v>
      </c>
      <c r="D10" s="34">
        <v>0</v>
      </c>
      <c r="E10" s="35">
        <v>0</v>
      </c>
      <c r="F10" s="34">
        <v>1</v>
      </c>
      <c r="G10" s="35">
        <v>0</v>
      </c>
      <c r="H10" s="34">
        <v>1</v>
      </c>
      <c r="I10" s="35">
        <v>0</v>
      </c>
      <c r="J10" s="34">
        <v>1</v>
      </c>
      <c r="K10" s="35">
        <v>0</v>
      </c>
      <c r="L10" s="34">
        <v>1</v>
      </c>
      <c r="M10" s="35">
        <v>0</v>
      </c>
      <c r="N10" s="34">
        <v>1</v>
      </c>
      <c r="O10" s="35">
        <v>1</v>
      </c>
      <c r="P10" s="34">
        <v>1</v>
      </c>
      <c r="Q10" s="87">
        <v>1</v>
      </c>
      <c r="R10" s="34">
        <v>1</v>
      </c>
      <c r="S10" s="35"/>
      <c r="T10" s="34">
        <v>1</v>
      </c>
      <c r="U10" s="35"/>
      <c r="V10" s="34">
        <v>1</v>
      </c>
      <c r="W10" s="35"/>
      <c r="X10" s="34">
        <v>1</v>
      </c>
      <c r="Y10" s="35"/>
      <c r="Z10" s="34">
        <v>1</v>
      </c>
      <c r="AA10" s="35"/>
      <c r="AB10" s="34">
        <v>1</v>
      </c>
      <c r="AC10" s="35"/>
      <c r="AD10" s="34">
        <v>1</v>
      </c>
      <c r="AE10" s="35"/>
      <c r="AF10" s="34">
        <v>1</v>
      </c>
      <c r="AG10" s="35"/>
      <c r="AH10" s="34">
        <v>1</v>
      </c>
      <c r="AI10" s="35"/>
      <c r="AJ10" s="34">
        <v>1</v>
      </c>
      <c r="AK10" s="35"/>
      <c r="AL10" s="34">
        <v>1</v>
      </c>
      <c r="AM10" s="35"/>
      <c r="AN10" s="34">
        <v>1</v>
      </c>
      <c r="AO10" s="35"/>
      <c r="AP10" s="34">
        <v>1</v>
      </c>
      <c r="AQ10" s="35"/>
      <c r="AR10" s="34">
        <v>1</v>
      </c>
      <c r="AS10" s="35"/>
      <c r="AT10" s="34">
        <v>0.5</v>
      </c>
      <c r="AU10" s="36"/>
      <c r="AV10" s="68">
        <f t="shared" si="0"/>
        <v>0</v>
      </c>
      <c r="AW10" s="35">
        <f t="shared" si="1"/>
        <v>0</v>
      </c>
      <c r="AX10" s="35">
        <f t="shared" si="2"/>
        <v>-1</v>
      </c>
      <c r="AY10" s="35">
        <f t="shared" si="3"/>
        <v>-1</v>
      </c>
      <c r="AZ10" s="35">
        <f t="shared" si="4"/>
        <v>-1</v>
      </c>
      <c r="BA10" s="35">
        <f t="shared" si="5"/>
        <v>-1</v>
      </c>
      <c r="BB10" s="35">
        <f t="shared" si="6"/>
        <v>0</v>
      </c>
      <c r="BC10" s="35">
        <f t="shared" si="7"/>
        <v>0</v>
      </c>
      <c r="BD10" s="35"/>
      <c r="BE10" s="35"/>
      <c r="BF10" s="35"/>
      <c r="BG10" s="35"/>
      <c r="BH10" s="35"/>
      <c r="BI10" s="35"/>
      <c r="BJ10" s="35"/>
      <c r="BK10" s="35"/>
      <c r="BL10" s="35"/>
      <c r="BM10" s="35"/>
      <c r="BN10" s="35"/>
      <c r="BO10" s="35"/>
      <c r="BP10" s="35"/>
      <c r="BQ10" s="35"/>
      <c r="BR10" s="36"/>
    </row>
    <row r="11" spans="1:70" x14ac:dyDescent="0.35">
      <c r="A11" s="29" t="s">
        <v>77</v>
      </c>
      <c r="B11" s="37">
        <v>0</v>
      </c>
      <c r="C11" s="38">
        <v>0</v>
      </c>
      <c r="D11" s="37">
        <v>6</v>
      </c>
      <c r="E11" s="38">
        <v>1</v>
      </c>
      <c r="F11" s="37">
        <v>6</v>
      </c>
      <c r="G11" s="38">
        <v>1</v>
      </c>
      <c r="H11" s="37">
        <v>6</v>
      </c>
      <c r="I11" s="38">
        <v>1</v>
      </c>
      <c r="J11" s="37">
        <v>6</v>
      </c>
      <c r="K11" s="38">
        <v>0</v>
      </c>
      <c r="L11" s="37">
        <v>6</v>
      </c>
      <c r="M11" s="38">
        <v>3</v>
      </c>
      <c r="N11" s="37">
        <v>6</v>
      </c>
      <c r="O11" s="38">
        <v>1</v>
      </c>
      <c r="P11" s="37">
        <v>6</v>
      </c>
      <c r="Q11" s="87">
        <v>1</v>
      </c>
      <c r="R11" s="37">
        <v>6</v>
      </c>
      <c r="S11" s="38"/>
      <c r="T11" s="37">
        <v>6</v>
      </c>
      <c r="U11" s="38"/>
      <c r="V11" s="37">
        <v>6</v>
      </c>
      <c r="W11" s="38"/>
      <c r="X11" s="37">
        <v>6</v>
      </c>
      <c r="Y11" s="38"/>
      <c r="Z11" s="37">
        <v>6</v>
      </c>
      <c r="AA11" s="38"/>
      <c r="AB11" s="37">
        <v>6</v>
      </c>
      <c r="AC11" s="38"/>
      <c r="AD11" s="37">
        <v>6</v>
      </c>
      <c r="AE11" s="38"/>
      <c r="AF11" s="37">
        <v>6</v>
      </c>
      <c r="AG11" s="38"/>
      <c r="AH11" s="37">
        <v>6</v>
      </c>
      <c r="AI11" s="38"/>
      <c r="AJ11" s="37">
        <v>6</v>
      </c>
      <c r="AK11" s="38"/>
      <c r="AL11" s="37">
        <v>6</v>
      </c>
      <c r="AM11" s="38"/>
      <c r="AN11" s="37">
        <v>6</v>
      </c>
      <c r="AO11" s="38"/>
      <c r="AP11" s="37">
        <v>6</v>
      </c>
      <c r="AQ11" s="38"/>
      <c r="AR11" s="37">
        <v>6</v>
      </c>
      <c r="AS11" s="38"/>
      <c r="AT11" s="37">
        <v>3</v>
      </c>
      <c r="AU11" s="39"/>
      <c r="AV11" s="69">
        <f t="shared" si="0"/>
        <v>0</v>
      </c>
      <c r="AW11" s="38">
        <f t="shared" si="1"/>
        <v>-5</v>
      </c>
      <c r="AX11" s="38">
        <f t="shared" si="2"/>
        <v>-5</v>
      </c>
      <c r="AY11" s="38">
        <f t="shared" si="3"/>
        <v>-5</v>
      </c>
      <c r="AZ11" s="38">
        <f t="shared" si="4"/>
        <v>-6</v>
      </c>
      <c r="BA11" s="38">
        <f t="shared" si="5"/>
        <v>-3</v>
      </c>
      <c r="BB11" s="38">
        <f t="shared" si="6"/>
        <v>-5</v>
      </c>
      <c r="BC11" s="38">
        <f t="shared" si="7"/>
        <v>-5</v>
      </c>
      <c r="BD11" s="38"/>
      <c r="BE11" s="38"/>
      <c r="BF11" s="38"/>
      <c r="BG11" s="38"/>
      <c r="BH11" s="38"/>
      <c r="BI11" s="38"/>
      <c r="BJ11" s="38"/>
      <c r="BK11" s="38"/>
      <c r="BL11" s="38"/>
      <c r="BM11" s="38"/>
      <c r="BN11" s="38"/>
      <c r="BO11" s="38"/>
      <c r="BP11" s="38"/>
      <c r="BQ11" s="38"/>
      <c r="BR11" s="39"/>
    </row>
    <row r="12" spans="1:70" x14ac:dyDescent="0.35">
      <c r="A12" s="33" t="s">
        <v>78</v>
      </c>
      <c r="B12" s="34">
        <v>0</v>
      </c>
      <c r="C12" s="35">
        <v>0</v>
      </c>
      <c r="D12" s="34">
        <v>1</v>
      </c>
      <c r="E12" s="35">
        <v>0</v>
      </c>
      <c r="F12" s="34">
        <v>3</v>
      </c>
      <c r="G12" s="35">
        <v>0</v>
      </c>
      <c r="H12" s="34">
        <v>3</v>
      </c>
      <c r="I12" s="35">
        <v>0</v>
      </c>
      <c r="J12" s="34">
        <v>3</v>
      </c>
      <c r="K12" s="35">
        <v>0</v>
      </c>
      <c r="L12" s="34">
        <v>3</v>
      </c>
      <c r="M12" s="35">
        <v>0</v>
      </c>
      <c r="N12" s="34">
        <v>3</v>
      </c>
      <c r="O12" s="35">
        <v>0</v>
      </c>
      <c r="P12" s="34">
        <v>3</v>
      </c>
      <c r="Q12" s="87">
        <v>0</v>
      </c>
      <c r="R12" s="34">
        <v>3</v>
      </c>
      <c r="S12" s="35"/>
      <c r="T12" s="34">
        <v>3</v>
      </c>
      <c r="U12" s="35"/>
      <c r="V12" s="34">
        <v>3</v>
      </c>
      <c r="W12" s="35"/>
      <c r="X12" s="34">
        <v>3</v>
      </c>
      <c r="Y12" s="35"/>
      <c r="Z12" s="34">
        <v>3</v>
      </c>
      <c r="AA12" s="35"/>
      <c r="AB12" s="34">
        <v>3</v>
      </c>
      <c r="AC12" s="35"/>
      <c r="AD12" s="34">
        <v>3</v>
      </c>
      <c r="AE12" s="35"/>
      <c r="AF12" s="34">
        <v>3</v>
      </c>
      <c r="AG12" s="35"/>
      <c r="AH12" s="34">
        <v>3</v>
      </c>
      <c r="AI12" s="35"/>
      <c r="AJ12" s="34">
        <v>3</v>
      </c>
      <c r="AK12" s="35"/>
      <c r="AL12" s="34">
        <v>3</v>
      </c>
      <c r="AM12" s="35"/>
      <c r="AN12" s="34">
        <v>3</v>
      </c>
      <c r="AO12" s="35"/>
      <c r="AP12" s="34">
        <v>3</v>
      </c>
      <c r="AQ12" s="35"/>
      <c r="AR12" s="34">
        <v>3</v>
      </c>
      <c r="AS12" s="35"/>
      <c r="AT12" s="34">
        <v>1.5</v>
      </c>
      <c r="AU12" s="36"/>
      <c r="AV12" s="68">
        <f t="shared" si="0"/>
        <v>0</v>
      </c>
      <c r="AW12" s="35">
        <f t="shared" si="1"/>
        <v>-1</v>
      </c>
      <c r="AX12" s="35">
        <f t="shared" si="2"/>
        <v>-3</v>
      </c>
      <c r="AY12" s="35">
        <f t="shared" si="3"/>
        <v>-3</v>
      </c>
      <c r="AZ12" s="35">
        <f t="shared" si="4"/>
        <v>-3</v>
      </c>
      <c r="BA12" s="35">
        <f t="shared" si="5"/>
        <v>-3</v>
      </c>
      <c r="BB12" s="35">
        <f t="shared" si="6"/>
        <v>-3</v>
      </c>
      <c r="BC12" s="35">
        <f t="shared" si="7"/>
        <v>-3</v>
      </c>
      <c r="BD12" s="35"/>
      <c r="BE12" s="35"/>
      <c r="BF12" s="35"/>
      <c r="BG12" s="35"/>
      <c r="BH12" s="35"/>
      <c r="BI12" s="35"/>
      <c r="BJ12" s="35"/>
      <c r="BK12" s="35"/>
      <c r="BL12" s="35"/>
      <c r="BM12" s="35"/>
      <c r="BN12" s="35"/>
      <c r="BO12" s="35"/>
      <c r="BP12" s="35"/>
      <c r="BQ12" s="35"/>
      <c r="BR12" s="36"/>
    </row>
    <row r="13" spans="1:70" x14ac:dyDescent="0.35">
      <c r="A13" s="29" t="s">
        <v>79</v>
      </c>
      <c r="B13" s="37">
        <v>0</v>
      </c>
      <c r="C13" s="38">
        <v>0</v>
      </c>
      <c r="D13" s="37">
        <v>1</v>
      </c>
      <c r="E13" s="38">
        <v>0</v>
      </c>
      <c r="F13" s="37">
        <v>4</v>
      </c>
      <c r="G13" s="38">
        <v>0</v>
      </c>
      <c r="H13" s="37">
        <v>4</v>
      </c>
      <c r="I13" s="38">
        <v>0</v>
      </c>
      <c r="J13" s="37">
        <v>5</v>
      </c>
      <c r="K13" s="38">
        <v>0</v>
      </c>
      <c r="L13" s="37">
        <v>5</v>
      </c>
      <c r="M13" s="38">
        <v>0</v>
      </c>
      <c r="N13" s="37">
        <v>5</v>
      </c>
      <c r="O13" s="38">
        <v>1</v>
      </c>
      <c r="P13" s="37">
        <v>5</v>
      </c>
      <c r="Q13" s="87">
        <v>1</v>
      </c>
      <c r="R13" s="37">
        <v>5</v>
      </c>
      <c r="S13" s="38"/>
      <c r="T13" s="37">
        <v>5</v>
      </c>
      <c r="U13" s="38"/>
      <c r="V13" s="37">
        <v>5</v>
      </c>
      <c r="W13" s="38"/>
      <c r="X13" s="37">
        <v>5</v>
      </c>
      <c r="Y13" s="38"/>
      <c r="Z13" s="37">
        <v>5</v>
      </c>
      <c r="AA13" s="38"/>
      <c r="AB13" s="37">
        <v>5</v>
      </c>
      <c r="AC13" s="38"/>
      <c r="AD13" s="37">
        <v>5</v>
      </c>
      <c r="AE13" s="38"/>
      <c r="AF13" s="37">
        <v>5</v>
      </c>
      <c r="AG13" s="38"/>
      <c r="AH13" s="37">
        <v>5</v>
      </c>
      <c r="AI13" s="38"/>
      <c r="AJ13" s="37">
        <v>5</v>
      </c>
      <c r="AK13" s="38"/>
      <c r="AL13" s="37">
        <v>5</v>
      </c>
      <c r="AM13" s="38"/>
      <c r="AN13" s="37">
        <v>5</v>
      </c>
      <c r="AO13" s="38"/>
      <c r="AP13" s="37">
        <v>5</v>
      </c>
      <c r="AQ13" s="38"/>
      <c r="AR13" s="37">
        <v>5</v>
      </c>
      <c r="AS13" s="38"/>
      <c r="AT13" s="37">
        <v>3.5</v>
      </c>
      <c r="AU13" s="39"/>
      <c r="AV13" s="69">
        <f t="shared" si="0"/>
        <v>0</v>
      </c>
      <c r="AW13" s="38">
        <f t="shared" si="1"/>
        <v>-1</v>
      </c>
      <c r="AX13" s="38">
        <f t="shared" si="2"/>
        <v>-4</v>
      </c>
      <c r="AY13" s="38">
        <f t="shared" si="3"/>
        <v>-4</v>
      </c>
      <c r="AZ13" s="38">
        <f t="shared" si="4"/>
        <v>-5</v>
      </c>
      <c r="BA13" s="38">
        <f t="shared" si="5"/>
        <v>-5</v>
      </c>
      <c r="BB13" s="38">
        <f t="shared" si="6"/>
        <v>-4</v>
      </c>
      <c r="BC13" s="38">
        <f t="shared" si="7"/>
        <v>-4</v>
      </c>
      <c r="BD13" s="38"/>
      <c r="BE13" s="38"/>
      <c r="BF13" s="38"/>
      <c r="BG13" s="38"/>
      <c r="BH13" s="38"/>
      <c r="BI13" s="38"/>
      <c r="BJ13" s="38"/>
      <c r="BK13" s="38"/>
      <c r="BL13" s="38"/>
      <c r="BM13" s="38"/>
      <c r="BN13" s="38"/>
      <c r="BO13" s="38"/>
      <c r="BP13" s="38"/>
      <c r="BQ13" s="38"/>
      <c r="BR13" s="39"/>
    </row>
    <row r="14" spans="1:70" x14ac:dyDescent="0.35">
      <c r="A14" s="33" t="s">
        <v>80</v>
      </c>
      <c r="B14" s="34">
        <v>0</v>
      </c>
      <c r="C14" s="35">
        <v>0</v>
      </c>
      <c r="D14" s="34">
        <v>0</v>
      </c>
      <c r="E14" s="35">
        <v>0</v>
      </c>
      <c r="F14" s="34">
        <v>2</v>
      </c>
      <c r="G14" s="35">
        <v>0</v>
      </c>
      <c r="H14" s="34">
        <v>2</v>
      </c>
      <c r="I14" s="35">
        <v>0</v>
      </c>
      <c r="J14" s="34">
        <v>2</v>
      </c>
      <c r="K14" s="35">
        <v>1</v>
      </c>
      <c r="L14" s="34">
        <v>2</v>
      </c>
      <c r="M14" s="35">
        <v>1</v>
      </c>
      <c r="N14" s="34">
        <v>2</v>
      </c>
      <c r="O14" s="35">
        <v>1</v>
      </c>
      <c r="P14" s="34">
        <v>2</v>
      </c>
      <c r="Q14" s="87">
        <v>2</v>
      </c>
      <c r="R14" s="34">
        <v>2</v>
      </c>
      <c r="S14" s="35"/>
      <c r="T14" s="34">
        <v>2</v>
      </c>
      <c r="U14" s="35"/>
      <c r="V14" s="34">
        <v>2</v>
      </c>
      <c r="W14" s="35"/>
      <c r="X14" s="34">
        <v>2</v>
      </c>
      <c r="Y14" s="35"/>
      <c r="Z14" s="34">
        <v>2</v>
      </c>
      <c r="AA14" s="35"/>
      <c r="AB14" s="34">
        <v>2</v>
      </c>
      <c r="AC14" s="35"/>
      <c r="AD14" s="34">
        <v>2</v>
      </c>
      <c r="AE14" s="35"/>
      <c r="AF14" s="34">
        <v>2</v>
      </c>
      <c r="AG14" s="35"/>
      <c r="AH14" s="34">
        <v>2</v>
      </c>
      <c r="AI14" s="35"/>
      <c r="AJ14" s="34">
        <v>2</v>
      </c>
      <c r="AK14" s="35"/>
      <c r="AL14" s="34">
        <v>2</v>
      </c>
      <c r="AM14" s="35"/>
      <c r="AN14" s="34">
        <v>2</v>
      </c>
      <c r="AO14" s="35"/>
      <c r="AP14" s="34">
        <v>2</v>
      </c>
      <c r="AQ14" s="35"/>
      <c r="AR14" s="34">
        <v>2</v>
      </c>
      <c r="AS14" s="35"/>
      <c r="AT14" s="34">
        <v>1.5</v>
      </c>
      <c r="AU14" s="36"/>
      <c r="AV14" s="68">
        <f t="shared" si="0"/>
        <v>0</v>
      </c>
      <c r="AW14" s="35">
        <f t="shared" si="1"/>
        <v>0</v>
      </c>
      <c r="AX14" s="35">
        <f t="shared" si="2"/>
        <v>-2</v>
      </c>
      <c r="AY14" s="35">
        <f t="shared" si="3"/>
        <v>-2</v>
      </c>
      <c r="AZ14" s="35">
        <f t="shared" si="4"/>
        <v>-1</v>
      </c>
      <c r="BA14" s="35">
        <f t="shared" si="5"/>
        <v>-1</v>
      </c>
      <c r="BB14" s="35">
        <f t="shared" si="6"/>
        <v>-1</v>
      </c>
      <c r="BC14" s="35">
        <f t="shared" si="7"/>
        <v>0</v>
      </c>
      <c r="BD14" s="35"/>
      <c r="BE14" s="35"/>
      <c r="BF14" s="35"/>
      <c r="BG14" s="35"/>
      <c r="BH14" s="35"/>
      <c r="BI14" s="35"/>
      <c r="BJ14" s="35"/>
      <c r="BK14" s="35"/>
      <c r="BL14" s="35"/>
      <c r="BM14" s="35"/>
      <c r="BN14" s="35"/>
      <c r="BO14" s="35"/>
      <c r="BP14" s="35"/>
      <c r="BQ14" s="35"/>
      <c r="BR14" s="36"/>
    </row>
    <row r="15" spans="1:70" x14ac:dyDescent="0.35">
      <c r="A15" s="29" t="s">
        <v>81</v>
      </c>
      <c r="B15" s="37">
        <v>0</v>
      </c>
      <c r="C15" s="38">
        <v>1</v>
      </c>
      <c r="D15" s="37">
        <v>1.5</v>
      </c>
      <c r="E15" s="38">
        <v>1</v>
      </c>
      <c r="F15" s="37">
        <v>3</v>
      </c>
      <c r="G15" s="38">
        <v>4</v>
      </c>
      <c r="H15" s="37">
        <v>3</v>
      </c>
      <c r="I15" s="38">
        <v>5</v>
      </c>
      <c r="J15" s="37">
        <v>4</v>
      </c>
      <c r="K15" s="38">
        <v>4</v>
      </c>
      <c r="L15" s="37">
        <v>4</v>
      </c>
      <c r="M15" s="38">
        <v>5</v>
      </c>
      <c r="N15" s="37">
        <v>4</v>
      </c>
      <c r="O15" s="38">
        <v>5</v>
      </c>
      <c r="P15" s="37">
        <v>4</v>
      </c>
      <c r="Q15" s="87">
        <v>7</v>
      </c>
      <c r="R15" s="37">
        <v>4</v>
      </c>
      <c r="S15" s="38"/>
      <c r="T15" s="37">
        <v>4</v>
      </c>
      <c r="U15" s="38"/>
      <c r="V15" s="37">
        <v>4</v>
      </c>
      <c r="W15" s="38"/>
      <c r="X15" s="37">
        <v>4</v>
      </c>
      <c r="Y15" s="38"/>
      <c r="Z15" s="37">
        <v>4</v>
      </c>
      <c r="AA15" s="38"/>
      <c r="AB15" s="37">
        <v>4</v>
      </c>
      <c r="AC15" s="38"/>
      <c r="AD15" s="37">
        <v>4</v>
      </c>
      <c r="AE15" s="38"/>
      <c r="AF15" s="37">
        <v>4</v>
      </c>
      <c r="AG15" s="38"/>
      <c r="AH15" s="37">
        <v>4</v>
      </c>
      <c r="AI15" s="38"/>
      <c r="AJ15" s="37">
        <v>4</v>
      </c>
      <c r="AK15" s="38"/>
      <c r="AL15" s="37">
        <v>4</v>
      </c>
      <c r="AM15" s="38"/>
      <c r="AN15" s="37">
        <v>4</v>
      </c>
      <c r="AO15" s="38"/>
      <c r="AP15" s="37">
        <v>4</v>
      </c>
      <c r="AQ15" s="38"/>
      <c r="AR15" s="37">
        <v>4</v>
      </c>
      <c r="AS15" s="38"/>
      <c r="AT15" s="37">
        <v>3</v>
      </c>
      <c r="AU15" s="39"/>
      <c r="AV15" s="69">
        <f t="shared" si="0"/>
        <v>1</v>
      </c>
      <c r="AW15" s="38">
        <f t="shared" si="1"/>
        <v>-0.5</v>
      </c>
      <c r="AX15" s="38">
        <f t="shared" si="2"/>
        <v>1</v>
      </c>
      <c r="AY15" s="38">
        <f t="shared" si="3"/>
        <v>2</v>
      </c>
      <c r="AZ15" s="38">
        <f t="shared" si="4"/>
        <v>0</v>
      </c>
      <c r="BA15" s="38">
        <f t="shared" si="5"/>
        <v>1</v>
      </c>
      <c r="BB15" s="38">
        <f t="shared" si="6"/>
        <v>1</v>
      </c>
      <c r="BC15" s="38">
        <f t="shared" si="7"/>
        <v>3</v>
      </c>
      <c r="BD15" s="38"/>
      <c r="BE15" s="38"/>
      <c r="BF15" s="38"/>
      <c r="BG15" s="38"/>
      <c r="BH15" s="38"/>
      <c r="BI15" s="38"/>
      <c r="BJ15" s="38"/>
      <c r="BK15" s="38"/>
      <c r="BL15" s="38"/>
      <c r="BM15" s="38"/>
      <c r="BN15" s="38"/>
      <c r="BO15" s="38"/>
      <c r="BP15" s="38"/>
      <c r="BQ15" s="38"/>
      <c r="BR15" s="39"/>
    </row>
    <row r="16" spans="1:70" x14ac:dyDescent="0.35">
      <c r="A16" s="33" t="s">
        <v>82</v>
      </c>
      <c r="B16" s="34">
        <v>1</v>
      </c>
      <c r="C16" s="35">
        <v>0</v>
      </c>
      <c r="D16" s="34">
        <v>3</v>
      </c>
      <c r="E16" s="35">
        <v>1</v>
      </c>
      <c r="F16" s="34">
        <v>6</v>
      </c>
      <c r="G16" s="35">
        <v>1</v>
      </c>
      <c r="H16" s="34">
        <v>8</v>
      </c>
      <c r="I16" s="35">
        <v>3</v>
      </c>
      <c r="J16" s="34">
        <v>8</v>
      </c>
      <c r="K16" s="35">
        <v>3</v>
      </c>
      <c r="L16" s="34">
        <v>8</v>
      </c>
      <c r="M16" s="35">
        <v>8</v>
      </c>
      <c r="N16" s="34">
        <v>8</v>
      </c>
      <c r="O16" s="35">
        <v>8</v>
      </c>
      <c r="P16" s="34">
        <v>8</v>
      </c>
      <c r="Q16" s="87">
        <v>7</v>
      </c>
      <c r="R16" s="34">
        <v>8</v>
      </c>
      <c r="S16" s="35"/>
      <c r="T16" s="34">
        <v>8</v>
      </c>
      <c r="U16" s="35"/>
      <c r="V16" s="34">
        <v>8</v>
      </c>
      <c r="W16" s="35"/>
      <c r="X16" s="34">
        <v>8</v>
      </c>
      <c r="Y16" s="35"/>
      <c r="Z16" s="34">
        <v>8</v>
      </c>
      <c r="AA16" s="35"/>
      <c r="AB16" s="34">
        <v>8</v>
      </c>
      <c r="AC16" s="35"/>
      <c r="AD16" s="34">
        <v>8</v>
      </c>
      <c r="AE16" s="35"/>
      <c r="AF16" s="34">
        <v>8</v>
      </c>
      <c r="AG16" s="35"/>
      <c r="AH16" s="34">
        <v>8</v>
      </c>
      <c r="AI16" s="35"/>
      <c r="AJ16" s="34">
        <v>8</v>
      </c>
      <c r="AK16" s="35"/>
      <c r="AL16" s="34">
        <v>8</v>
      </c>
      <c r="AM16" s="35"/>
      <c r="AN16" s="34">
        <v>8</v>
      </c>
      <c r="AO16" s="35"/>
      <c r="AP16" s="34">
        <v>8</v>
      </c>
      <c r="AQ16" s="35"/>
      <c r="AR16" s="34">
        <v>8</v>
      </c>
      <c r="AS16" s="35"/>
      <c r="AT16" s="34">
        <v>4</v>
      </c>
      <c r="AU16" s="36"/>
      <c r="AV16" s="68">
        <f t="shared" si="0"/>
        <v>-1</v>
      </c>
      <c r="AW16" s="35">
        <f t="shared" si="1"/>
        <v>-2</v>
      </c>
      <c r="AX16" s="35">
        <f t="shared" si="2"/>
        <v>-5</v>
      </c>
      <c r="AY16" s="35">
        <f t="shared" si="3"/>
        <v>-5</v>
      </c>
      <c r="AZ16" s="35">
        <f t="shared" si="4"/>
        <v>-5</v>
      </c>
      <c r="BA16" s="35">
        <f t="shared" si="5"/>
        <v>0</v>
      </c>
      <c r="BB16" s="35">
        <f t="shared" si="6"/>
        <v>0</v>
      </c>
      <c r="BC16" s="35">
        <f t="shared" si="7"/>
        <v>-1</v>
      </c>
      <c r="BD16" s="35"/>
      <c r="BE16" s="35"/>
      <c r="BF16" s="35"/>
      <c r="BG16" s="35"/>
      <c r="BH16" s="35"/>
      <c r="BI16" s="35"/>
      <c r="BJ16" s="35"/>
      <c r="BK16" s="35"/>
      <c r="BL16" s="35"/>
      <c r="BM16" s="35"/>
      <c r="BN16" s="35"/>
      <c r="BO16" s="35"/>
      <c r="BP16" s="35"/>
      <c r="BQ16" s="35"/>
      <c r="BR16" s="36"/>
    </row>
    <row r="17" spans="1:70" x14ac:dyDescent="0.35">
      <c r="A17" s="29" t="s">
        <v>83</v>
      </c>
      <c r="B17" s="37">
        <v>0</v>
      </c>
      <c r="C17" s="38">
        <v>2</v>
      </c>
      <c r="D17" s="37">
        <v>9</v>
      </c>
      <c r="E17" s="38">
        <v>24</v>
      </c>
      <c r="F17" s="37">
        <v>15</v>
      </c>
      <c r="G17" s="38">
        <v>32</v>
      </c>
      <c r="H17" s="37">
        <v>21</v>
      </c>
      <c r="I17" s="38">
        <v>36</v>
      </c>
      <c r="J17" s="37">
        <v>23</v>
      </c>
      <c r="K17" s="38">
        <v>44</v>
      </c>
      <c r="L17" s="37">
        <v>23</v>
      </c>
      <c r="M17" s="38">
        <v>47</v>
      </c>
      <c r="N17" s="37">
        <v>23</v>
      </c>
      <c r="O17" s="38">
        <v>47</v>
      </c>
      <c r="P17" s="37">
        <v>23</v>
      </c>
      <c r="Q17" s="87">
        <v>58</v>
      </c>
      <c r="R17" s="37">
        <v>23</v>
      </c>
      <c r="S17" s="38"/>
      <c r="T17" s="37">
        <v>23</v>
      </c>
      <c r="U17" s="38"/>
      <c r="V17" s="37">
        <v>23</v>
      </c>
      <c r="W17" s="38"/>
      <c r="X17" s="37">
        <v>23</v>
      </c>
      <c r="Y17" s="38"/>
      <c r="Z17" s="37">
        <v>23</v>
      </c>
      <c r="AA17" s="38"/>
      <c r="AB17" s="37">
        <v>23</v>
      </c>
      <c r="AC17" s="38"/>
      <c r="AD17" s="37">
        <v>23</v>
      </c>
      <c r="AE17" s="38"/>
      <c r="AF17" s="37">
        <v>23</v>
      </c>
      <c r="AG17" s="38"/>
      <c r="AH17" s="37">
        <v>23</v>
      </c>
      <c r="AI17" s="38"/>
      <c r="AJ17" s="37">
        <v>23</v>
      </c>
      <c r="AK17" s="38"/>
      <c r="AL17" s="37">
        <v>23</v>
      </c>
      <c r="AM17" s="38"/>
      <c r="AN17" s="37">
        <v>23</v>
      </c>
      <c r="AO17" s="38"/>
      <c r="AP17" s="37">
        <v>23</v>
      </c>
      <c r="AQ17" s="38"/>
      <c r="AR17" s="37">
        <v>18.5</v>
      </c>
      <c r="AS17" s="38"/>
      <c r="AT17" s="37">
        <v>7</v>
      </c>
      <c r="AU17" s="39"/>
      <c r="AV17" s="69">
        <f t="shared" si="0"/>
        <v>2</v>
      </c>
      <c r="AW17" s="38">
        <f t="shared" si="1"/>
        <v>15</v>
      </c>
      <c r="AX17" s="38">
        <f t="shared" si="2"/>
        <v>17</v>
      </c>
      <c r="AY17" s="38">
        <f t="shared" si="3"/>
        <v>15</v>
      </c>
      <c r="AZ17" s="38">
        <f t="shared" si="4"/>
        <v>21</v>
      </c>
      <c r="BA17" s="38">
        <f t="shared" si="5"/>
        <v>24</v>
      </c>
      <c r="BB17" s="38">
        <f t="shared" si="6"/>
        <v>24</v>
      </c>
      <c r="BC17" s="38">
        <f t="shared" si="7"/>
        <v>35</v>
      </c>
      <c r="BD17" s="38"/>
      <c r="BE17" s="38"/>
      <c r="BF17" s="38"/>
      <c r="BG17" s="38"/>
      <c r="BH17" s="38"/>
      <c r="BI17" s="38"/>
      <c r="BJ17" s="38"/>
      <c r="BK17" s="38"/>
      <c r="BL17" s="38"/>
      <c r="BM17" s="38"/>
      <c r="BN17" s="38"/>
      <c r="BO17" s="38"/>
      <c r="BP17" s="38"/>
      <c r="BQ17" s="38"/>
      <c r="BR17" s="39"/>
    </row>
    <row r="18" spans="1:70" x14ac:dyDescent="0.35">
      <c r="A18" s="33" t="s">
        <v>84</v>
      </c>
      <c r="B18" s="34">
        <v>0</v>
      </c>
      <c r="C18" s="35">
        <v>0</v>
      </c>
      <c r="D18" s="34">
        <v>0</v>
      </c>
      <c r="E18" s="35">
        <v>3</v>
      </c>
      <c r="F18" s="34">
        <v>2</v>
      </c>
      <c r="G18" s="35">
        <v>3</v>
      </c>
      <c r="H18" s="34">
        <v>2</v>
      </c>
      <c r="I18" s="35">
        <v>3</v>
      </c>
      <c r="J18" s="34">
        <v>2</v>
      </c>
      <c r="K18" s="35">
        <v>3</v>
      </c>
      <c r="L18" s="34">
        <v>2</v>
      </c>
      <c r="M18" s="35">
        <v>7</v>
      </c>
      <c r="N18" s="34">
        <v>2</v>
      </c>
      <c r="O18" s="35">
        <v>2</v>
      </c>
      <c r="P18" s="34">
        <v>2</v>
      </c>
      <c r="Q18" s="87">
        <v>2</v>
      </c>
      <c r="R18" s="34">
        <v>2</v>
      </c>
      <c r="S18" s="35"/>
      <c r="T18" s="34">
        <v>2</v>
      </c>
      <c r="U18" s="35"/>
      <c r="V18" s="34">
        <v>2</v>
      </c>
      <c r="W18" s="35"/>
      <c r="X18" s="34">
        <v>2</v>
      </c>
      <c r="Y18" s="35"/>
      <c r="Z18" s="34">
        <v>2</v>
      </c>
      <c r="AA18" s="35"/>
      <c r="AB18" s="34">
        <v>2</v>
      </c>
      <c r="AC18" s="35"/>
      <c r="AD18" s="34">
        <v>2</v>
      </c>
      <c r="AE18" s="35"/>
      <c r="AF18" s="34">
        <v>2</v>
      </c>
      <c r="AG18" s="35"/>
      <c r="AH18" s="34">
        <v>2</v>
      </c>
      <c r="AI18" s="35"/>
      <c r="AJ18" s="34">
        <v>2</v>
      </c>
      <c r="AK18" s="35"/>
      <c r="AL18" s="34">
        <v>2</v>
      </c>
      <c r="AM18" s="35"/>
      <c r="AN18" s="34">
        <v>2</v>
      </c>
      <c r="AO18" s="35"/>
      <c r="AP18" s="34">
        <v>2</v>
      </c>
      <c r="AQ18" s="35"/>
      <c r="AR18" s="34">
        <v>2</v>
      </c>
      <c r="AS18" s="35"/>
      <c r="AT18" s="34">
        <v>2</v>
      </c>
      <c r="AU18" s="36"/>
      <c r="AV18" s="68">
        <f t="shared" si="0"/>
        <v>0</v>
      </c>
      <c r="AW18" s="35">
        <f t="shared" si="1"/>
        <v>3</v>
      </c>
      <c r="AX18" s="35">
        <f t="shared" si="2"/>
        <v>1</v>
      </c>
      <c r="AY18" s="35">
        <f t="shared" si="3"/>
        <v>1</v>
      </c>
      <c r="AZ18" s="35">
        <f t="shared" si="4"/>
        <v>1</v>
      </c>
      <c r="BA18" s="35">
        <f t="shared" si="5"/>
        <v>5</v>
      </c>
      <c r="BB18" s="35">
        <f t="shared" si="6"/>
        <v>0</v>
      </c>
      <c r="BC18" s="35">
        <f t="shared" si="7"/>
        <v>0</v>
      </c>
      <c r="BD18" s="35"/>
      <c r="BE18" s="35"/>
      <c r="BF18" s="35"/>
      <c r="BG18" s="35"/>
      <c r="BH18" s="35"/>
      <c r="BI18" s="35"/>
      <c r="BJ18" s="35"/>
      <c r="BK18" s="35"/>
      <c r="BL18" s="35"/>
      <c r="BM18" s="35"/>
      <c r="BN18" s="35"/>
      <c r="BO18" s="35"/>
      <c r="BP18" s="35"/>
      <c r="BQ18" s="35"/>
      <c r="BR18" s="36"/>
    </row>
    <row r="19" spans="1:70" x14ac:dyDescent="0.35">
      <c r="A19" s="29" t="s">
        <v>85</v>
      </c>
      <c r="B19" s="37">
        <v>0</v>
      </c>
      <c r="C19" s="38">
        <v>1</v>
      </c>
      <c r="D19" s="37">
        <v>22</v>
      </c>
      <c r="E19" s="38">
        <v>6</v>
      </c>
      <c r="F19" s="37">
        <v>22</v>
      </c>
      <c r="G19" s="38">
        <v>12</v>
      </c>
      <c r="H19" s="37">
        <v>22</v>
      </c>
      <c r="I19" s="38">
        <v>18</v>
      </c>
      <c r="J19" s="37">
        <v>22</v>
      </c>
      <c r="K19" s="38">
        <v>13</v>
      </c>
      <c r="L19" s="37">
        <v>22</v>
      </c>
      <c r="M19" s="38">
        <v>24</v>
      </c>
      <c r="N19" s="37">
        <v>22</v>
      </c>
      <c r="O19" s="38">
        <v>27</v>
      </c>
      <c r="P19" s="37">
        <v>22</v>
      </c>
      <c r="Q19" s="87">
        <v>29</v>
      </c>
      <c r="R19" s="37">
        <v>22</v>
      </c>
      <c r="S19" s="38"/>
      <c r="T19" s="37">
        <v>22</v>
      </c>
      <c r="U19" s="38"/>
      <c r="V19" s="37">
        <v>22</v>
      </c>
      <c r="W19" s="38"/>
      <c r="X19" s="37">
        <v>22</v>
      </c>
      <c r="Y19" s="38"/>
      <c r="Z19" s="37">
        <v>22</v>
      </c>
      <c r="AA19" s="38"/>
      <c r="AB19" s="37">
        <v>22</v>
      </c>
      <c r="AC19" s="38"/>
      <c r="AD19" s="37">
        <v>22</v>
      </c>
      <c r="AE19" s="38"/>
      <c r="AF19" s="37">
        <v>26</v>
      </c>
      <c r="AG19" s="38"/>
      <c r="AH19" s="37">
        <v>26</v>
      </c>
      <c r="AI19" s="38"/>
      <c r="AJ19" s="37">
        <v>26</v>
      </c>
      <c r="AK19" s="38"/>
      <c r="AL19" s="37">
        <v>26</v>
      </c>
      <c r="AM19" s="38"/>
      <c r="AN19" s="37">
        <v>26</v>
      </c>
      <c r="AO19" s="38"/>
      <c r="AP19" s="37">
        <v>26</v>
      </c>
      <c r="AQ19" s="38"/>
      <c r="AR19" s="37">
        <v>26</v>
      </c>
      <c r="AS19" s="38"/>
      <c r="AT19" s="37">
        <v>13</v>
      </c>
      <c r="AU19" s="39"/>
      <c r="AV19" s="69">
        <f t="shared" si="0"/>
        <v>1</v>
      </c>
      <c r="AW19" s="38">
        <f t="shared" si="1"/>
        <v>-16</v>
      </c>
      <c r="AX19" s="38">
        <f t="shared" si="2"/>
        <v>-10</v>
      </c>
      <c r="AY19" s="38">
        <f t="shared" si="3"/>
        <v>-4</v>
      </c>
      <c r="AZ19" s="38">
        <f t="shared" si="4"/>
        <v>-9</v>
      </c>
      <c r="BA19" s="38">
        <f t="shared" si="5"/>
        <v>2</v>
      </c>
      <c r="BB19" s="38">
        <f t="shared" si="6"/>
        <v>5</v>
      </c>
      <c r="BC19" s="38">
        <f t="shared" si="7"/>
        <v>7</v>
      </c>
      <c r="BD19" s="38"/>
      <c r="BE19" s="38"/>
      <c r="BF19" s="38"/>
      <c r="BG19" s="38"/>
      <c r="BH19" s="38"/>
      <c r="BI19" s="38"/>
      <c r="BJ19" s="38"/>
      <c r="BK19" s="38"/>
      <c r="BL19" s="38"/>
      <c r="BM19" s="38"/>
      <c r="BN19" s="38"/>
      <c r="BO19" s="38"/>
      <c r="BP19" s="38"/>
      <c r="BQ19" s="38"/>
      <c r="BR19" s="39"/>
    </row>
    <row r="20" spans="1:70" x14ac:dyDescent="0.35">
      <c r="A20" s="33" t="s">
        <v>86</v>
      </c>
      <c r="B20" s="34">
        <v>0</v>
      </c>
      <c r="C20" s="35">
        <v>0</v>
      </c>
      <c r="D20" s="34">
        <v>9</v>
      </c>
      <c r="E20" s="35">
        <v>3</v>
      </c>
      <c r="F20" s="34">
        <v>18</v>
      </c>
      <c r="G20" s="35">
        <v>14</v>
      </c>
      <c r="H20" s="34">
        <v>18</v>
      </c>
      <c r="I20" s="35">
        <v>16</v>
      </c>
      <c r="J20" s="34">
        <v>18</v>
      </c>
      <c r="K20" s="35">
        <v>15</v>
      </c>
      <c r="L20" s="34">
        <v>18</v>
      </c>
      <c r="M20" s="35">
        <v>16</v>
      </c>
      <c r="N20" s="34">
        <v>18</v>
      </c>
      <c r="O20" s="35">
        <v>12</v>
      </c>
      <c r="P20" s="34">
        <v>18</v>
      </c>
      <c r="Q20" s="87">
        <v>14</v>
      </c>
      <c r="R20" s="34">
        <v>18</v>
      </c>
      <c r="S20" s="35"/>
      <c r="T20" s="34">
        <v>18</v>
      </c>
      <c r="U20" s="35"/>
      <c r="V20" s="34">
        <v>18</v>
      </c>
      <c r="W20" s="35"/>
      <c r="X20" s="34">
        <v>18</v>
      </c>
      <c r="Y20" s="35"/>
      <c r="Z20" s="34">
        <v>18</v>
      </c>
      <c r="AA20" s="35"/>
      <c r="AB20" s="34">
        <v>18</v>
      </c>
      <c r="AC20" s="35"/>
      <c r="AD20" s="34">
        <v>18</v>
      </c>
      <c r="AE20" s="35"/>
      <c r="AF20" s="34">
        <v>18</v>
      </c>
      <c r="AG20" s="35"/>
      <c r="AH20" s="34">
        <v>18</v>
      </c>
      <c r="AI20" s="35"/>
      <c r="AJ20" s="34">
        <v>18</v>
      </c>
      <c r="AK20" s="35"/>
      <c r="AL20" s="34">
        <v>18</v>
      </c>
      <c r="AM20" s="35"/>
      <c r="AN20" s="34">
        <v>18</v>
      </c>
      <c r="AO20" s="35"/>
      <c r="AP20" s="34">
        <v>18</v>
      </c>
      <c r="AQ20" s="35"/>
      <c r="AR20" s="34">
        <v>15.5</v>
      </c>
      <c r="AS20" s="35"/>
      <c r="AT20" s="34">
        <v>6.5</v>
      </c>
      <c r="AU20" s="36"/>
      <c r="AV20" s="68">
        <f t="shared" si="0"/>
        <v>0</v>
      </c>
      <c r="AW20" s="35">
        <f t="shared" si="1"/>
        <v>-6</v>
      </c>
      <c r="AX20" s="35">
        <f t="shared" si="2"/>
        <v>-4</v>
      </c>
      <c r="AY20" s="35">
        <f t="shared" si="3"/>
        <v>-2</v>
      </c>
      <c r="AZ20" s="35">
        <f t="shared" si="4"/>
        <v>-3</v>
      </c>
      <c r="BA20" s="35">
        <f t="shared" si="5"/>
        <v>-2</v>
      </c>
      <c r="BB20" s="35">
        <f t="shared" si="6"/>
        <v>-6</v>
      </c>
      <c r="BC20" s="35">
        <f t="shared" si="7"/>
        <v>-4</v>
      </c>
      <c r="BD20" s="35"/>
      <c r="BE20" s="35"/>
      <c r="BF20" s="35"/>
      <c r="BG20" s="35"/>
      <c r="BH20" s="35"/>
      <c r="BI20" s="35"/>
      <c r="BJ20" s="35"/>
      <c r="BK20" s="35"/>
      <c r="BL20" s="35"/>
      <c r="BM20" s="35"/>
      <c r="BN20" s="35"/>
      <c r="BO20" s="35"/>
      <c r="BP20" s="35"/>
      <c r="BQ20" s="35"/>
      <c r="BR20" s="36"/>
    </row>
    <row r="21" spans="1:70" x14ac:dyDescent="0.35">
      <c r="A21" s="29" t="s">
        <v>87</v>
      </c>
      <c r="B21" s="37">
        <v>0</v>
      </c>
      <c r="C21" s="38">
        <v>0</v>
      </c>
      <c r="D21" s="37">
        <v>0</v>
      </c>
      <c r="E21" s="38">
        <v>0</v>
      </c>
      <c r="F21" s="37">
        <v>1</v>
      </c>
      <c r="G21" s="38">
        <v>0</v>
      </c>
      <c r="H21" s="37">
        <v>2</v>
      </c>
      <c r="I21" s="38">
        <v>0</v>
      </c>
      <c r="J21" s="37">
        <v>3</v>
      </c>
      <c r="K21" s="38">
        <v>1</v>
      </c>
      <c r="L21" s="37">
        <v>3</v>
      </c>
      <c r="M21" s="38">
        <v>1</v>
      </c>
      <c r="N21" s="37">
        <v>3</v>
      </c>
      <c r="O21" s="38">
        <v>2</v>
      </c>
      <c r="P21" s="37">
        <v>3</v>
      </c>
      <c r="Q21" s="87">
        <v>2</v>
      </c>
      <c r="R21" s="37">
        <v>3</v>
      </c>
      <c r="S21" s="38"/>
      <c r="T21" s="37">
        <v>3</v>
      </c>
      <c r="U21" s="38"/>
      <c r="V21" s="37">
        <v>3</v>
      </c>
      <c r="W21" s="38"/>
      <c r="X21" s="37">
        <v>2</v>
      </c>
      <c r="Y21" s="38"/>
      <c r="Z21" s="37">
        <v>2</v>
      </c>
      <c r="AA21" s="38"/>
      <c r="AB21" s="37">
        <v>2</v>
      </c>
      <c r="AC21" s="38"/>
      <c r="AD21" s="37">
        <v>3</v>
      </c>
      <c r="AE21" s="38"/>
      <c r="AF21" s="37">
        <v>3</v>
      </c>
      <c r="AG21" s="38"/>
      <c r="AH21" s="37">
        <v>3</v>
      </c>
      <c r="AI21" s="38"/>
      <c r="AJ21" s="37">
        <v>3</v>
      </c>
      <c r="AK21" s="38"/>
      <c r="AL21" s="37">
        <v>3</v>
      </c>
      <c r="AM21" s="38"/>
      <c r="AN21" s="37">
        <v>3</v>
      </c>
      <c r="AO21" s="38"/>
      <c r="AP21" s="37">
        <v>3</v>
      </c>
      <c r="AQ21" s="38"/>
      <c r="AR21" s="37">
        <v>2</v>
      </c>
      <c r="AS21" s="38"/>
      <c r="AT21" s="37">
        <v>1</v>
      </c>
      <c r="AU21" s="39"/>
      <c r="AV21" s="69">
        <f t="shared" si="0"/>
        <v>0</v>
      </c>
      <c r="AW21" s="38">
        <f t="shared" si="1"/>
        <v>0</v>
      </c>
      <c r="AX21" s="38">
        <f t="shared" si="2"/>
        <v>-1</v>
      </c>
      <c r="AY21" s="38">
        <f t="shared" si="3"/>
        <v>-2</v>
      </c>
      <c r="AZ21" s="38">
        <f t="shared" si="4"/>
        <v>-2</v>
      </c>
      <c r="BA21" s="38">
        <f t="shared" si="5"/>
        <v>-2</v>
      </c>
      <c r="BB21" s="38">
        <f t="shared" si="6"/>
        <v>-1</v>
      </c>
      <c r="BC21" s="38">
        <f t="shared" si="7"/>
        <v>-1</v>
      </c>
      <c r="BD21" s="38"/>
      <c r="BE21" s="38"/>
      <c r="BF21" s="38"/>
      <c r="BG21" s="38"/>
      <c r="BH21" s="38"/>
      <c r="BI21" s="38"/>
      <c r="BJ21" s="38"/>
      <c r="BK21" s="38"/>
      <c r="BL21" s="38"/>
      <c r="BM21" s="38"/>
      <c r="BN21" s="38"/>
      <c r="BO21" s="38"/>
      <c r="BP21" s="38"/>
      <c r="BQ21" s="38"/>
      <c r="BR21" s="39"/>
    </row>
    <row r="22" spans="1:70" x14ac:dyDescent="0.35">
      <c r="A22" s="33" t="s">
        <v>88</v>
      </c>
      <c r="B22" s="34">
        <v>0</v>
      </c>
      <c r="C22" s="35">
        <v>0</v>
      </c>
      <c r="D22" s="34">
        <v>0</v>
      </c>
      <c r="E22" s="35">
        <v>0</v>
      </c>
      <c r="F22" s="34">
        <v>1</v>
      </c>
      <c r="G22" s="35">
        <v>0</v>
      </c>
      <c r="H22" s="34">
        <v>2</v>
      </c>
      <c r="I22" s="35">
        <v>0</v>
      </c>
      <c r="J22" s="34">
        <v>3</v>
      </c>
      <c r="K22" s="35">
        <v>0</v>
      </c>
      <c r="L22" s="34">
        <v>3</v>
      </c>
      <c r="M22" s="35">
        <v>1</v>
      </c>
      <c r="N22" s="34">
        <v>3</v>
      </c>
      <c r="O22" s="35">
        <v>9</v>
      </c>
      <c r="P22" s="34">
        <v>3</v>
      </c>
      <c r="Q22" s="87">
        <v>9</v>
      </c>
      <c r="R22" s="34">
        <v>3</v>
      </c>
      <c r="S22" s="35"/>
      <c r="T22" s="34">
        <v>3</v>
      </c>
      <c r="U22" s="35"/>
      <c r="V22" s="34">
        <v>3</v>
      </c>
      <c r="W22" s="35"/>
      <c r="X22" s="34">
        <v>2</v>
      </c>
      <c r="Y22" s="35"/>
      <c r="Z22" s="34">
        <v>2</v>
      </c>
      <c r="AA22" s="35"/>
      <c r="AB22" s="34">
        <v>2</v>
      </c>
      <c r="AC22" s="35"/>
      <c r="AD22" s="34">
        <v>3</v>
      </c>
      <c r="AE22" s="35"/>
      <c r="AF22" s="34">
        <v>3</v>
      </c>
      <c r="AG22" s="35"/>
      <c r="AH22" s="34">
        <v>3</v>
      </c>
      <c r="AI22" s="35"/>
      <c r="AJ22" s="34">
        <v>3</v>
      </c>
      <c r="AK22" s="35"/>
      <c r="AL22" s="34">
        <v>3</v>
      </c>
      <c r="AM22" s="35"/>
      <c r="AN22" s="34">
        <v>3</v>
      </c>
      <c r="AO22" s="35"/>
      <c r="AP22" s="34">
        <v>3</v>
      </c>
      <c r="AQ22" s="35"/>
      <c r="AR22" s="34">
        <v>2</v>
      </c>
      <c r="AS22" s="35"/>
      <c r="AT22" s="34">
        <v>1</v>
      </c>
      <c r="AU22" s="36"/>
      <c r="AV22" s="68">
        <f t="shared" si="0"/>
        <v>0</v>
      </c>
      <c r="AW22" s="35">
        <f t="shared" si="1"/>
        <v>0</v>
      </c>
      <c r="AX22" s="35">
        <f t="shared" si="2"/>
        <v>-1</v>
      </c>
      <c r="AY22" s="35">
        <f t="shared" si="3"/>
        <v>-2</v>
      </c>
      <c r="AZ22" s="35">
        <f t="shared" si="4"/>
        <v>-3</v>
      </c>
      <c r="BA22" s="35">
        <f t="shared" si="5"/>
        <v>-2</v>
      </c>
      <c r="BB22" s="35">
        <f t="shared" si="6"/>
        <v>6</v>
      </c>
      <c r="BC22" s="35">
        <f t="shared" si="7"/>
        <v>6</v>
      </c>
      <c r="BD22" s="35"/>
      <c r="BE22" s="35"/>
      <c r="BF22" s="35"/>
      <c r="BG22" s="35"/>
      <c r="BH22" s="35"/>
      <c r="BI22" s="35"/>
      <c r="BJ22" s="35"/>
      <c r="BK22" s="35"/>
      <c r="BL22" s="35"/>
      <c r="BM22" s="35"/>
      <c r="BN22" s="35"/>
      <c r="BO22" s="35"/>
      <c r="BP22" s="35"/>
      <c r="BQ22" s="35"/>
      <c r="BR22" s="36"/>
    </row>
    <row r="23" spans="1:70" x14ac:dyDescent="0.35">
      <c r="A23" s="29" t="s">
        <v>89</v>
      </c>
      <c r="B23" s="37">
        <v>0</v>
      </c>
      <c r="C23" s="38">
        <v>0</v>
      </c>
      <c r="D23" s="37">
        <v>4</v>
      </c>
      <c r="E23" s="38">
        <v>0</v>
      </c>
      <c r="F23" s="37">
        <v>4</v>
      </c>
      <c r="G23" s="38">
        <v>0</v>
      </c>
      <c r="H23" s="37">
        <v>4</v>
      </c>
      <c r="I23" s="38">
        <v>0</v>
      </c>
      <c r="J23" s="37">
        <v>4</v>
      </c>
      <c r="K23" s="38">
        <v>0</v>
      </c>
      <c r="L23" s="37">
        <v>4</v>
      </c>
      <c r="M23" s="38">
        <v>2</v>
      </c>
      <c r="N23" s="37">
        <v>4</v>
      </c>
      <c r="O23" s="38">
        <v>2</v>
      </c>
      <c r="P23" s="37">
        <v>4</v>
      </c>
      <c r="Q23" s="87">
        <v>2</v>
      </c>
      <c r="R23" s="37">
        <v>4</v>
      </c>
      <c r="S23" s="38"/>
      <c r="T23" s="37">
        <v>4</v>
      </c>
      <c r="U23" s="38"/>
      <c r="V23" s="37">
        <v>4</v>
      </c>
      <c r="W23" s="38"/>
      <c r="X23" s="37">
        <v>4</v>
      </c>
      <c r="Y23" s="38"/>
      <c r="Z23" s="37">
        <v>4</v>
      </c>
      <c r="AA23" s="38"/>
      <c r="AB23" s="37">
        <v>4</v>
      </c>
      <c r="AC23" s="38"/>
      <c r="AD23" s="37">
        <v>4</v>
      </c>
      <c r="AE23" s="38"/>
      <c r="AF23" s="37">
        <v>4</v>
      </c>
      <c r="AG23" s="38"/>
      <c r="AH23" s="37">
        <v>4</v>
      </c>
      <c r="AI23" s="38"/>
      <c r="AJ23" s="37">
        <v>4</v>
      </c>
      <c r="AK23" s="38"/>
      <c r="AL23" s="37">
        <v>4</v>
      </c>
      <c r="AM23" s="38"/>
      <c r="AN23" s="37">
        <v>4</v>
      </c>
      <c r="AO23" s="38"/>
      <c r="AP23" s="37">
        <v>4</v>
      </c>
      <c r="AQ23" s="38"/>
      <c r="AR23" s="37">
        <v>4</v>
      </c>
      <c r="AS23" s="38"/>
      <c r="AT23" s="37">
        <v>2</v>
      </c>
      <c r="AU23" s="39"/>
      <c r="AV23" s="69">
        <f t="shared" si="0"/>
        <v>0</v>
      </c>
      <c r="AW23" s="38">
        <f t="shared" si="1"/>
        <v>-4</v>
      </c>
      <c r="AX23" s="38">
        <f t="shared" si="2"/>
        <v>-4</v>
      </c>
      <c r="AY23" s="38">
        <f t="shared" si="3"/>
        <v>-4</v>
      </c>
      <c r="AZ23" s="38">
        <f t="shared" si="4"/>
        <v>-4</v>
      </c>
      <c r="BA23" s="38">
        <f t="shared" si="5"/>
        <v>-2</v>
      </c>
      <c r="BB23" s="38">
        <f t="shared" si="6"/>
        <v>-2</v>
      </c>
      <c r="BC23" s="38">
        <f t="shared" si="7"/>
        <v>-2</v>
      </c>
      <c r="BD23" s="38"/>
      <c r="BE23" s="38"/>
      <c r="BF23" s="38"/>
      <c r="BG23" s="38"/>
      <c r="BH23" s="38"/>
      <c r="BI23" s="38"/>
      <c r="BJ23" s="38"/>
      <c r="BK23" s="38"/>
      <c r="BL23" s="38"/>
      <c r="BM23" s="38"/>
      <c r="BN23" s="38"/>
      <c r="BO23" s="38"/>
      <c r="BP23" s="38"/>
      <c r="BQ23" s="38"/>
      <c r="BR23" s="39"/>
    </row>
    <row r="24" spans="1:70" x14ac:dyDescent="0.35">
      <c r="A24" s="33" t="s">
        <v>90</v>
      </c>
      <c r="B24" s="34">
        <v>0</v>
      </c>
      <c r="C24" s="35">
        <v>0</v>
      </c>
      <c r="D24" s="34">
        <v>6</v>
      </c>
      <c r="E24" s="35">
        <v>0</v>
      </c>
      <c r="F24" s="34">
        <v>6</v>
      </c>
      <c r="G24" s="35">
        <v>0</v>
      </c>
      <c r="H24" s="34">
        <v>6</v>
      </c>
      <c r="I24" s="35">
        <v>0</v>
      </c>
      <c r="J24" s="34">
        <v>6</v>
      </c>
      <c r="K24" s="35">
        <v>0</v>
      </c>
      <c r="L24" s="34">
        <v>6</v>
      </c>
      <c r="M24" s="35">
        <v>0</v>
      </c>
      <c r="N24" s="34">
        <v>6</v>
      </c>
      <c r="O24" s="35">
        <v>0</v>
      </c>
      <c r="P24" s="34">
        <v>6</v>
      </c>
      <c r="Q24" s="87">
        <v>0</v>
      </c>
      <c r="R24" s="34">
        <v>6</v>
      </c>
      <c r="S24" s="35"/>
      <c r="T24" s="34">
        <v>6</v>
      </c>
      <c r="U24" s="35"/>
      <c r="V24" s="34">
        <v>6</v>
      </c>
      <c r="W24" s="35"/>
      <c r="X24" s="34">
        <v>6</v>
      </c>
      <c r="Y24" s="35"/>
      <c r="Z24" s="34">
        <v>6</v>
      </c>
      <c r="AA24" s="35"/>
      <c r="AB24" s="34">
        <v>6</v>
      </c>
      <c r="AC24" s="35"/>
      <c r="AD24" s="34">
        <v>6</v>
      </c>
      <c r="AE24" s="35"/>
      <c r="AF24" s="34">
        <v>6</v>
      </c>
      <c r="AG24" s="35"/>
      <c r="AH24" s="34">
        <v>6</v>
      </c>
      <c r="AI24" s="35"/>
      <c r="AJ24" s="34">
        <v>6</v>
      </c>
      <c r="AK24" s="35"/>
      <c r="AL24" s="34">
        <v>6</v>
      </c>
      <c r="AM24" s="35"/>
      <c r="AN24" s="34">
        <v>6</v>
      </c>
      <c r="AO24" s="35"/>
      <c r="AP24" s="34">
        <v>6</v>
      </c>
      <c r="AQ24" s="35"/>
      <c r="AR24" s="34">
        <v>6</v>
      </c>
      <c r="AS24" s="35"/>
      <c r="AT24" s="34">
        <v>3</v>
      </c>
      <c r="AU24" s="36"/>
      <c r="AV24" s="68">
        <f t="shared" si="0"/>
        <v>0</v>
      </c>
      <c r="AW24" s="35">
        <f t="shared" si="1"/>
        <v>-6</v>
      </c>
      <c r="AX24" s="35">
        <f t="shared" si="2"/>
        <v>-6</v>
      </c>
      <c r="AY24" s="35">
        <f t="shared" si="3"/>
        <v>-6</v>
      </c>
      <c r="AZ24" s="35">
        <f t="shared" si="4"/>
        <v>-6</v>
      </c>
      <c r="BA24" s="35">
        <f t="shared" si="5"/>
        <v>-6</v>
      </c>
      <c r="BB24" s="35">
        <f t="shared" si="6"/>
        <v>-6</v>
      </c>
      <c r="BC24" s="35">
        <f t="shared" si="7"/>
        <v>-6</v>
      </c>
      <c r="BD24" s="35"/>
      <c r="BE24" s="35"/>
      <c r="BF24" s="35"/>
      <c r="BG24" s="35"/>
      <c r="BH24" s="35"/>
      <c r="BI24" s="35"/>
      <c r="BJ24" s="35"/>
      <c r="BK24" s="35"/>
      <c r="BL24" s="35"/>
      <c r="BM24" s="35"/>
      <c r="BN24" s="35"/>
      <c r="BO24" s="35"/>
      <c r="BP24" s="35"/>
      <c r="BQ24" s="35"/>
      <c r="BR24" s="36"/>
    </row>
    <row r="25" spans="1:70" x14ac:dyDescent="0.35">
      <c r="A25" s="29" t="s">
        <v>91</v>
      </c>
      <c r="B25" s="37">
        <v>0</v>
      </c>
      <c r="C25" s="38">
        <v>0</v>
      </c>
      <c r="D25" s="37">
        <v>8</v>
      </c>
      <c r="E25" s="38">
        <v>0</v>
      </c>
      <c r="F25" s="37">
        <v>8</v>
      </c>
      <c r="G25" s="38">
        <v>0</v>
      </c>
      <c r="H25" s="37">
        <v>8</v>
      </c>
      <c r="I25" s="38">
        <v>0</v>
      </c>
      <c r="J25" s="37">
        <v>8</v>
      </c>
      <c r="K25" s="38">
        <v>0</v>
      </c>
      <c r="L25" s="37">
        <v>8</v>
      </c>
      <c r="M25" s="38">
        <v>1</v>
      </c>
      <c r="N25" s="37">
        <v>8</v>
      </c>
      <c r="O25" s="38">
        <v>1</v>
      </c>
      <c r="P25" s="37">
        <v>8</v>
      </c>
      <c r="Q25" s="87">
        <v>1</v>
      </c>
      <c r="R25" s="37">
        <v>8</v>
      </c>
      <c r="S25" s="38"/>
      <c r="T25" s="37">
        <v>8</v>
      </c>
      <c r="U25" s="38"/>
      <c r="V25" s="37">
        <v>8</v>
      </c>
      <c r="W25" s="38"/>
      <c r="X25" s="37">
        <v>8</v>
      </c>
      <c r="Y25" s="38"/>
      <c r="Z25" s="37">
        <v>8</v>
      </c>
      <c r="AA25" s="38"/>
      <c r="AB25" s="37">
        <v>8</v>
      </c>
      <c r="AC25" s="38"/>
      <c r="AD25" s="37">
        <v>8</v>
      </c>
      <c r="AE25" s="38"/>
      <c r="AF25" s="37">
        <v>8</v>
      </c>
      <c r="AG25" s="38"/>
      <c r="AH25" s="37">
        <v>8</v>
      </c>
      <c r="AI25" s="38"/>
      <c r="AJ25" s="37">
        <v>8</v>
      </c>
      <c r="AK25" s="38"/>
      <c r="AL25" s="37">
        <v>8</v>
      </c>
      <c r="AM25" s="38"/>
      <c r="AN25" s="37">
        <v>8</v>
      </c>
      <c r="AO25" s="38"/>
      <c r="AP25" s="37">
        <v>8</v>
      </c>
      <c r="AQ25" s="38"/>
      <c r="AR25" s="37">
        <v>8</v>
      </c>
      <c r="AS25" s="38"/>
      <c r="AT25" s="37">
        <v>4</v>
      </c>
      <c r="AU25" s="39"/>
      <c r="AV25" s="69">
        <f t="shared" si="0"/>
        <v>0</v>
      </c>
      <c r="AW25" s="38">
        <f t="shared" si="1"/>
        <v>-8</v>
      </c>
      <c r="AX25" s="38">
        <f t="shared" si="2"/>
        <v>-8</v>
      </c>
      <c r="AY25" s="38">
        <f t="shared" si="3"/>
        <v>-8</v>
      </c>
      <c r="AZ25" s="38">
        <f t="shared" si="4"/>
        <v>-8</v>
      </c>
      <c r="BA25" s="38">
        <f t="shared" si="5"/>
        <v>-7</v>
      </c>
      <c r="BB25" s="38">
        <f t="shared" si="6"/>
        <v>-7</v>
      </c>
      <c r="BC25" s="38">
        <f t="shared" si="7"/>
        <v>-7</v>
      </c>
      <c r="BD25" s="38"/>
      <c r="BE25" s="38"/>
      <c r="BF25" s="38"/>
      <c r="BG25" s="38"/>
      <c r="BH25" s="38"/>
      <c r="BI25" s="38"/>
      <c r="BJ25" s="38"/>
      <c r="BK25" s="38"/>
      <c r="BL25" s="38"/>
      <c r="BM25" s="38"/>
      <c r="BN25" s="38"/>
      <c r="BO25" s="38"/>
      <c r="BP25" s="38"/>
      <c r="BQ25" s="38"/>
      <c r="BR25" s="39"/>
    </row>
    <row r="26" spans="1:70" x14ac:dyDescent="0.35">
      <c r="A26" s="33" t="s">
        <v>92</v>
      </c>
      <c r="B26" s="34">
        <v>0</v>
      </c>
      <c r="C26" s="35">
        <v>0</v>
      </c>
      <c r="D26" s="34">
        <v>0</v>
      </c>
      <c r="E26" s="35">
        <v>0</v>
      </c>
      <c r="F26" s="34">
        <v>1</v>
      </c>
      <c r="G26" s="35">
        <v>2</v>
      </c>
      <c r="H26" s="34">
        <v>1</v>
      </c>
      <c r="I26" s="35">
        <v>4</v>
      </c>
      <c r="J26" s="34">
        <v>1</v>
      </c>
      <c r="K26" s="35">
        <v>1</v>
      </c>
      <c r="L26" s="34">
        <v>1</v>
      </c>
      <c r="M26" s="35">
        <v>1</v>
      </c>
      <c r="N26" s="34">
        <v>1</v>
      </c>
      <c r="O26" s="35">
        <v>5</v>
      </c>
      <c r="P26" s="34">
        <v>1</v>
      </c>
      <c r="Q26" s="87">
        <v>3</v>
      </c>
      <c r="R26" s="34">
        <v>1</v>
      </c>
      <c r="S26" s="35"/>
      <c r="T26" s="34">
        <v>1</v>
      </c>
      <c r="U26" s="35"/>
      <c r="V26" s="34">
        <v>1</v>
      </c>
      <c r="W26" s="35"/>
      <c r="X26" s="34">
        <v>1</v>
      </c>
      <c r="Y26" s="35"/>
      <c r="Z26" s="34">
        <v>1</v>
      </c>
      <c r="AA26" s="35"/>
      <c r="AB26" s="34">
        <v>1</v>
      </c>
      <c r="AC26" s="35"/>
      <c r="AD26" s="34">
        <v>1</v>
      </c>
      <c r="AE26" s="35"/>
      <c r="AF26" s="34">
        <v>1</v>
      </c>
      <c r="AG26" s="35"/>
      <c r="AH26" s="34">
        <v>1</v>
      </c>
      <c r="AI26" s="35"/>
      <c r="AJ26" s="34">
        <v>1</v>
      </c>
      <c r="AK26" s="35"/>
      <c r="AL26" s="34">
        <v>1</v>
      </c>
      <c r="AM26" s="35"/>
      <c r="AN26" s="34">
        <v>1</v>
      </c>
      <c r="AO26" s="35"/>
      <c r="AP26" s="34">
        <v>1</v>
      </c>
      <c r="AQ26" s="35"/>
      <c r="AR26" s="34">
        <v>1</v>
      </c>
      <c r="AS26" s="35"/>
      <c r="AT26" s="34">
        <v>0.5</v>
      </c>
      <c r="AU26" s="36"/>
      <c r="AV26" s="68">
        <f t="shared" si="0"/>
        <v>0</v>
      </c>
      <c r="AW26" s="35">
        <f t="shared" si="1"/>
        <v>0</v>
      </c>
      <c r="AX26" s="35">
        <f t="shared" si="2"/>
        <v>1</v>
      </c>
      <c r="AY26" s="35">
        <f t="shared" si="3"/>
        <v>3</v>
      </c>
      <c r="AZ26" s="35">
        <f t="shared" si="4"/>
        <v>0</v>
      </c>
      <c r="BA26" s="35">
        <f t="shared" si="5"/>
        <v>0</v>
      </c>
      <c r="BB26" s="35">
        <f t="shared" si="6"/>
        <v>4</v>
      </c>
      <c r="BC26" s="35">
        <f t="shared" si="7"/>
        <v>2</v>
      </c>
      <c r="BD26" s="35"/>
      <c r="BE26" s="35"/>
      <c r="BF26" s="35"/>
      <c r="BG26" s="35"/>
      <c r="BH26" s="35"/>
      <c r="BI26" s="35"/>
      <c r="BJ26" s="35"/>
      <c r="BK26" s="35"/>
      <c r="BL26" s="35"/>
      <c r="BM26" s="35"/>
      <c r="BN26" s="35"/>
      <c r="BO26" s="35"/>
      <c r="BP26" s="35"/>
      <c r="BQ26" s="35"/>
      <c r="BR26" s="36"/>
    </row>
    <row r="27" spans="1:70" x14ac:dyDescent="0.35">
      <c r="A27" s="29" t="s">
        <v>93</v>
      </c>
      <c r="B27" s="37">
        <v>1</v>
      </c>
      <c r="C27" s="38">
        <v>0</v>
      </c>
      <c r="D27" s="37">
        <v>3</v>
      </c>
      <c r="E27" s="38">
        <v>0</v>
      </c>
      <c r="F27" s="37">
        <v>6</v>
      </c>
      <c r="G27" s="38">
        <v>1</v>
      </c>
      <c r="H27" s="37">
        <v>8</v>
      </c>
      <c r="I27" s="38">
        <v>1</v>
      </c>
      <c r="J27" s="37">
        <v>8</v>
      </c>
      <c r="K27" s="38">
        <v>2</v>
      </c>
      <c r="L27" s="37">
        <v>8</v>
      </c>
      <c r="M27" s="38">
        <v>2</v>
      </c>
      <c r="N27" s="37">
        <v>8</v>
      </c>
      <c r="O27" s="38">
        <v>0</v>
      </c>
      <c r="P27" s="37">
        <v>8</v>
      </c>
      <c r="Q27" s="87">
        <v>0</v>
      </c>
      <c r="R27" s="37">
        <v>8</v>
      </c>
      <c r="S27" s="38"/>
      <c r="T27" s="37">
        <v>8</v>
      </c>
      <c r="U27" s="38"/>
      <c r="V27" s="37">
        <v>8</v>
      </c>
      <c r="W27" s="38"/>
      <c r="X27" s="37">
        <v>8</v>
      </c>
      <c r="Y27" s="38"/>
      <c r="Z27" s="37">
        <v>8</v>
      </c>
      <c r="AA27" s="38"/>
      <c r="AB27" s="37">
        <v>8</v>
      </c>
      <c r="AC27" s="38"/>
      <c r="AD27" s="37">
        <v>8</v>
      </c>
      <c r="AE27" s="38"/>
      <c r="AF27" s="37">
        <v>8</v>
      </c>
      <c r="AG27" s="38"/>
      <c r="AH27" s="37">
        <v>8</v>
      </c>
      <c r="AI27" s="38"/>
      <c r="AJ27" s="37">
        <v>8</v>
      </c>
      <c r="AK27" s="38"/>
      <c r="AL27" s="37">
        <v>8</v>
      </c>
      <c r="AM27" s="38"/>
      <c r="AN27" s="37">
        <v>8</v>
      </c>
      <c r="AO27" s="38"/>
      <c r="AP27" s="37">
        <v>8</v>
      </c>
      <c r="AQ27" s="38"/>
      <c r="AR27" s="37">
        <v>8</v>
      </c>
      <c r="AS27" s="38"/>
      <c r="AT27" s="37">
        <v>4</v>
      </c>
      <c r="AU27" s="39"/>
      <c r="AV27" s="69">
        <f t="shared" si="0"/>
        <v>-1</v>
      </c>
      <c r="AW27" s="38">
        <f t="shared" si="1"/>
        <v>-3</v>
      </c>
      <c r="AX27" s="38">
        <f t="shared" si="2"/>
        <v>-5</v>
      </c>
      <c r="AY27" s="38">
        <f t="shared" si="3"/>
        <v>-7</v>
      </c>
      <c r="AZ27" s="38">
        <f t="shared" si="4"/>
        <v>-6</v>
      </c>
      <c r="BA27" s="38">
        <f t="shared" si="5"/>
        <v>-6</v>
      </c>
      <c r="BB27" s="38">
        <f t="shared" si="6"/>
        <v>-8</v>
      </c>
      <c r="BC27" s="38">
        <f t="shared" si="7"/>
        <v>-8</v>
      </c>
      <c r="BD27" s="38"/>
      <c r="BE27" s="38"/>
      <c r="BF27" s="38"/>
      <c r="BG27" s="38"/>
      <c r="BH27" s="38"/>
      <c r="BI27" s="38"/>
      <c r="BJ27" s="38"/>
      <c r="BK27" s="38"/>
      <c r="BL27" s="38"/>
      <c r="BM27" s="38"/>
      <c r="BN27" s="38"/>
      <c r="BO27" s="38"/>
      <c r="BP27" s="38"/>
      <c r="BQ27" s="38"/>
      <c r="BR27" s="39"/>
    </row>
    <row r="28" spans="1:70" x14ac:dyDescent="0.35">
      <c r="A28" s="33" t="s">
        <v>94</v>
      </c>
      <c r="B28" s="34">
        <v>0</v>
      </c>
      <c r="C28" s="35">
        <v>0</v>
      </c>
      <c r="D28" s="34">
        <v>0</v>
      </c>
      <c r="E28" s="35">
        <v>1</v>
      </c>
      <c r="F28" s="34">
        <v>1</v>
      </c>
      <c r="G28" s="35">
        <v>1</v>
      </c>
      <c r="H28" s="34">
        <v>1</v>
      </c>
      <c r="I28" s="35">
        <v>2</v>
      </c>
      <c r="J28" s="34">
        <v>2</v>
      </c>
      <c r="K28" s="35">
        <v>2</v>
      </c>
      <c r="L28" s="34">
        <v>2</v>
      </c>
      <c r="M28" s="35">
        <v>3</v>
      </c>
      <c r="N28" s="34">
        <v>2</v>
      </c>
      <c r="O28" s="35">
        <v>4</v>
      </c>
      <c r="P28" s="34">
        <v>2</v>
      </c>
      <c r="Q28" s="87">
        <v>4</v>
      </c>
      <c r="R28" s="34">
        <v>2</v>
      </c>
      <c r="S28" s="35"/>
      <c r="T28" s="34">
        <v>2</v>
      </c>
      <c r="U28" s="35"/>
      <c r="V28" s="34">
        <v>2</v>
      </c>
      <c r="W28" s="35"/>
      <c r="X28" s="34">
        <v>2</v>
      </c>
      <c r="Y28" s="35"/>
      <c r="Z28" s="34">
        <v>2</v>
      </c>
      <c r="AA28" s="35"/>
      <c r="AB28" s="34">
        <v>2</v>
      </c>
      <c r="AC28" s="35"/>
      <c r="AD28" s="34">
        <v>2</v>
      </c>
      <c r="AE28" s="35"/>
      <c r="AF28" s="34">
        <v>2</v>
      </c>
      <c r="AG28" s="35"/>
      <c r="AH28" s="34">
        <v>2</v>
      </c>
      <c r="AI28" s="35"/>
      <c r="AJ28" s="34">
        <v>2</v>
      </c>
      <c r="AK28" s="35"/>
      <c r="AL28" s="34">
        <v>2</v>
      </c>
      <c r="AM28" s="35"/>
      <c r="AN28" s="34">
        <v>2</v>
      </c>
      <c r="AO28" s="35"/>
      <c r="AP28" s="34">
        <v>2</v>
      </c>
      <c r="AQ28" s="35"/>
      <c r="AR28" s="34">
        <v>2</v>
      </c>
      <c r="AS28" s="35"/>
      <c r="AT28" s="34">
        <v>1</v>
      </c>
      <c r="AU28" s="36"/>
      <c r="AV28" s="68">
        <f t="shared" si="0"/>
        <v>0</v>
      </c>
      <c r="AW28" s="35">
        <f t="shared" si="1"/>
        <v>1</v>
      </c>
      <c r="AX28" s="35">
        <f t="shared" si="2"/>
        <v>0</v>
      </c>
      <c r="AY28" s="35">
        <f t="shared" si="3"/>
        <v>1</v>
      </c>
      <c r="AZ28" s="35">
        <f t="shared" si="4"/>
        <v>0</v>
      </c>
      <c r="BA28" s="35">
        <f t="shared" si="5"/>
        <v>1</v>
      </c>
      <c r="BB28" s="35">
        <f t="shared" si="6"/>
        <v>2</v>
      </c>
      <c r="BC28" s="35">
        <f t="shared" si="7"/>
        <v>2</v>
      </c>
      <c r="BD28" s="35"/>
      <c r="BE28" s="35"/>
      <c r="BF28" s="35"/>
      <c r="BG28" s="35"/>
      <c r="BH28" s="35"/>
      <c r="BI28" s="35"/>
      <c r="BJ28" s="35"/>
      <c r="BK28" s="35"/>
      <c r="BL28" s="35"/>
      <c r="BM28" s="35"/>
      <c r="BN28" s="35"/>
      <c r="BO28" s="35"/>
      <c r="BP28" s="35"/>
      <c r="BQ28" s="35"/>
      <c r="BR28" s="36"/>
    </row>
    <row r="29" spans="1:70" x14ac:dyDescent="0.35">
      <c r="A29" s="29" t="s">
        <v>95</v>
      </c>
      <c r="B29" s="37">
        <v>0</v>
      </c>
      <c r="C29" s="38">
        <v>0</v>
      </c>
      <c r="D29" s="37">
        <v>1</v>
      </c>
      <c r="E29" s="38">
        <v>0</v>
      </c>
      <c r="F29" s="37">
        <v>1</v>
      </c>
      <c r="G29" s="38">
        <v>0</v>
      </c>
      <c r="H29" s="37">
        <v>1</v>
      </c>
      <c r="I29" s="38">
        <v>0</v>
      </c>
      <c r="J29" s="37">
        <v>1</v>
      </c>
      <c r="K29" s="38">
        <v>1</v>
      </c>
      <c r="L29" s="37">
        <v>1</v>
      </c>
      <c r="M29" s="38">
        <v>3</v>
      </c>
      <c r="N29" s="37">
        <v>1</v>
      </c>
      <c r="O29" s="38">
        <v>1</v>
      </c>
      <c r="P29" s="37">
        <v>1</v>
      </c>
      <c r="Q29" s="87">
        <v>1</v>
      </c>
      <c r="R29" s="37">
        <v>1</v>
      </c>
      <c r="S29" s="38"/>
      <c r="T29" s="37">
        <v>1</v>
      </c>
      <c r="U29" s="38"/>
      <c r="V29" s="37">
        <v>1</v>
      </c>
      <c r="W29" s="38"/>
      <c r="X29" s="37">
        <v>1</v>
      </c>
      <c r="Y29" s="38"/>
      <c r="Z29" s="37">
        <v>1</v>
      </c>
      <c r="AA29" s="38"/>
      <c r="AB29" s="37">
        <v>1</v>
      </c>
      <c r="AC29" s="38"/>
      <c r="AD29" s="37">
        <v>1</v>
      </c>
      <c r="AE29" s="38"/>
      <c r="AF29" s="37">
        <v>1</v>
      </c>
      <c r="AG29" s="38"/>
      <c r="AH29" s="37">
        <v>1</v>
      </c>
      <c r="AI29" s="38"/>
      <c r="AJ29" s="37">
        <v>1</v>
      </c>
      <c r="AK29" s="38"/>
      <c r="AL29" s="37">
        <v>1</v>
      </c>
      <c r="AM29" s="38"/>
      <c r="AN29" s="37">
        <v>1</v>
      </c>
      <c r="AO29" s="38"/>
      <c r="AP29" s="37">
        <v>1</v>
      </c>
      <c r="AQ29" s="38"/>
      <c r="AR29" s="37">
        <v>0.5</v>
      </c>
      <c r="AS29" s="38"/>
      <c r="AT29" s="37">
        <v>0</v>
      </c>
      <c r="AU29" s="39"/>
      <c r="AV29" s="69">
        <f t="shared" si="0"/>
        <v>0</v>
      </c>
      <c r="AW29" s="38">
        <f t="shared" si="1"/>
        <v>-1</v>
      </c>
      <c r="AX29" s="38">
        <f t="shared" si="2"/>
        <v>-1</v>
      </c>
      <c r="AY29" s="38">
        <f t="shared" si="3"/>
        <v>-1</v>
      </c>
      <c r="AZ29" s="38">
        <f t="shared" si="4"/>
        <v>0</v>
      </c>
      <c r="BA29" s="38">
        <f t="shared" si="5"/>
        <v>2</v>
      </c>
      <c r="BB29" s="38">
        <f t="shared" si="6"/>
        <v>0</v>
      </c>
      <c r="BC29" s="38">
        <f t="shared" si="7"/>
        <v>0</v>
      </c>
      <c r="BD29" s="38"/>
      <c r="BE29" s="38"/>
      <c r="BF29" s="38"/>
      <c r="BG29" s="38"/>
      <c r="BH29" s="38"/>
      <c r="BI29" s="38"/>
      <c r="BJ29" s="38"/>
      <c r="BK29" s="38"/>
      <c r="BL29" s="38"/>
      <c r="BM29" s="38"/>
      <c r="BN29" s="38"/>
      <c r="BO29" s="38"/>
      <c r="BP29" s="38"/>
      <c r="BQ29" s="38"/>
      <c r="BR29" s="39"/>
    </row>
    <row r="30" spans="1:70" x14ac:dyDescent="0.35">
      <c r="A30" s="33" t="s">
        <v>96</v>
      </c>
      <c r="B30" s="34">
        <v>0</v>
      </c>
      <c r="C30" s="35">
        <v>0</v>
      </c>
      <c r="D30" s="34">
        <v>1</v>
      </c>
      <c r="E30" s="35">
        <v>0</v>
      </c>
      <c r="F30" s="34">
        <v>1</v>
      </c>
      <c r="G30" s="35">
        <v>0</v>
      </c>
      <c r="H30" s="34">
        <v>1</v>
      </c>
      <c r="I30" s="35">
        <v>0</v>
      </c>
      <c r="J30" s="34">
        <v>1</v>
      </c>
      <c r="K30" s="35">
        <v>0</v>
      </c>
      <c r="L30" s="34">
        <v>1</v>
      </c>
      <c r="M30" s="35">
        <v>2</v>
      </c>
      <c r="N30" s="34">
        <v>1</v>
      </c>
      <c r="O30" s="35">
        <v>0</v>
      </c>
      <c r="P30" s="34">
        <v>1</v>
      </c>
      <c r="Q30" s="87">
        <v>0</v>
      </c>
      <c r="R30" s="34">
        <v>1</v>
      </c>
      <c r="S30" s="35"/>
      <c r="T30" s="34">
        <v>1</v>
      </c>
      <c r="U30" s="35"/>
      <c r="V30" s="34">
        <v>1</v>
      </c>
      <c r="W30" s="35"/>
      <c r="X30" s="34">
        <v>1</v>
      </c>
      <c r="Y30" s="35"/>
      <c r="Z30" s="34">
        <v>1</v>
      </c>
      <c r="AA30" s="35"/>
      <c r="AB30" s="34">
        <v>1</v>
      </c>
      <c r="AC30" s="35"/>
      <c r="AD30" s="34">
        <v>1</v>
      </c>
      <c r="AE30" s="35"/>
      <c r="AF30" s="34">
        <v>1</v>
      </c>
      <c r="AG30" s="35"/>
      <c r="AH30" s="34">
        <v>1</v>
      </c>
      <c r="AI30" s="35"/>
      <c r="AJ30" s="34">
        <v>1</v>
      </c>
      <c r="AK30" s="35"/>
      <c r="AL30" s="34">
        <v>1</v>
      </c>
      <c r="AM30" s="35"/>
      <c r="AN30" s="34">
        <v>1</v>
      </c>
      <c r="AO30" s="35"/>
      <c r="AP30" s="34">
        <v>1</v>
      </c>
      <c r="AQ30" s="35"/>
      <c r="AR30" s="34">
        <v>1</v>
      </c>
      <c r="AS30" s="35"/>
      <c r="AT30" s="34">
        <v>0.5</v>
      </c>
      <c r="AU30" s="36"/>
      <c r="AV30" s="68">
        <f t="shared" si="0"/>
        <v>0</v>
      </c>
      <c r="AW30" s="35">
        <f t="shared" si="1"/>
        <v>-1</v>
      </c>
      <c r="AX30" s="35">
        <f t="shared" si="2"/>
        <v>-1</v>
      </c>
      <c r="AY30" s="35">
        <f t="shared" si="3"/>
        <v>-1</v>
      </c>
      <c r="AZ30" s="35">
        <f t="shared" si="4"/>
        <v>-1</v>
      </c>
      <c r="BA30" s="35">
        <f t="shared" si="5"/>
        <v>1</v>
      </c>
      <c r="BB30" s="35">
        <f t="shared" si="6"/>
        <v>-1</v>
      </c>
      <c r="BC30" s="35">
        <f t="shared" si="7"/>
        <v>-1</v>
      </c>
      <c r="BD30" s="35"/>
      <c r="BE30" s="35"/>
      <c r="BF30" s="35"/>
      <c r="BG30" s="35"/>
      <c r="BH30" s="35"/>
      <c r="BI30" s="35"/>
      <c r="BJ30" s="35"/>
      <c r="BK30" s="35"/>
      <c r="BL30" s="35"/>
      <c r="BM30" s="35"/>
      <c r="BN30" s="35"/>
      <c r="BO30" s="35"/>
      <c r="BP30" s="35"/>
      <c r="BQ30" s="35"/>
      <c r="BR30" s="36"/>
    </row>
    <row r="31" spans="1:70" x14ac:dyDescent="0.35">
      <c r="A31" s="29" t="s">
        <v>97</v>
      </c>
      <c r="B31" s="37">
        <v>0</v>
      </c>
      <c r="C31" s="38">
        <v>0</v>
      </c>
      <c r="D31" s="37">
        <v>2</v>
      </c>
      <c r="E31" s="38">
        <v>0</v>
      </c>
      <c r="F31" s="37">
        <v>2</v>
      </c>
      <c r="G31" s="38">
        <v>0</v>
      </c>
      <c r="H31" s="37">
        <v>2</v>
      </c>
      <c r="I31" s="38">
        <v>0</v>
      </c>
      <c r="J31" s="37">
        <v>2</v>
      </c>
      <c r="K31" s="38">
        <v>0</v>
      </c>
      <c r="L31" s="37">
        <v>2</v>
      </c>
      <c r="M31" s="38">
        <v>0</v>
      </c>
      <c r="N31" s="37">
        <v>2</v>
      </c>
      <c r="O31" s="38">
        <v>1</v>
      </c>
      <c r="P31" s="37">
        <v>2</v>
      </c>
      <c r="Q31" s="87">
        <v>0</v>
      </c>
      <c r="R31" s="37">
        <v>2</v>
      </c>
      <c r="S31" s="38"/>
      <c r="T31" s="37">
        <v>2</v>
      </c>
      <c r="U31" s="38"/>
      <c r="V31" s="37">
        <v>2</v>
      </c>
      <c r="W31" s="38"/>
      <c r="X31" s="37">
        <v>2</v>
      </c>
      <c r="Y31" s="38"/>
      <c r="Z31" s="37">
        <v>2</v>
      </c>
      <c r="AA31" s="38"/>
      <c r="AB31" s="37">
        <v>2</v>
      </c>
      <c r="AC31" s="38"/>
      <c r="AD31" s="37">
        <v>2</v>
      </c>
      <c r="AE31" s="38"/>
      <c r="AF31" s="37">
        <v>2</v>
      </c>
      <c r="AG31" s="38"/>
      <c r="AH31" s="37">
        <v>2</v>
      </c>
      <c r="AI31" s="38"/>
      <c r="AJ31" s="37">
        <v>2</v>
      </c>
      <c r="AK31" s="38"/>
      <c r="AL31" s="37">
        <v>2</v>
      </c>
      <c r="AM31" s="38"/>
      <c r="AN31" s="37">
        <v>2</v>
      </c>
      <c r="AO31" s="38"/>
      <c r="AP31" s="37">
        <v>2</v>
      </c>
      <c r="AQ31" s="38"/>
      <c r="AR31" s="37">
        <v>2</v>
      </c>
      <c r="AS31" s="38"/>
      <c r="AT31" s="37">
        <v>1</v>
      </c>
      <c r="AU31" s="39"/>
      <c r="AV31" s="69">
        <f t="shared" si="0"/>
        <v>0</v>
      </c>
      <c r="AW31" s="38">
        <f t="shared" si="1"/>
        <v>-2</v>
      </c>
      <c r="AX31" s="38">
        <f t="shared" si="2"/>
        <v>-2</v>
      </c>
      <c r="AY31" s="38">
        <f t="shared" si="3"/>
        <v>-2</v>
      </c>
      <c r="AZ31" s="38">
        <f t="shared" si="4"/>
        <v>-2</v>
      </c>
      <c r="BA31" s="38">
        <f t="shared" si="5"/>
        <v>-2</v>
      </c>
      <c r="BB31" s="38">
        <f t="shared" si="6"/>
        <v>-1</v>
      </c>
      <c r="BC31" s="38">
        <f t="shared" si="7"/>
        <v>-2</v>
      </c>
      <c r="BD31" s="38"/>
      <c r="BE31" s="38"/>
      <c r="BF31" s="38"/>
      <c r="BG31" s="38"/>
      <c r="BH31" s="38"/>
      <c r="BI31" s="38"/>
      <c r="BJ31" s="38"/>
      <c r="BK31" s="38"/>
      <c r="BL31" s="38"/>
      <c r="BM31" s="38"/>
      <c r="BN31" s="38"/>
      <c r="BO31" s="38"/>
      <c r="BP31" s="38"/>
      <c r="BQ31" s="38"/>
      <c r="BR31" s="39"/>
    </row>
    <row r="32" spans="1:70" ht="15" thickBot="1" x14ac:dyDescent="0.4">
      <c r="A32" s="40" t="s">
        <v>98</v>
      </c>
      <c r="B32" s="41">
        <v>0</v>
      </c>
      <c r="C32" s="42">
        <v>0</v>
      </c>
      <c r="D32" s="41">
        <v>3</v>
      </c>
      <c r="E32" s="42">
        <v>3</v>
      </c>
      <c r="F32" s="41">
        <v>3</v>
      </c>
      <c r="G32" s="42">
        <v>4</v>
      </c>
      <c r="H32" s="41">
        <v>3</v>
      </c>
      <c r="I32" s="42">
        <v>6</v>
      </c>
      <c r="J32" s="41">
        <v>3</v>
      </c>
      <c r="K32" s="42">
        <v>0</v>
      </c>
      <c r="L32" s="41">
        <v>3</v>
      </c>
      <c r="M32" s="42">
        <v>4</v>
      </c>
      <c r="N32" s="41">
        <v>3</v>
      </c>
      <c r="O32" s="42">
        <v>6</v>
      </c>
      <c r="P32" s="41">
        <v>3</v>
      </c>
      <c r="Q32" s="88">
        <v>6</v>
      </c>
      <c r="R32" s="41">
        <v>3</v>
      </c>
      <c r="S32" s="42"/>
      <c r="T32" s="41">
        <v>3</v>
      </c>
      <c r="U32" s="42"/>
      <c r="V32" s="41">
        <v>3</v>
      </c>
      <c r="W32" s="42"/>
      <c r="X32" s="41">
        <v>3</v>
      </c>
      <c r="Y32" s="42"/>
      <c r="Z32" s="41">
        <v>3</v>
      </c>
      <c r="AA32" s="42"/>
      <c r="AB32" s="41">
        <v>3</v>
      </c>
      <c r="AC32" s="42"/>
      <c r="AD32" s="41">
        <v>3</v>
      </c>
      <c r="AE32" s="42"/>
      <c r="AF32" s="41">
        <v>3</v>
      </c>
      <c r="AG32" s="42"/>
      <c r="AH32" s="41">
        <v>3</v>
      </c>
      <c r="AI32" s="42"/>
      <c r="AJ32" s="41">
        <v>3</v>
      </c>
      <c r="AK32" s="42"/>
      <c r="AL32" s="41">
        <v>3</v>
      </c>
      <c r="AM32" s="42"/>
      <c r="AN32" s="41">
        <v>3</v>
      </c>
      <c r="AO32" s="42"/>
      <c r="AP32" s="41">
        <v>3</v>
      </c>
      <c r="AQ32" s="42"/>
      <c r="AR32" s="41">
        <v>3</v>
      </c>
      <c r="AS32" s="42"/>
      <c r="AT32" s="41">
        <v>1.5</v>
      </c>
      <c r="AU32" s="43"/>
      <c r="AV32" s="70">
        <f t="shared" si="0"/>
        <v>0</v>
      </c>
      <c r="AW32" s="42">
        <f t="shared" si="1"/>
        <v>0</v>
      </c>
      <c r="AX32" s="42">
        <f t="shared" si="2"/>
        <v>1</v>
      </c>
      <c r="AY32" s="42">
        <f t="shared" si="3"/>
        <v>3</v>
      </c>
      <c r="AZ32" s="42">
        <f t="shared" si="4"/>
        <v>-3</v>
      </c>
      <c r="BA32" s="42">
        <f t="shared" si="5"/>
        <v>1</v>
      </c>
      <c r="BB32" s="42">
        <f t="shared" si="6"/>
        <v>3</v>
      </c>
      <c r="BC32" s="42">
        <f t="shared" si="7"/>
        <v>3</v>
      </c>
      <c r="BD32" s="42"/>
      <c r="BE32" s="42"/>
      <c r="BF32" s="42"/>
      <c r="BG32" s="42"/>
      <c r="BH32" s="42"/>
      <c r="BI32" s="42"/>
      <c r="BJ32" s="42"/>
      <c r="BK32" s="42"/>
      <c r="BL32" s="42"/>
      <c r="BM32" s="42"/>
      <c r="BN32" s="42"/>
      <c r="BO32" s="42"/>
      <c r="BP32" s="42"/>
      <c r="BQ32" s="42"/>
      <c r="BR32" s="43"/>
    </row>
    <row r="33" spans="1:70" ht="15" thickBot="1" x14ac:dyDescent="0.4">
      <c r="A33" s="47" t="s">
        <v>102</v>
      </c>
      <c r="B33" s="48">
        <f>SUM(B3:B32)</f>
        <v>12</v>
      </c>
      <c r="C33" s="49">
        <f t="shared" ref="C33:Q33" si="8">SUM(C3:C32)</f>
        <v>5</v>
      </c>
      <c r="D33" s="49">
        <f t="shared" si="8"/>
        <v>140.5</v>
      </c>
      <c r="E33" s="49">
        <f t="shared" si="8"/>
        <v>89</v>
      </c>
      <c r="F33" s="49">
        <f t="shared" si="8"/>
        <v>219</v>
      </c>
      <c r="G33" s="49">
        <f t="shared" si="8"/>
        <v>127</v>
      </c>
      <c r="H33" s="49">
        <f t="shared" si="8"/>
        <v>250</v>
      </c>
      <c r="I33" s="49">
        <f t="shared" si="8"/>
        <v>150</v>
      </c>
      <c r="J33" s="49">
        <f t="shared" si="8"/>
        <v>260</v>
      </c>
      <c r="K33" s="49">
        <f t="shared" si="8"/>
        <v>144</v>
      </c>
      <c r="L33" s="49">
        <f t="shared" si="8"/>
        <v>260</v>
      </c>
      <c r="M33" s="49">
        <f t="shared" si="8"/>
        <v>194</v>
      </c>
      <c r="N33" s="49">
        <f t="shared" si="8"/>
        <v>260</v>
      </c>
      <c r="O33" s="49">
        <f t="shared" si="8"/>
        <v>198</v>
      </c>
      <c r="P33" s="49">
        <f t="shared" si="8"/>
        <v>260</v>
      </c>
      <c r="Q33" s="49">
        <f t="shared" si="8"/>
        <v>214</v>
      </c>
      <c r="R33" s="49">
        <f t="shared" ref="R33" si="9">SUM(R3:R32)</f>
        <v>260</v>
      </c>
      <c r="S33" s="49">
        <f t="shared" ref="S33" si="10">SUM(S3:S32)</f>
        <v>0</v>
      </c>
      <c r="T33" s="49">
        <f t="shared" ref="T33" si="11">SUM(T3:T32)</f>
        <v>260</v>
      </c>
      <c r="U33" s="49">
        <f t="shared" ref="U33" si="12">SUM(U3:U32)</f>
        <v>0</v>
      </c>
      <c r="V33" s="49">
        <f t="shared" ref="V33" si="13">SUM(V3:V32)</f>
        <v>260</v>
      </c>
      <c r="W33" s="49">
        <f t="shared" ref="W33" si="14">SUM(W3:W32)</f>
        <v>0</v>
      </c>
      <c r="X33" s="49">
        <f t="shared" ref="X33" si="15">SUM(X3:X32)</f>
        <v>256</v>
      </c>
      <c r="Y33" s="49">
        <f t="shared" ref="Y33" si="16">SUM(Y3:Y32)</f>
        <v>0</v>
      </c>
      <c r="Z33" s="49">
        <f t="shared" ref="Z33" si="17">SUM(Z3:Z32)</f>
        <v>256</v>
      </c>
      <c r="AA33" s="49">
        <f t="shared" ref="AA33" si="18">SUM(AA3:AA32)</f>
        <v>0</v>
      </c>
      <c r="AB33" s="49">
        <f t="shared" ref="AB33" si="19">SUM(AB3:AB32)</f>
        <v>256</v>
      </c>
      <c r="AC33" s="49">
        <f t="shared" ref="AC33" si="20">SUM(AC3:AC32)</f>
        <v>0</v>
      </c>
      <c r="AD33" s="49">
        <f t="shared" ref="AD33" si="21">SUM(AD3:AD32)</f>
        <v>260</v>
      </c>
      <c r="AE33" s="49">
        <f t="shared" ref="AE33" si="22">SUM(AE3:AE32)</f>
        <v>0</v>
      </c>
      <c r="AF33" s="49">
        <f t="shared" ref="AF33" si="23">SUM(AF3:AF32)</f>
        <v>264</v>
      </c>
      <c r="AG33" s="49">
        <f t="shared" ref="AG33" si="24">SUM(AG3:AG32)</f>
        <v>0</v>
      </c>
      <c r="AH33" s="49">
        <f t="shared" ref="AH33" si="25">SUM(AH3:AH32)</f>
        <v>264</v>
      </c>
      <c r="AI33" s="49">
        <f t="shared" ref="AI33" si="26">SUM(AI3:AI32)</f>
        <v>0</v>
      </c>
      <c r="AJ33" s="49">
        <f t="shared" ref="AJ33" si="27">SUM(AJ3:AJ32)</f>
        <v>264</v>
      </c>
      <c r="AK33" s="49">
        <f t="shared" ref="AK33" si="28">SUM(AK3:AK32)</f>
        <v>0</v>
      </c>
      <c r="AL33" s="49">
        <f t="shared" ref="AL33" si="29">SUM(AL3:AL32)</f>
        <v>264</v>
      </c>
      <c r="AM33" s="49">
        <f t="shared" ref="AM33" si="30">SUM(AM3:AM32)</f>
        <v>0</v>
      </c>
      <c r="AN33" s="49">
        <f t="shared" ref="AN33" si="31">SUM(AN3:AN32)</f>
        <v>264</v>
      </c>
      <c r="AO33" s="49">
        <f t="shared" ref="AO33" si="32">SUM(AO3:AO32)</f>
        <v>0</v>
      </c>
      <c r="AP33" s="49">
        <f t="shared" ref="AP33" si="33">SUM(AP3:AP32)</f>
        <v>264</v>
      </c>
      <c r="AQ33" s="49">
        <f t="shared" ref="AQ33" si="34">SUM(AQ3:AQ32)</f>
        <v>0</v>
      </c>
      <c r="AR33" s="49">
        <f t="shared" ref="AR33" si="35">SUM(AR3:AR32)</f>
        <v>240</v>
      </c>
      <c r="AS33" s="49">
        <f t="shared" ref="AS33" si="36">SUM(AS3:AS32)</f>
        <v>0</v>
      </c>
      <c r="AT33" s="49">
        <f t="shared" ref="AT33" si="37">SUM(AT3:AT32)</f>
        <v>114.5</v>
      </c>
      <c r="AU33" s="50">
        <f t="shared" ref="AU33" si="38">SUM(AU3:AU32)</f>
        <v>0</v>
      </c>
      <c r="AV33" s="71">
        <f>SUM(AV3:AV32)</f>
        <v>-7</v>
      </c>
      <c r="AW33" s="49">
        <f t="shared" ref="AW33:BR33" si="39">SUM(AW3:AW32)</f>
        <v>-51.5</v>
      </c>
      <c r="AX33" s="49">
        <f t="shared" si="39"/>
        <v>-92</v>
      </c>
      <c r="AY33" s="49">
        <f t="shared" si="39"/>
        <v>-100</v>
      </c>
      <c r="AZ33" s="49">
        <f t="shared" si="39"/>
        <v>-116</v>
      </c>
      <c r="BA33" s="49">
        <f t="shared" si="39"/>
        <v>-66</v>
      </c>
      <c r="BB33" s="49">
        <f t="shared" si="39"/>
        <v>-62</v>
      </c>
      <c r="BC33" s="49">
        <f t="shared" si="39"/>
        <v>-46</v>
      </c>
      <c r="BD33" s="49">
        <f t="shared" si="39"/>
        <v>0</v>
      </c>
      <c r="BE33" s="49">
        <f t="shared" si="39"/>
        <v>0</v>
      </c>
      <c r="BF33" s="49">
        <f t="shared" si="39"/>
        <v>0</v>
      </c>
      <c r="BG33" s="49">
        <f t="shared" si="39"/>
        <v>0</v>
      </c>
      <c r="BH33" s="49">
        <f t="shared" si="39"/>
        <v>0</v>
      </c>
      <c r="BI33" s="49">
        <f t="shared" si="39"/>
        <v>0</v>
      </c>
      <c r="BJ33" s="49">
        <f t="shared" si="39"/>
        <v>0</v>
      </c>
      <c r="BK33" s="49">
        <f t="shared" si="39"/>
        <v>0</v>
      </c>
      <c r="BL33" s="49">
        <f t="shared" si="39"/>
        <v>0</v>
      </c>
      <c r="BM33" s="49">
        <f t="shared" si="39"/>
        <v>0</v>
      </c>
      <c r="BN33" s="49">
        <f t="shared" si="39"/>
        <v>0</v>
      </c>
      <c r="BO33" s="49">
        <f t="shared" si="39"/>
        <v>0</v>
      </c>
      <c r="BP33" s="49">
        <f t="shared" si="39"/>
        <v>0</v>
      </c>
      <c r="BQ33" s="49">
        <f t="shared" si="39"/>
        <v>0</v>
      </c>
      <c r="BR33" s="50">
        <f t="shared" si="39"/>
        <v>0</v>
      </c>
    </row>
    <row r="34" spans="1:70" ht="15" thickBot="1" x14ac:dyDescent="0.4">
      <c r="O34" s="44"/>
    </row>
    <row r="35" spans="1:70" ht="15" thickBot="1" x14ac:dyDescent="0.4">
      <c r="A35" s="168" t="s">
        <v>103</v>
      </c>
      <c r="B35" s="23">
        <v>45992</v>
      </c>
      <c r="C35" s="24"/>
      <c r="D35" s="23">
        <v>46023</v>
      </c>
      <c r="E35" s="24"/>
      <c r="F35" s="23">
        <v>46054</v>
      </c>
      <c r="G35" s="24"/>
      <c r="H35" s="23">
        <v>46082</v>
      </c>
      <c r="I35" s="24"/>
      <c r="J35" s="23">
        <v>46113</v>
      </c>
      <c r="K35" s="24"/>
      <c r="L35" s="23">
        <v>46143</v>
      </c>
      <c r="M35" s="24"/>
      <c r="N35" s="23">
        <v>46174</v>
      </c>
      <c r="O35" s="24"/>
      <c r="P35" s="23">
        <v>46204</v>
      </c>
      <c r="Q35" s="24"/>
      <c r="R35" s="23">
        <v>46235</v>
      </c>
      <c r="S35" s="24"/>
      <c r="T35" s="23">
        <v>46266</v>
      </c>
      <c r="U35" s="24"/>
      <c r="V35" s="23">
        <v>46296</v>
      </c>
      <c r="W35" s="24"/>
      <c r="X35" s="23">
        <v>46327</v>
      </c>
      <c r="Y35" s="24"/>
      <c r="Z35" s="23">
        <v>46357</v>
      </c>
      <c r="AA35" s="24"/>
      <c r="AB35" s="23">
        <v>46388</v>
      </c>
      <c r="AC35" s="24"/>
      <c r="AD35" s="23">
        <v>46419</v>
      </c>
      <c r="AE35" s="24"/>
      <c r="AF35" s="23">
        <v>46447</v>
      </c>
      <c r="AG35" s="24"/>
      <c r="AH35" s="23">
        <v>46478</v>
      </c>
      <c r="AI35" s="24"/>
      <c r="AJ35" s="23">
        <v>46508</v>
      </c>
      <c r="AK35" s="24"/>
      <c r="AL35" s="23">
        <v>46539</v>
      </c>
      <c r="AM35" s="24"/>
      <c r="AN35" s="23">
        <v>46569</v>
      </c>
      <c r="AO35" s="24"/>
      <c r="AP35" s="23">
        <v>46600</v>
      </c>
      <c r="AQ35" s="24"/>
      <c r="AR35" s="23">
        <v>46631</v>
      </c>
      <c r="AS35" s="24"/>
      <c r="AT35" s="23">
        <v>46661</v>
      </c>
      <c r="AU35" s="25"/>
      <c r="AV35" s="63">
        <v>45992</v>
      </c>
      <c r="AW35" s="62">
        <v>46023</v>
      </c>
      <c r="AX35" s="62">
        <v>46054</v>
      </c>
      <c r="AY35" s="62">
        <v>46082</v>
      </c>
      <c r="AZ35" s="62">
        <v>46113</v>
      </c>
      <c r="BA35" s="62">
        <v>46143</v>
      </c>
      <c r="BB35" s="62">
        <v>46174</v>
      </c>
      <c r="BC35" s="62">
        <v>46204</v>
      </c>
      <c r="BD35" s="62">
        <v>46235</v>
      </c>
      <c r="BE35" s="62">
        <v>46266</v>
      </c>
      <c r="BF35" s="62">
        <v>46296</v>
      </c>
      <c r="BG35" s="62">
        <v>46327</v>
      </c>
      <c r="BH35" s="62">
        <v>46357</v>
      </c>
      <c r="BI35" s="62">
        <v>46388</v>
      </c>
      <c r="BJ35" s="62">
        <v>46419</v>
      </c>
      <c r="BK35" s="62">
        <v>46447</v>
      </c>
      <c r="BL35" s="62">
        <v>46478</v>
      </c>
      <c r="BM35" s="62">
        <v>46508</v>
      </c>
      <c r="BN35" s="62">
        <v>46539</v>
      </c>
      <c r="BO35" s="62">
        <v>46569</v>
      </c>
      <c r="BP35" s="62">
        <v>46600</v>
      </c>
      <c r="BQ35" s="62">
        <v>46631</v>
      </c>
      <c r="BR35" s="64">
        <v>46661</v>
      </c>
    </row>
    <row r="36" spans="1:70" ht="15" thickBot="1" x14ac:dyDescent="0.4">
      <c r="A36" s="169"/>
      <c r="B36" s="26" t="s">
        <v>100</v>
      </c>
      <c r="C36" s="27" t="s">
        <v>101</v>
      </c>
      <c r="D36" s="26" t="s">
        <v>100</v>
      </c>
      <c r="E36" s="27" t="s">
        <v>101</v>
      </c>
      <c r="F36" s="26" t="s">
        <v>100</v>
      </c>
      <c r="G36" s="27" t="s">
        <v>101</v>
      </c>
      <c r="H36" s="26" t="s">
        <v>100</v>
      </c>
      <c r="I36" s="27" t="s">
        <v>101</v>
      </c>
      <c r="J36" s="26" t="s">
        <v>100</v>
      </c>
      <c r="K36" s="27" t="s">
        <v>101</v>
      </c>
      <c r="L36" s="26" t="s">
        <v>100</v>
      </c>
      <c r="M36" s="27" t="s">
        <v>101</v>
      </c>
      <c r="N36" s="26" t="s">
        <v>100</v>
      </c>
      <c r="O36" s="27" t="s">
        <v>101</v>
      </c>
      <c r="P36" s="26" t="s">
        <v>100</v>
      </c>
      <c r="Q36" s="27" t="s">
        <v>101</v>
      </c>
      <c r="R36" s="26" t="s">
        <v>100</v>
      </c>
      <c r="S36" s="27" t="s">
        <v>101</v>
      </c>
      <c r="T36" s="26" t="s">
        <v>100</v>
      </c>
      <c r="U36" s="27" t="s">
        <v>101</v>
      </c>
      <c r="V36" s="26" t="s">
        <v>100</v>
      </c>
      <c r="W36" s="27" t="s">
        <v>101</v>
      </c>
      <c r="X36" s="26" t="s">
        <v>100</v>
      </c>
      <c r="Y36" s="27" t="s">
        <v>101</v>
      </c>
      <c r="Z36" s="26" t="s">
        <v>100</v>
      </c>
      <c r="AA36" s="27" t="s">
        <v>101</v>
      </c>
      <c r="AB36" s="26" t="s">
        <v>100</v>
      </c>
      <c r="AC36" s="27" t="s">
        <v>101</v>
      </c>
      <c r="AD36" s="26" t="s">
        <v>100</v>
      </c>
      <c r="AE36" s="27" t="s">
        <v>101</v>
      </c>
      <c r="AF36" s="26" t="s">
        <v>100</v>
      </c>
      <c r="AG36" s="27" t="s">
        <v>101</v>
      </c>
      <c r="AH36" s="26" t="s">
        <v>100</v>
      </c>
      <c r="AI36" s="27" t="s">
        <v>101</v>
      </c>
      <c r="AJ36" s="26" t="s">
        <v>100</v>
      </c>
      <c r="AK36" s="27" t="s">
        <v>101</v>
      </c>
      <c r="AL36" s="26" t="s">
        <v>100</v>
      </c>
      <c r="AM36" s="27" t="s">
        <v>101</v>
      </c>
      <c r="AN36" s="26" t="s">
        <v>100</v>
      </c>
      <c r="AO36" s="27" t="s">
        <v>101</v>
      </c>
      <c r="AP36" s="26" t="s">
        <v>100</v>
      </c>
      <c r="AQ36" s="27" t="s">
        <v>101</v>
      </c>
      <c r="AR36" s="26" t="s">
        <v>100</v>
      </c>
      <c r="AS36" s="27" t="s">
        <v>101</v>
      </c>
      <c r="AT36" s="26" t="s">
        <v>100</v>
      </c>
      <c r="AU36" s="28" t="s">
        <v>101</v>
      </c>
      <c r="AV36" s="65" t="s">
        <v>164</v>
      </c>
      <c r="AW36" s="26" t="s">
        <v>164</v>
      </c>
      <c r="AX36" s="26" t="s">
        <v>164</v>
      </c>
      <c r="AY36" s="26" t="s">
        <v>164</v>
      </c>
      <c r="AZ36" s="26" t="s">
        <v>164</v>
      </c>
      <c r="BA36" s="26" t="s">
        <v>164</v>
      </c>
      <c r="BB36" s="26" t="s">
        <v>164</v>
      </c>
      <c r="BC36" s="26" t="s">
        <v>164</v>
      </c>
      <c r="BD36" s="26" t="s">
        <v>164</v>
      </c>
      <c r="BE36" s="26" t="s">
        <v>164</v>
      </c>
      <c r="BF36" s="26" t="s">
        <v>164</v>
      </c>
      <c r="BG36" s="26" t="s">
        <v>164</v>
      </c>
      <c r="BH36" s="26" t="s">
        <v>164</v>
      </c>
      <c r="BI36" s="26" t="s">
        <v>164</v>
      </c>
      <c r="BJ36" s="26" t="s">
        <v>164</v>
      </c>
      <c r="BK36" s="26" t="s">
        <v>164</v>
      </c>
      <c r="BL36" s="26" t="s">
        <v>164</v>
      </c>
      <c r="BM36" s="26" t="s">
        <v>164</v>
      </c>
      <c r="BN36" s="26" t="s">
        <v>164</v>
      </c>
      <c r="BO36" s="26" t="s">
        <v>164</v>
      </c>
      <c r="BP36" s="26" t="s">
        <v>164</v>
      </c>
      <c r="BQ36" s="26" t="s">
        <v>164</v>
      </c>
      <c r="BR36" s="66" t="s">
        <v>164</v>
      </c>
    </row>
    <row r="37" spans="1:70" x14ac:dyDescent="0.35">
      <c r="A37" s="29" t="s">
        <v>104</v>
      </c>
      <c r="B37" s="30">
        <v>0</v>
      </c>
      <c r="C37" s="31">
        <v>0</v>
      </c>
      <c r="D37" s="30">
        <v>1.5</v>
      </c>
      <c r="E37" s="31">
        <v>0</v>
      </c>
      <c r="F37" s="30">
        <v>3</v>
      </c>
      <c r="G37" s="31">
        <v>0</v>
      </c>
      <c r="H37" s="30">
        <v>3</v>
      </c>
      <c r="I37" s="31">
        <v>0</v>
      </c>
      <c r="J37" s="30">
        <v>3</v>
      </c>
      <c r="K37" s="31">
        <v>3</v>
      </c>
      <c r="L37" s="30">
        <v>3</v>
      </c>
      <c r="M37" s="31">
        <v>3</v>
      </c>
      <c r="N37" s="30">
        <v>3</v>
      </c>
      <c r="O37" s="31">
        <v>3</v>
      </c>
      <c r="P37" s="30">
        <v>3</v>
      </c>
      <c r="Q37" s="86">
        <v>5</v>
      </c>
      <c r="R37" s="30">
        <v>3</v>
      </c>
      <c r="S37" s="31"/>
      <c r="T37" s="30">
        <v>3</v>
      </c>
      <c r="U37" s="31"/>
      <c r="V37" s="30">
        <v>3</v>
      </c>
      <c r="W37" s="31"/>
      <c r="X37" s="30">
        <v>3</v>
      </c>
      <c r="Y37" s="31"/>
      <c r="Z37" s="30">
        <v>3</v>
      </c>
      <c r="AA37" s="31"/>
      <c r="AB37" s="30">
        <v>3</v>
      </c>
      <c r="AC37" s="31"/>
      <c r="AD37" s="30">
        <v>3</v>
      </c>
      <c r="AE37" s="31"/>
      <c r="AF37" s="30">
        <v>3</v>
      </c>
      <c r="AG37" s="31"/>
      <c r="AH37" s="30">
        <v>3</v>
      </c>
      <c r="AI37" s="31"/>
      <c r="AJ37" s="30">
        <v>3</v>
      </c>
      <c r="AK37" s="31"/>
      <c r="AL37" s="30">
        <v>3</v>
      </c>
      <c r="AM37" s="31"/>
      <c r="AN37" s="30">
        <v>3</v>
      </c>
      <c r="AO37" s="31"/>
      <c r="AP37" s="30">
        <v>3</v>
      </c>
      <c r="AQ37" s="31"/>
      <c r="AR37" s="30">
        <v>3</v>
      </c>
      <c r="AS37" s="31"/>
      <c r="AT37" s="44">
        <v>1.5</v>
      </c>
      <c r="AU37" s="39"/>
      <c r="AV37" s="67">
        <f>C37-B37</f>
        <v>0</v>
      </c>
      <c r="AW37" s="31">
        <f>E37-D37</f>
        <v>-1.5</v>
      </c>
      <c r="AX37" s="31">
        <f>G37-F37</f>
        <v>-3</v>
      </c>
      <c r="AY37" s="31">
        <f>I37-H37</f>
        <v>-3</v>
      </c>
      <c r="AZ37" s="31">
        <f>K37-J37</f>
        <v>0</v>
      </c>
      <c r="BA37" s="31">
        <f>M37-L37</f>
        <v>0</v>
      </c>
      <c r="BB37" s="31">
        <f>O37-N37</f>
        <v>0</v>
      </c>
      <c r="BC37" s="31">
        <f t="shared" ref="BC37:BC78" si="40">Q37-P37</f>
        <v>2</v>
      </c>
      <c r="BD37" s="31"/>
      <c r="BE37" s="31"/>
      <c r="BF37" s="31"/>
      <c r="BG37" s="31"/>
      <c r="BH37" s="31"/>
      <c r="BI37" s="31"/>
      <c r="BJ37" s="31"/>
      <c r="BK37" s="31"/>
      <c r="BL37" s="31"/>
      <c r="BM37" s="31"/>
      <c r="BN37" s="31"/>
      <c r="BO37" s="31"/>
      <c r="BP37" s="31"/>
      <c r="BQ37" s="31"/>
      <c r="BR37" s="72"/>
    </row>
    <row r="38" spans="1:70" x14ac:dyDescent="0.35">
      <c r="A38" s="33" t="s">
        <v>105</v>
      </c>
      <c r="B38" s="34">
        <v>0</v>
      </c>
      <c r="C38" s="35">
        <v>1</v>
      </c>
      <c r="D38" s="34">
        <v>0</v>
      </c>
      <c r="E38" s="35">
        <v>1</v>
      </c>
      <c r="F38" s="34">
        <v>1</v>
      </c>
      <c r="G38" s="35">
        <v>2</v>
      </c>
      <c r="H38" s="34">
        <v>1</v>
      </c>
      <c r="I38" s="35">
        <v>2</v>
      </c>
      <c r="J38" s="34">
        <v>1</v>
      </c>
      <c r="K38" s="35">
        <v>1</v>
      </c>
      <c r="L38" s="34">
        <v>1</v>
      </c>
      <c r="M38" s="35">
        <v>1</v>
      </c>
      <c r="N38" s="34">
        <v>1</v>
      </c>
      <c r="O38" s="35">
        <v>1</v>
      </c>
      <c r="P38" s="34">
        <v>1</v>
      </c>
      <c r="Q38" s="87">
        <v>1</v>
      </c>
      <c r="R38" s="34">
        <v>1</v>
      </c>
      <c r="S38" s="35"/>
      <c r="T38" s="34">
        <v>1</v>
      </c>
      <c r="U38" s="35"/>
      <c r="V38" s="34">
        <v>1</v>
      </c>
      <c r="W38" s="35"/>
      <c r="X38" s="34">
        <v>1</v>
      </c>
      <c r="Y38" s="35"/>
      <c r="Z38" s="34">
        <v>1</v>
      </c>
      <c r="AA38" s="35"/>
      <c r="AB38" s="34">
        <v>1</v>
      </c>
      <c r="AC38" s="35"/>
      <c r="AD38" s="34">
        <v>1</v>
      </c>
      <c r="AE38" s="35"/>
      <c r="AF38" s="34">
        <v>1</v>
      </c>
      <c r="AG38" s="35"/>
      <c r="AH38" s="34">
        <v>1</v>
      </c>
      <c r="AI38" s="35"/>
      <c r="AJ38" s="34">
        <v>1</v>
      </c>
      <c r="AK38" s="35"/>
      <c r="AL38" s="34">
        <v>1</v>
      </c>
      <c r="AM38" s="35"/>
      <c r="AN38" s="34">
        <v>1</v>
      </c>
      <c r="AO38" s="35"/>
      <c r="AP38" s="34">
        <v>1</v>
      </c>
      <c r="AQ38" s="35"/>
      <c r="AR38" s="34">
        <v>1</v>
      </c>
      <c r="AS38" s="35"/>
      <c r="AT38" s="45">
        <v>1</v>
      </c>
      <c r="AU38" s="36"/>
      <c r="AV38" s="68">
        <f t="shared" ref="AV38:AV65" si="41">C38-B38</f>
        <v>1</v>
      </c>
      <c r="AW38" s="35">
        <f t="shared" ref="AW38:AW65" si="42">E38-D38</f>
        <v>1</v>
      </c>
      <c r="AX38" s="35">
        <f t="shared" ref="AX38:AX65" si="43">G38-F38</f>
        <v>1</v>
      </c>
      <c r="AY38" s="35">
        <f t="shared" ref="AY38:AY65" si="44">I38-H38</f>
        <v>1</v>
      </c>
      <c r="AZ38" s="35">
        <f t="shared" ref="AZ38:AZ65" si="45">K38-J38</f>
        <v>0</v>
      </c>
      <c r="BA38" s="35">
        <f t="shared" ref="BA38:BA65" si="46">M38-L38</f>
        <v>0</v>
      </c>
      <c r="BB38" s="35">
        <f t="shared" ref="BB38:BB65" si="47">O38-N38</f>
        <v>0</v>
      </c>
      <c r="BC38" s="35">
        <f t="shared" si="40"/>
        <v>0</v>
      </c>
      <c r="BD38" s="35"/>
      <c r="BE38" s="35"/>
      <c r="BF38" s="35"/>
      <c r="BG38" s="35"/>
      <c r="BH38" s="35"/>
      <c r="BI38" s="35"/>
      <c r="BJ38" s="35"/>
      <c r="BK38" s="35"/>
      <c r="BL38" s="35"/>
      <c r="BM38" s="35"/>
      <c r="BN38" s="35"/>
      <c r="BO38" s="35"/>
      <c r="BP38" s="35"/>
      <c r="BQ38" s="35"/>
      <c r="BR38" s="36"/>
    </row>
    <row r="39" spans="1:70" x14ac:dyDescent="0.35">
      <c r="A39" s="29" t="s">
        <v>106</v>
      </c>
      <c r="B39" s="37">
        <v>0</v>
      </c>
      <c r="C39" s="38">
        <v>0</v>
      </c>
      <c r="D39" s="37">
        <v>0</v>
      </c>
      <c r="E39" s="38">
        <v>2</v>
      </c>
      <c r="F39" s="37">
        <v>2</v>
      </c>
      <c r="G39" s="38">
        <v>2</v>
      </c>
      <c r="H39" s="37">
        <v>2</v>
      </c>
      <c r="I39" s="38">
        <v>2</v>
      </c>
      <c r="J39" s="37">
        <v>2</v>
      </c>
      <c r="K39" s="38">
        <v>3</v>
      </c>
      <c r="L39" s="37">
        <v>2</v>
      </c>
      <c r="M39" s="38">
        <v>3</v>
      </c>
      <c r="N39" s="37">
        <v>2</v>
      </c>
      <c r="O39" s="38">
        <v>1</v>
      </c>
      <c r="P39" s="37">
        <v>2</v>
      </c>
      <c r="Q39" s="87">
        <v>1</v>
      </c>
      <c r="R39" s="37">
        <v>2</v>
      </c>
      <c r="S39" s="38"/>
      <c r="T39" s="37">
        <v>2</v>
      </c>
      <c r="U39" s="38"/>
      <c r="V39" s="37">
        <v>2</v>
      </c>
      <c r="W39" s="38"/>
      <c r="X39" s="37">
        <v>2</v>
      </c>
      <c r="Y39" s="38"/>
      <c r="Z39" s="37">
        <v>2</v>
      </c>
      <c r="AA39" s="38"/>
      <c r="AB39" s="37">
        <v>2</v>
      </c>
      <c r="AC39" s="38"/>
      <c r="AD39" s="37">
        <v>2</v>
      </c>
      <c r="AE39" s="38"/>
      <c r="AF39" s="37">
        <v>2</v>
      </c>
      <c r="AG39" s="38"/>
      <c r="AH39" s="37">
        <v>2</v>
      </c>
      <c r="AI39" s="38"/>
      <c r="AJ39" s="37">
        <v>2</v>
      </c>
      <c r="AK39" s="38"/>
      <c r="AL39" s="37">
        <v>2</v>
      </c>
      <c r="AM39" s="38"/>
      <c r="AN39" s="37">
        <v>2</v>
      </c>
      <c r="AO39" s="38"/>
      <c r="AP39" s="37">
        <v>2</v>
      </c>
      <c r="AQ39" s="38"/>
      <c r="AR39" s="37">
        <v>2</v>
      </c>
      <c r="AS39" s="38"/>
      <c r="AT39" s="44">
        <v>2</v>
      </c>
      <c r="AU39" s="39"/>
      <c r="AV39" s="69">
        <f t="shared" si="41"/>
        <v>0</v>
      </c>
      <c r="AW39" s="38">
        <f t="shared" si="42"/>
        <v>2</v>
      </c>
      <c r="AX39" s="38">
        <f t="shared" si="43"/>
        <v>0</v>
      </c>
      <c r="AY39" s="38">
        <f t="shared" si="44"/>
        <v>0</v>
      </c>
      <c r="AZ39" s="38">
        <f t="shared" si="45"/>
        <v>1</v>
      </c>
      <c r="BA39" s="38">
        <f t="shared" si="46"/>
        <v>1</v>
      </c>
      <c r="BB39" s="38">
        <f t="shared" si="47"/>
        <v>-1</v>
      </c>
      <c r="BC39" s="38">
        <f t="shared" si="40"/>
        <v>-1</v>
      </c>
      <c r="BD39" s="38"/>
      <c r="BE39" s="38"/>
      <c r="BF39" s="38"/>
      <c r="BG39" s="38"/>
      <c r="BH39" s="38"/>
      <c r="BI39" s="38"/>
      <c r="BJ39" s="38"/>
      <c r="BK39" s="38"/>
      <c r="BL39" s="38"/>
      <c r="BM39" s="38"/>
      <c r="BN39" s="38"/>
      <c r="BO39" s="38"/>
      <c r="BP39" s="38"/>
      <c r="BQ39" s="38"/>
      <c r="BR39" s="39"/>
    </row>
    <row r="40" spans="1:70" x14ac:dyDescent="0.35">
      <c r="A40" s="33" t="s">
        <v>107</v>
      </c>
      <c r="B40" s="34">
        <v>0</v>
      </c>
      <c r="C40" s="35">
        <v>0</v>
      </c>
      <c r="D40" s="34">
        <v>0</v>
      </c>
      <c r="E40" s="35">
        <v>0</v>
      </c>
      <c r="F40" s="34">
        <v>1</v>
      </c>
      <c r="G40" s="35">
        <v>0</v>
      </c>
      <c r="H40" s="34">
        <v>1</v>
      </c>
      <c r="I40" s="35">
        <v>0</v>
      </c>
      <c r="J40" s="34">
        <v>1</v>
      </c>
      <c r="K40" s="35">
        <v>0</v>
      </c>
      <c r="L40" s="34">
        <v>1</v>
      </c>
      <c r="M40" s="35">
        <v>0</v>
      </c>
      <c r="N40" s="34">
        <v>1</v>
      </c>
      <c r="O40" s="35">
        <v>0</v>
      </c>
      <c r="P40" s="34">
        <v>1</v>
      </c>
      <c r="Q40" s="87">
        <v>0</v>
      </c>
      <c r="R40" s="34">
        <v>1</v>
      </c>
      <c r="S40" s="35"/>
      <c r="T40" s="34">
        <v>1</v>
      </c>
      <c r="U40" s="35"/>
      <c r="V40" s="34">
        <v>1</v>
      </c>
      <c r="W40" s="35"/>
      <c r="X40" s="34">
        <v>1</v>
      </c>
      <c r="Y40" s="35"/>
      <c r="Z40" s="34">
        <v>1</v>
      </c>
      <c r="AA40" s="35"/>
      <c r="AB40" s="34">
        <v>1</v>
      </c>
      <c r="AC40" s="35"/>
      <c r="AD40" s="34">
        <v>1</v>
      </c>
      <c r="AE40" s="35"/>
      <c r="AF40" s="34">
        <v>1</v>
      </c>
      <c r="AG40" s="35"/>
      <c r="AH40" s="34">
        <v>1</v>
      </c>
      <c r="AI40" s="35"/>
      <c r="AJ40" s="34">
        <v>1</v>
      </c>
      <c r="AK40" s="35"/>
      <c r="AL40" s="34">
        <v>1</v>
      </c>
      <c r="AM40" s="35"/>
      <c r="AN40" s="34">
        <v>1</v>
      </c>
      <c r="AO40" s="35"/>
      <c r="AP40" s="34">
        <v>1</v>
      </c>
      <c r="AQ40" s="35"/>
      <c r="AR40" s="34">
        <v>1</v>
      </c>
      <c r="AS40" s="35"/>
      <c r="AT40" s="45">
        <v>1</v>
      </c>
      <c r="AU40" s="36"/>
      <c r="AV40" s="68">
        <f t="shared" si="41"/>
        <v>0</v>
      </c>
      <c r="AW40" s="35">
        <f t="shared" si="42"/>
        <v>0</v>
      </c>
      <c r="AX40" s="35">
        <f t="shared" si="43"/>
        <v>-1</v>
      </c>
      <c r="AY40" s="35">
        <f t="shared" si="44"/>
        <v>-1</v>
      </c>
      <c r="AZ40" s="35">
        <f t="shared" si="45"/>
        <v>-1</v>
      </c>
      <c r="BA40" s="35">
        <f t="shared" si="46"/>
        <v>-1</v>
      </c>
      <c r="BB40" s="35">
        <f t="shared" si="47"/>
        <v>-1</v>
      </c>
      <c r="BC40" s="35">
        <f t="shared" si="40"/>
        <v>-1</v>
      </c>
      <c r="BD40" s="35"/>
      <c r="BE40" s="35"/>
      <c r="BF40" s="35"/>
      <c r="BG40" s="35"/>
      <c r="BH40" s="35"/>
      <c r="BI40" s="35"/>
      <c r="BJ40" s="35"/>
      <c r="BK40" s="35"/>
      <c r="BL40" s="35"/>
      <c r="BM40" s="35"/>
      <c r="BN40" s="35"/>
      <c r="BO40" s="35"/>
      <c r="BP40" s="35"/>
      <c r="BQ40" s="35"/>
      <c r="BR40" s="36"/>
    </row>
    <row r="41" spans="1:70" x14ac:dyDescent="0.35">
      <c r="A41" s="29" t="s">
        <v>108</v>
      </c>
      <c r="B41" s="37">
        <v>0</v>
      </c>
      <c r="C41" s="38">
        <v>0</v>
      </c>
      <c r="D41" s="37">
        <v>0</v>
      </c>
      <c r="E41" s="38">
        <v>0</v>
      </c>
      <c r="F41" s="37">
        <v>3</v>
      </c>
      <c r="G41" s="38">
        <v>1</v>
      </c>
      <c r="H41" s="37">
        <v>3</v>
      </c>
      <c r="I41" s="38">
        <v>1</v>
      </c>
      <c r="J41" s="37">
        <v>3</v>
      </c>
      <c r="K41" s="38">
        <v>1</v>
      </c>
      <c r="L41" s="37">
        <v>3</v>
      </c>
      <c r="M41" s="38">
        <v>1</v>
      </c>
      <c r="N41" s="37">
        <v>3</v>
      </c>
      <c r="O41" s="38">
        <v>2</v>
      </c>
      <c r="P41" s="37">
        <v>3</v>
      </c>
      <c r="Q41" s="87">
        <v>2</v>
      </c>
      <c r="R41" s="37">
        <v>3</v>
      </c>
      <c r="S41" s="38"/>
      <c r="T41" s="37">
        <v>3</v>
      </c>
      <c r="U41" s="38"/>
      <c r="V41" s="37">
        <v>3</v>
      </c>
      <c r="W41" s="38"/>
      <c r="X41" s="37">
        <v>3</v>
      </c>
      <c r="Y41" s="38"/>
      <c r="Z41" s="37">
        <v>3</v>
      </c>
      <c r="AA41" s="38"/>
      <c r="AB41" s="37">
        <v>3</v>
      </c>
      <c r="AC41" s="38"/>
      <c r="AD41" s="37">
        <v>3</v>
      </c>
      <c r="AE41" s="38"/>
      <c r="AF41" s="37">
        <v>3</v>
      </c>
      <c r="AG41" s="38"/>
      <c r="AH41" s="37">
        <v>3</v>
      </c>
      <c r="AI41" s="38"/>
      <c r="AJ41" s="37">
        <v>3</v>
      </c>
      <c r="AK41" s="38"/>
      <c r="AL41" s="37">
        <v>3</v>
      </c>
      <c r="AM41" s="38"/>
      <c r="AN41" s="37">
        <v>3</v>
      </c>
      <c r="AO41" s="38"/>
      <c r="AP41" s="37">
        <v>3</v>
      </c>
      <c r="AQ41" s="38"/>
      <c r="AR41" s="37">
        <v>3</v>
      </c>
      <c r="AS41" s="38"/>
      <c r="AT41" s="44">
        <v>3</v>
      </c>
      <c r="AU41" s="39"/>
      <c r="AV41" s="69">
        <f t="shared" si="41"/>
        <v>0</v>
      </c>
      <c r="AW41" s="38">
        <f t="shared" si="42"/>
        <v>0</v>
      </c>
      <c r="AX41" s="38">
        <f t="shared" si="43"/>
        <v>-2</v>
      </c>
      <c r="AY41" s="38">
        <f t="shared" si="44"/>
        <v>-2</v>
      </c>
      <c r="AZ41" s="38">
        <f t="shared" si="45"/>
        <v>-2</v>
      </c>
      <c r="BA41" s="38">
        <f t="shared" si="46"/>
        <v>-2</v>
      </c>
      <c r="BB41" s="38">
        <f t="shared" si="47"/>
        <v>-1</v>
      </c>
      <c r="BC41" s="38">
        <f t="shared" si="40"/>
        <v>-1</v>
      </c>
      <c r="BD41" s="38"/>
      <c r="BE41" s="38"/>
      <c r="BF41" s="38"/>
      <c r="BG41" s="38"/>
      <c r="BH41" s="38"/>
      <c r="BI41" s="38"/>
      <c r="BJ41" s="38"/>
      <c r="BK41" s="38"/>
      <c r="BL41" s="38"/>
      <c r="BM41" s="38"/>
      <c r="BN41" s="38"/>
      <c r="BO41" s="38"/>
      <c r="BP41" s="38"/>
      <c r="BQ41" s="38"/>
      <c r="BR41" s="39"/>
    </row>
    <row r="42" spans="1:70" x14ac:dyDescent="0.35">
      <c r="A42" s="33" t="s">
        <v>109</v>
      </c>
      <c r="B42" s="34">
        <v>0</v>
      </c>
      <c r="C42" s="35">
        <v>0</v>
      </c>
      <c r="D42" s="34">
        <v>1</v>
      </c>
      <c r="E42" s="35">
        <v>0</v>
      </c>
      <c r="F42" s="34">
        <v>2</v>
      </c>
      <c r="G42" s="35">
        <v>0</v>
      </c>
      <c r="H42" s="34">
        <v>2</v>
      </c>
      <c r="I42" s="35">
        <v>0</v>
      </c>
      <c r="J42" s="34">
        <v>2</v>
      </c>
      <c r="K42" s="35">
        <v>0</v>
      </c>
      <c r="L42" s="34">
        <v>2</v>
      </c>
      <c r="M42" s="35">
        <v>0</v>
      </c>
      <c r="N42" s="34">
        <v>2</v>
      </c>
      <c r="O42" s="35">
        <v>0</v>
      </c>
      <c r="P42" s="34">
        <v>2</v>
      </c>
      <c r="Q42" s="87">
        <v>0</v>
      </c>
      <c r="R42" s="34">
        <v>2</v>
      </c>
      <c r="S42" s="35"/>
      <c r="T42" s="34">
        <v>2</v>
      </c>
      <c r="U42" s="35"/>
      <c r="V42" s="34">
        <v>2</v>
      </c>
      <c r="W42" s="35"/>
      <c r="X42" s="34">
        <v>2</v>
      </c>
      <c r="Y42" s="35"/>
      <c r="Z42" s="34">
        <v>2</v>
      </c>
      <c r="AA42" s="35"/>
      <c r="AB42" s="34">
        <v>2</v>
      </c>
      <c r="AC42" s="35"/>
      <c r="AD42" s="34">
        <v>2</v>
      </c>
      <c r="AE42" s="35"/>
      <c r="AF42" s="34">
        <v>2</v>
      </c>
      <c r="AG42" s="35"/>
      <c r="AH42" s="34">
        <v>2</v>
      </c>
      <c r="AI42" s="35"/>
      <c r="AJ42" s="34">
        <v>2</v>
      </c>
      <c r="AK42" s="35"/>
      <c r="AL42" s="34">
        <v>2</v>
      </c>
      <c r="AM42" s="35"/>
      <c r="AN42" s="34">
        <v>2</v>
      </c>
      <c r="AO42" s="35"/>
      <c r="AP42" s="34">
        <v>2</v>
      </c>
      <c r="AQ42" s="35"/>
      <c r="AR42" s="34">
        <v>1.5</v>
      </c>
      <c r="AS42" s="35"/>
      <c r="AT42" s="45">
        <v>0.5</v>
      </c>
      <c r="AU42" s="36"/>
      <c r="AV42" s="68">
        <f t="shared" si="41"/>
        <v>0</v>
      </c>
      <c r="AW42" s="35">
        <f t="shared" si="42"/>
        <v>-1</v>
      </c>
      <c r="AX42" s="35">
        <f t="shared" si="43"/>
        <v>-2</v>
      </c>
      <c r="AY42" s="35">
        <f t="shared" si="44"/>
        <v>-2</v>
      </c>
      <c r="AZ42" s="35">
        <f t="shared" si="45"/>
        <v>-2</v>
      </c>
      <c r="BA42" s="35">
        <f t="shared" si="46"/>
        <v>-2</v>
      </c>
      <c r="BB42" s="35">
        <f t="shared" si="47"/>
        <v>-2</v>
      </c>
      <c r="BC42" s="35">
        <f t="shared" si="40"/>
        <v>-2</v>
      </c>
      <c r="BD42" s="35"/>
      <c r="BE42" s="35"/>
      <c r="BF42" s="35"/>
      <c r="BG42" s="35"/>
      <c r="BH42" s="35"/>
      <c r="BI42" s="35"/>
      <c r="BJ42" s="35"/>
      <c r="BK42" s="35"/>
      <c r="BL42" s="35"/>
      <c r="BM42" s="35"/>
      <c r="BN42" s="35"/>
      <c r="BO42" s="35"/>
      <c r="BP42" s="35"/>
      <c r="BQ42" s="35"/>
      <c r="BR42" s="36"/>
    </row>
    <row r="43" spans="1:70" x14ac:dyDescent="0.35">
      <c r="A43" s="29" t="s">
        <v>110</v>
      </c>
      <c r="B43" s="37">
        <v>0</v>
      </c>
      <c r="C43" s="38">
        <v>0</v>
      </c>
      <c r="D43" s="37">
        <v>4</v>
      </c>
      <c r="E43" s="38">
        <v>0</v>
      </c>
      <c r="F43" s="37">
        <v>4</v>
      </c>
      <c r="G43" s="38">
        <v>0</v>
      </c>
      <c r="H43" s="37">
        <v>4</v>
      </c>
      <c r="I43" s="38">
        <v>0</v>
      </c>
      <c r="J43" s="37">
        <v>4</v>
      </c>
      <c r="K43" s="38">
        <v>1</v>
      </c>
      <c r="L43" s="37">
        <v>4</v>
      </c>
      <c r="M43" s="38">
        <v>1</v>
      </c>
      <c r="N43" s="37">
        <v>4</v>
      </c>
      <c r="O43" s="38">
        <v>1</v>
      </c>
      <c r="P43" s="37">
        <v>4</v>
      </c>
      <c r="Q43" s="87">
        <v>1</v>
      </c>
      <c r="R43" s="37">
        <v>4</v>
      </c>
      <c r="S43" s="38"/>
      <c r="T43" s="37">
        <v>4</v>
      </c>
      <c r="U43" s="38"/>
      <c r="V43" s="37">
        <v>4</v>
      </c>
      <c r="W43" s="38"/>
      <c r="X43" s="37">
        <v>4</v>
      </c>
      <c r="Y43" s="38"/>
      <c r="Z43" s="37">
        <v>4</v>
      </c>
      <c r="AA43" s="38"/>
      <c r="AB43" s="37">
        <v>4</v>
      </c>
      <c r="AC43" s="38"/>
      <c r="AD43" s="37">
        <v>4</v>
      </c>
      <c r="AE43" s="38"/>
      <c r="AF43" s="37">
        <v>4</v>
      </c>
      <c r="AG43" s="38"/>
      <c r="AH43" s="37">
        <v>4</v>
      </c>
      <c r="AI43" s="38"/>
      <c r="AJ43" s="37">
        <v>4</v>
      </c>
      <c r="AK43" s="38"/>
      <c r="AL43" s="37">
        <v>4</v>
      </c>
      <c r="AM43" s="38"/>
      <c r="AN43" s="37">
        <v>4</v>
      </c>
      <c r="AO43" s="38"/>
      <c r="AP43" s="37">
        <v>4</v>
      </c>
      <c r="AQ43" s="38"/>
      <c r="AR43" s="37">
        <v>4</v>
      </c>
      <c r="AS43" s="38"/>
      <c r="AT43" s="44">
        <v>2</v>
      </c>
      <c r="AU43" s="39"/>
      <c r="AV43" s="69">
        <f t="shared" si="41"/>
        <v>0</v>
      </c>
      <c r="AW43" s="38">
        <f t="shared" si="42"/>
        <v>-4</v>
      </c>
      <c r="AX43" s="38">
        <f t="shared" si="43"/>
        <v>-4</v>
      </c>
      <c r="AY43" s="38">
        <f t="shared" si="44"/>
        <v>-4</v>
      </c>
      <c r="AZ43" s="38">
        <f t="shared" si="45"/>
        <v>-3</v>
      </c>
      <c r="BA43" s="38">
        <f t="shared" si="46"/>
        <v>-3</v>
      </c>
      <c r="BB43" s="38">
        <f t="shared" si="47"/>
        <v>-3</v>
      </c>
      <c r="BC43" s="38">
        <f t="shared" si="40"/>
        <v>-3</v>
      </c>
      <c r="BD43" s="38"/>
      <c r="BE43" s="38"/>
      <c r="BF43" s="38"/>
      <c r="BG43" s="38"/>
      <c r="BH43" s="38"/>
      <c r="BI43" s="38"/>
      <c r="BJ43" s="38"/>
      <c r="BK43" s="38"/>
      <c r="BL43" s="38"/>
      <c r="BM43" s="38"/>
      <c r="BN43" s="38"/>
      <c r="BO43" s="38"/>
      <c r="BP43" s="38"/>
      <c r="BQ43" s="38"/>
      <c r="BR43" s="39"/>
    </row>
    <row r="44" spans="1:70" x14ac:dyDescent="0.35">
      <c r="A44" s="33" t="s">
        <v>111</v>
      </c>
      <c r="B44" s="34">
        <v>0</v>
      </c>
      <c r="C44" s="35">
        <v>0</v>
      </c>
      <c r="D44" s="34">
        <v>0</v>
      </c>
      <c r="E44" s="35">
        <v>8</v>
      </c>
      <c r="F44" s="34">
        <v>14</v>
      </c>
      <c r="G44" s="35">
        <v>8</v>
      </c>
      <c r="H44" s="34">
        <v>15</v>
      </c>
      <c r="I44" s="35">
        <v>10</v>
      </c>
      <c r="J44" s="34">
        <v>16</v>
      </c>
      <c r="K44" s="35">
        <v>10</v>
      </c>
      <c r="L44" s="34">
        <v>16</v>
      </c>
      <c r="M44" s="35">
        <v>10</v>
      </c>
      <c r="N44" s="34">
        <v>16</v>
      </c>
      <c r="O44" s="35">
        <v>11</v>
      </c>
      <c r="P44" s="34">
        <v>16</v>
      </c>
      <c r="Q44" s="87">
        <v>11</v>
      </c>
      <c r="R44" s="34">
        <v>16</v>
      </c>
      <c r="S44" s="35"/>
      <c r="T44" s="34">
        <v>16</v>
      </c>
      <c r="U44" s="35"/>
      <c r="V44" s="34">
        <v>16</v>
      </c>
      <c r="W44" s="35"/>
      <c r="X44" s="34">
        <v>15</v>
      </c>
      <c r="Y44" s="35"/>
      <c r="Z44" s="34">
        <v>15</v>
      </c>
      <c r="AA44" s="35"/>
      <c r="AB44" s="34">
        <v>15</v>
      </c>
      <c r="AC44" s="35"/>
      <c r="AD44" s="34">
        <v>16</v>
      </c>
      <c r="AE44" s="35"/>
      <c r="AF44" s="34">
        <v>16</v>
      </c>
      <c r="AG44" s="35"/>
      <c r="AH44" s="34">
        <v>16</v>
      </c>
      <c r="AI44" s="35"/>
      <c r="AJ44" s="34">
        <v>16</v>
      </c>
      <c r="AK44" s="35"/>
      <c r="AL44" s="34">
        <v>16</v>
      </c>
      <c r="AM44" s="35"/>
      <c r="AN44" s="34">
        <v>16</v>
      </c>
      <c r="AO44" s="35"/>
      <c r="AP44" s="34">
        <v>16</v>
      </c>
      <c r="AQ44" s="35"/>
      <c r="AR44" s="34">
        <v>15</v>
      </c>
      <c r="AS44" s="35"/>
      <c r="AT44" s="45">
        <v>9</v>
      </c>
      <c r="AU44" s="36"/>
      <c r="AV44" s="68">
        <f t="shared" si="41"/>
        <v>0</v>
      </c>
      <c r="AW44" s="35">
        <f t="shared" si="42"/>
        <v>8</v>
      </c>
      <c r="AX44" s="35">
        <f t="shared" si="43"/>
        <v>-6</v>
      </c>
      <c r="AY44" s="35">
        <f t="shared" si="44"/>
        <v>-5</v>
      </c>
      <c r="AZ44" s="35">
        <f t="shared" si="45"/>
        <v>-6</v>
      </c>
      <c r="BA44" s="35">
        <f t="shared" si="46"/>
        <v>-6</v>
      </c>
      <c r="BB44" s="35">
        <f t="shared" si="47"/>
        <v>-5</v>
      </c>
      <c r="BC44" s="35">
        <f t="shared" si="40"/>
        <v>-5</v>
      </c>
      <c r="BD44" s="35"/>
      <c r="BE44" s="35"/>
      <c r="BF44" s="35"/>
      <c r="BG44" s="35"/>
      <c r="BH44" s="35"/>
      <c r="BI44" s="35"/>
      <c r="BJ44" s="35"/>
      <c r="BK44" s="35"/>
      <c r="BL44" s="35"/>
      <c r="BM44" s="35"/>
      <c r="BN44" s="35"/>
      <c r="BO44" s="35"/>
      <c r="BP44" s="35"/>
      <c r="BQ44" s="35"/>
      <c r="BR44" s="36"/>
    </row>
    <row r="45" spans="1:70" x14ac:dyDescent="0.35">
      <c r="A45" s="29" t="s">
        <v>112</v>
      </c>
      <c r="B45" s="37">
        <v>0</v>
      </c>
      <c r="C45" s="38">
        <v>0</v>
      </c>
      <c r="D45" s="37">
        <v>0</v>
      </c>
      <c r="E45" s="38">
        <v>2</v>
      </c>
      <c r="F45" s="37">
        <v>2</v>
      </c>
      <c r="G45" s="38">
        <v>2</v>
      </c>
      <c r="H45" s="37">
        <v>2</v>
      </c>
      <c r="I45" s="38">
        <v>2</v>
      </c>
      <c r="J45" s="37">
        <v>2</v>
      </c>
      <c r="K45" s="38">
        <v>2</v>
      </c>
      <c r="L45" s="37">
        <v>2</v>
      </c>
      <c r="M45" s="38">
        <v>2</v>
      </c>
      <c r="N45" s="37">
        <v>2</v>
      </c>
      <c r="O45" s="38">
        <v>0</v>
      </c>
      <c r="P45" s="37">
        <v>2</v>
      </c>
      <c r="Q45" s="87">
        <v>0</v>
      </c>
      <c r="R45" s="37">
        <v>2</v>
      </c>
      <c r="S45" s="38"/>
      <c r="T45" s="37">
        <v>2</v>
      </c>
      <c r="U45" s="38"/>
      <c r="V45" s="37">
        <v>2</v>
      </c>
      <c r="W45" s="38"/>
      <c r="X45" s="37">
        <v>2</v>
      </c>
      <c r="Y45" s="38"/>
      <c r="Z45" s="37">
        <v>2</v>
      </c>
      <c r="AA45" s="38"/>
      <c r="AB45" s="37">
        <v>2</v>
      </c>
      <c r="AC45" s="38"/>
      <c r="AD45" s="37">
        <v>2</v>
      </c>
      <c r="AE45" s="38"/>
      <c r="AF45" s="37">
        <v>2</v>
      </c>
      <c r="AG45" s="38"/>
      <c r="AH45" s="37">
        <v>2</v>
      </c>
      <c r="AI45" s="38"/>
      <c r="AJ45" s="37">
        <v>2</v>
      </c>
      <c r="AK45" s="38"/>
      <c r="AL45" s="37">
        <v>2</v>
      </c>
      <c r="AM45" s="38"/>
      <c r="AN45" s="37">
        <v>2</v>
      </c>
      <c r="AO45" s="38"/>
      <c r="AP45" s="37">
        <v>2</v>
      </c>
      <c r="AQ45" s="38"/>
      <c r="AR45" s="37">
        <v>2</v>
      </c>
      <c r="AS45" s="38"/>
      <c r="AT45" s="44">
        <v>2</v>
      </c>
      <c r="AU45" s="39"/>
      <c r="AV45" s="69">
        <f t="shared" si="41"/>
        <v>0</v>
      </c>
      <c r="AW45" s="38">
        <f t="shared" si="42"/>
        <v>2</v>
      </c>
      <c r="AX45" s="38">
        <f t="shared" si="43"/>
        <v>0</v>
      </c>
      <c r="AY45" s="38">
        <f t="shared" si="44"/>
        <v>0</v>
      </c>
      <c r="AZ45" s="38">
        <f t="shared" si="45"/>
        <v>0</v>
      </c>
      <c r="BA45" s="38">
        <f t="shared" si="46"/>
        <v>0</v>
      </c>
      <c r="BB45" s="38">
        <f t="shared" si="47"/>
        <v>-2</v>
      </c>
      <c r="BC45" s="38">
        <f t="shared" si="40"/>
        <v>-2</v>
      </c>
      <c r="BD45" s="38"/>
      <c r="BE45" s="38"/>
      <c r="BF45" s="38"/>
      <c r="BG45" s="38"/>
      <c r="BH45" s="38"/>
      <c r="BI45" s="38"/>
      <c r="BJ45" s="38"/>
      <c r="BK45" s="38"/>
      <c r="BL45" s="38"/>
      <c r="BM45" s="38"/>
      <c r="BN45" s="38"/>
      <c r="BO45" s="38"/>
      <c r="BP45" s="38"/>
      <c r="BQ45" s="38"/>
      <c r="BR45" s="39"/>
    </row>
    <row r="46" spans="1:70" x14ac:dyDescent="0.35">
      <c r="A46" s="33" t="s">
        <v>113</v>
      </c>
      <c r="B46" s="34">
        <v>0</v>
      </c>
      <c r="C46" s="35">
        <v>0</v>
      </c>
      <c r="D46" s="34">
        <v>2</v>
      </c>
      <c r="E46" s="35">
        <v>1</v>
      </c>
      <c r="F46" s="34">
        <v>5</v>
      </c>
      <c r="G46" s="35">
        <v>3</v>
      </c>
      <c r="H46" s="34">
        <v>5</v>
      </c>
      <c r="I46" s="35">
        <v>3</v>
      </c>
      <c r="J46" s="34">
        <v>6</v>
      </c>
      <c r="K46" s="35">
        <v>3</v>
      </c>
      <c r="L46" s="34">
        <v>6</v>
      </c>
      <c r="M46" s="35">
        <v>5</v>
      </c>
      <c r="N46" s="34">
        <v>6</v>
      </c>
      <c r="O46" s="35">
        <v>5</v>
      </c>
      <c r="P46" s="34">
        <v>6</v>
      </c>
      <c r="Q46" s="87">
        <v>7</v>
      </c>
      <c r="R46" s="34">
        <v>6</v>
      </c>
      <c r="S46" s="35"/>
      <c r="T46" s="34">
        <v>6</v>
      </c>
      <c r="U46" s="35"/>
      <c r="V46" s="34">
        <v>6</v>
      </c>
      <c r="W46" s="35"/>
      <c r="X46" s="34">
        <v>5</v>
      </c>
      <c r="Y46" s="35"/>
      <c r="Z46" s="34">
        <v>5</v>
      </c>
      <c r="AA46" s="35"/>
      <c r="AB46" s="34">
        <v>5</v>
      </c>
      <c r="AC46" s="35"/>
      <c r="AD46" s="34">
        <v>6</v>
      </c>
      <c r="AE46" s="35"/>
      <c r="AF46" s="34">
        <v>6</v>
      </c>
      <c r="AG46" s="35"/>
      <c r="AH46" s="34">
        <v>6</v>
      </c>
      <c r="AI46" s="35"/>
      <c r="AJ46" s="34">
        <v>6</v>
      </c>
      <c r="AK46" s="35"/>
      <c r="AL46" s="34">
        <v>6</v>
      </c>
      <c r="AM46" s="35"/>
      <c r="AN46" s="34">
        <v>6</v>
      </c>
      <c r="AO46" s="35"/>
      <c r="AP46" s="34">
        <v>6</v>
      </c>
      <c r="AQ46" s="35"/>
      <c r="AR46" s="34">
        <v>5</v>
      </c>
      <c r="AS46" s="35"/>
      <c r="AT46" s="45">
        <v>2.5</v>
      </c>
      <c r="AU46" s="36"/>
      <c r="AV46" s="68">
        <f t="shared" si="41"/>
        <v>0</v>
      </c>
      <c r="AW46" s="35">
        <f t="shared" si="42"/>
        <v>-1</v>
      </c>
      <c r="AX46" s="35">
        <f t="shared" si="43"/>
        <v>-2</v>
      </c>
      <c r="AY46" s="35">
        <f t="shared" si="44"/>
        <v>-2</v>
      </c>
      <c r="AZ46" s="35">
        <f t="shared" si="45"/>
        <v>-3</v>
      </c>
      <c r="BA46" s="35">
        <f t="shared" si="46"/>
        <v>-1</v>
      </c>
      <c r="BB46" s="35">
        <f t="shared" si="47"/>
        <v>-1</v>
      </c>
      <c r="BC46" s="35">
        <f t="shared" si="40"/>
        <v>1</v>
      </c>
      <c r="BD46" s="35"/>
      <c r="BE46" s="35"/>
      <c r="BF46" s="35"/>
      <c r="BG46" s="35"/>
      <c r="BH46" s="35"/>
      <c r="BI46" s="35"/>
      <c r="BJ46" s="35"/>
      <c r="BK46" s="35"/>
      <c r="BL46" s="35"/>
      <c r="BM46" s="35"/>
      <c r="BN46" s="35"/>
      <c r="BO46" s="35"/>
      <c r="BP46" s="35"/>
      <c r="BQ46" s="35"/>
      <c r="BR46" s="36"/>
    </row>
    <row r="47" spans="1:70" x14ac:dyDescent="0.35">
      <c r="A47" s="29" t="s">
        <v>114</v>
      </c>
      <c r="B47" s="37">
        <v>0</v>
      </c>
      <c r="C47" s="38">
        <v>0</v>
      </c>
      <c r="D47" s="37">
        <v>0</v>
      </c>
      <c r="E47" s="38">
        <v>0</v>
      </c>
      <c r="F47" s="37">
        <v>1</v>
      </c>
      <c r="G47" s="38">
        <v>1</v>
      </c>
      <c r="H47" s="37">
        <v>1</v>
      </c>
      <c r="I47" s="38">
        <v>1</v>
      </c>
      <c r="J47" s="37">
        <v>1</v>
      </c>
      <c r="K47" s="38">
        <v>1</v>
      </c>
      <c r="L47" s="37">
        <v>1</v>
      </c>
      <c r="M47" s="38">
        <v>1</v>
      </c>
      <c r="N47" s="37">
        <v>1</v>
      </c>
      <c r="O47" s="38">
        <v>1</v>
      </c>
      <c r="P47" s="37">
        <v>1</v>
      </c>
      <c r="Q47" s="87">
        <v>1</v>
      </c>
      <c r="R47" s="37">
        <v>1</v>
      </c>
      <c r="S47" s="38"/>
      <c r="T47" s="37">
        <v>1</v>
      </c>
      <c r="U47" s="38"/>
      <c r="V47" s="37">
        <v>1</v>
      </c>
      <c r="W47" s="38"/>
      <c r="X47" s="37">
        <v>1</v>
      </c>
      <c r="Y47" s="38"/>
      <c r="Z47" s="37">
        <v>1</v>
      </c>
      <c r="AA47" s="38"/>
      <c r="AB47" s="37">
        <v>1</v>
      </c>
      <c r="AC47" s="38"/>
      <c r="AD47" s="37">
        <v>1</v>
      </c>
      <c r="AE47" s="38"/>
      <c r="AF47" s="37">
        <v>1</v>
      </c>
      <c r="AG47" s="38"/>
      <c r="AH47" s="37">
        <v>1</v>
      </c>
      <c r="AI47" s="38"/>
      <c r="AJ47" s="37">
        <v>1</v>
      </c>
      <c r="AK47" s="38"/>
      <c r="AL47" s="37">
        <v>1</v>
      </c>
      <c r="AM47" s="38"/>
      <c r="AN47" s="37">
        <v>1</v>
      </c>
      <c r="AO47" s="38"/>
      <c r="AP47" s="37">
        <v>1</v>
      </c>
      <c r="AQ47" s="38"/>
      <c r="AR47" s="37">
        <v>1</v>
      </c>
      <c r="AS47" s="38"/>
      <c r="AT47" s="44">
        <v>1</v>
      </c>
      <c r="AU47" s="39"/>
      <c r="AV47" s="69">
        <f t="shared" si="41"/>
        <v>0</v>
      </c>
      <c r="AW47" s="38">
        <f t="shared" si="42"/>
        <v>0</v>
      </c>
      <c r="AX47" s="38">
        <f t="shared" si="43"/>
        <v>0</v>
      </c>
      <c r="AY47" s="38">
        <f t="shared" si="44"/>
        <v>0</v>
      </c>
      <c r="AZ47" s="38">
        <f t="shared" si="45"/>
        <v>0</v>
      </c>
      <c r="BA47" s="38">
        <f t="shared" si="46"/>
        <v>0</v>
      </c>
      <c r="BB47" s="38">
        <f t="shared" si="47"/>
        <v>0</v>
      </c>
      <c r="BC47" s="38">
        <f t="shared" si="40"/>
        <v>0</v>
      </c>
      <c r="BD47" s="38"/>
      <c r="BE47" s="38"/>
      <c r="BF47" s="38"/>
      <c r="BG47" s="38"/>
      <c r="BH47" s="38"/>
      <c r="BI47" s="38"/>
      <c r="BJ47" s="38"/>
      <c r="BK47" s="38"/>
      <c r="BL47" s="38"/>
      <c r="BM47" s="38"/>
      <c r="BN47" s="38"/>
      <c r="BO47" s="38"/>
      <c r="BP47" s="38"/>
      <c r="BQ47" s="38"/>
      <c r="BR47" s="39"/>
    </row>
    <row r="48" spans="1:70" x14ac:dyDescent="0.35">
      <c r="A48" s="33" t="s">
        <v>115</v>
      </c>
      <c r="B48" s="34">
        <v>0</v>
      </c>
      <c r="C48" s="35">
        <v>0</v>
      </c>
      <c r="D48" s="34">
        <v>0</v>
      </c>
      <c r="E48" s="35">
        <v>0</v>
      </c>
      <c r="F48" s="34">
        <v>2</v>
      </c>
      <c r="G48" s="35">
        <v>1</v>
      </c>
      <c r="H48" s="34">
        <v>2</v>
      </c>
      <c r="I48" s="35">
        <v>1</v>
      </c>
      <c r="J48" s="34">
        <v>2</v>
      </c>
      <c r="K48" s="35">
        <v>1</v>
      </c>
      <c r="L48" s="34">
        <v>2</v>
      </c>
      <c r="M48" s="35">
        <v>1</v>
      </c>
      <c r="N48" s="34">
        <v>2</v>
      </c>
      <c r="O48" s="35">
        <v>2</v>
      </c>
      <c r="P48" s="34">
        <v>2</v>
      </c>
      <c r="Q48" s="87">
        <v>2</v>
      </c>
      <c r="R48" s="34">
        <v>2</v>
      </c>
      <c r="S48" s="35"/>
      <c r="T48" s="34">
        <v>2</v>
      </c>
      <c r="U48" s="35"/>
      <c r="V48" s="34">
        <v>2</v>
      </c>
      <c r="W48" s="35"/>
      <c r="X48" s="34">
        <v>2</v>
      </c>
      <c r="Y48" s="35"/>
      <c r="Z48" s="34">
        <v>2</v>
      </c>
      <c r="AA48" s="35"/>
      <c r="AB48" s="34">
        <v>2</v>
      </c>
      <c r="AC48" s="35"/>
      <c r="AD48" s="34">
        <v>2</v>
      </c>
      <c r="AE48" s="35"/>
      <c r="AF48" s="34">
        <v>2</v>
      </c>
      <c r="AG48" s="35"/>
      <c r="AH48" s="34">
        <v>2</v>
      </c>
      <c r="AI48" s="35"/>
      <c r="AJ48" s="34">
        <v>2</v>
      </c>
      <c r="AK48" s="35"/>
      <c r="AL48" s="34">
        <v>2</v>
      </c>
      <c r="AM48" s="35"/>
      <c r="AN48" s="34">
        <v>2</v>
      </c>
      <c r="AO48" s="35"/>
      <c r="AP48" s="34">
        <v>2</v>
      </c>
      <c r="AQ48" s="35"/>
      <c r="AR48" s="34">
        <v>2</v>
      </c>
      <c r="AS48" s="35"/>
      <c r="AT48" s="45">
        <v>2</v>
      </c>
      <c r="AU48" s="36"/>
      <c r="AV48" s="68">
        <f t="shared" si="41"/>
        <v>0</v>
      </c>
      <c r="AW48" s="35">
        <f t="shared" si="42"/>
        <v>0</v>
      </c>
      <c r="AX48" s="35">
        <f t="shared" si="43"/>
        <v>-1</v>
      </c>
      <c r="AY48" s="35">
        <f t="shared" si="44"/>
        <v>-1</v>
      </c>
      <c r="AZ48" s="35">
        <f t="shared" si="45"/>
        <v>-1</v>
      </c>
      <c r="BA48" s="35">
        <f t="shared" si="46"/>
        <v>-1</v>
      </c>
      <c r="BB48" s="35">
        <f t="shared" si="47"/>
        <v>0</v>
      </c>
      <c r="BC48" s="35">
        <f t="shared" si="40"/>
        <v>0</v>
      </c>
      <c r="BD48" s="35"/>
      <c r="BE48" s="35"/>
      <c r="BF48" s="35"/>
      <c r="BG48" s="35"/>
      <c r="BH48" s="35"/>
      <c r="BI48" s="35"/>
      <c r="BJ48" s="35"/>
      <c r="BK48" s="35"/>
      <c r="BL48" s="35"/>
      <c r="BM48" s="35"/>
      <c r="BN48" s="35"/>
      <c r="BO48" s="35"/>
      <c r="BP48" s="35"/>
      <c r="BQ48" s="35"/>
      <c r="BR48" s="36"/>
    </row>
    <row r="49" spans="1:70" x14ac:dyDescent="0.35">
      <c r="A49" s="29" t="s">
        <v>116</v>
      </c>
      <c r="B49" s="37">
        <v>0</v>
      </c>
      <c r="C49" s="38">
        <v>0</v>
      </c>
      <c r="D49" s="37">
        <v>0</v>
      </c>
      <c r="E49" s="38">
        <v>1</v>
      </c>
      <c r="F49" s="37">
        <v>1</v>
      </c>
      <c r="G49" s="38">
        <v>1</v>
      </c>
      <c r="H49" s="37">
        <v>1</v>
      </c>
      <c r="I49" s="38">
        <v>2</v>
      </c>
      <c r="J49" s="37">
        <v>1</v>
      </c>
      <c r="K49" s="38">
        <v>2</v>
      </c>
      <c r="L49" s="37">
        <v>1</v>
      </c>
      <c r="M49" s="38">
        <v>2</v>
      </c>
      <c r="N49" s="37">
        <v>1</v>
      </c>
      <c r="O49" s="38">
        <v>2</v>
      </c>
      <c r="P49" s="37">
        <v>1</v>
      </c>
      <c r="Q49" s="87">
        <v>2</v>
      </c>
      <c r="R49" s="37">
        <v>1</v>
      </c>
      <c r="S49" s="38"/>
      <c r="T49" s="37">
        <v>1</v>
      </c>
      <c r="U49" s="38"/>
      <c r="V49" s="37">
        <v>1</v>
      </c>
      <c r="W49" s="38"/>
      <c r="X49" s="37">
        <v>1</v>
      </c>
      <c r="Y49" s="38"/>
      <c r="Z49" s="37">
        <v>1</v>
      </c>
      <c r="AA49" s="38"/>
      <c r="AB49" s="37">
        <v>1</v>
      </c>
      <c r="AC49" s="38"/>
      <c r="AD49" s="37">
        <v>1</v>
      </c>
      <c r="AE49" s="38"/>
      <c r="AF49" s="37">
        <v>1</v>
      </c>
      <c r="AG49" s="38"/>
      <c r="AH49" s="37">
        <v>1</v>
      </c>
      <c r="AI49" s="38"/>
      <c r="AJ49" s="37">
        <v>1</v>
      </c>
      <c r="AK49" s="38"/>
      <c r="AL49" s="37">
        <v>1</v>
      </c>
      <c r="AM49" s="38"/>
      <c r="AN49" s="37">
        <v>1</v>
      </c>
      <c r="AO49" s="38"/>
      <c r="AP49" s="37">
        <v>1</v>
      </c>
      <c r="AQ49" s="38"/>
      <c r="AR49" s="37">
        <v>1</v>
      </c>
      <c r="AS49" s="38"/>
      <c r="AT49" s="44">
        <v>1</v>
      </c>
      <c r="AU49" s="39"/>
      <c r="AV49" s="69">
        <f t="shared" si="41"/>
        <v>0</v>
      </c>
      <c r="AW49" s="38">
        <f t="shared" si="42"/>
        <v>1</v>
      </c>
      <c r="AX49" s="38">
        <f t="shared" si="43"/>
        <v>0</v>
      </c>
      <c r="AY49" s="38">
        <f t="shared" si="44"/>
        <v>1</v>
      </c>
      <c r="AZ49" s="38">
        <f t="shared" si="45"/>
        <v>1</v>
      </c>
      <c r="BA49" s="38">
        <f t="shared" si="46"/>
        <v>1</v>
      </c>
      <c r="BB49" s="38">
        <f t="shared" si="47"/>
        <v>1</v>
      </c>
      <c r="BC49" s="38">
        <f t="shared" si="40"/>
        <v>1</v>
      </c>
      <c r="BD49" s="38"/>
      <c r="BE49" s="38"/>
      <c r="BF49" s="38"/>
      <c r="BG49" s="38"/>
      <c r="BH49" s="38"/>
      <c r="BI49" s="38"/>
      <c r="BJ49" s="38"/>
      <c r="BK49" s="38"/>
      <c r="BL49" s="38"/>
      <c r="BM49" s="38"/>
      <c r="BN49" s="38"/>
      <c r="BO49" s="38"/>
      <c r="BP49" s="38"/>
      <c r="BQ49" s="38"/>
      <c r="BR49" s="39"/>
    </row>
    <row r="50" spans="1:70" x14ac:dyDescent="0.35">
      <c r="A50" s="33" t="s">
        <v>117</v>
      </c>
      <c r="B50" s="34">
        <v>0</v>
      </c>
      <c r="C50" s="35">
        <v>0</v>
      </c>
      <c r="D50" s="34">
        <v>2</v>
      </c>
      <c r="E50" s="35">
        <v>0</v>
      </c>
      <c r="F50" s="34">
        <v>2</v>
      </c>
      <c r="G50" s="35">
        <v>0</v>
      </c>
      <c r="H50" s="34">
        <v>2</v>
      </c>
      <c r="I50" s="35">
        <v>0</v>
      </c>
      <c r="J50" s="34">
        <v>2</v>
      </c>
      <c r="K50" s="35">
        <v>0</v>
      </c>
      <c r="L50" s="34">
        <v>2</v>
      </c>
      <c r="M50" s="35">
        <v>0</v>
      </c>
      <c r="N50" s="34">
        <v>2</v>
      </c>
      <c r="O50" s="35">
        <v>0</v>
      </c>
      <c r="P50" s="34">
        <v>2</v>
      </c>
      <c r="Q50" s="87">
        <v>1</v>
      </c>
      <c r="R50" s="34">
        <v>2</v>
      </c>
      <c r="S50" s="35"/>
      <c r="T50" s="34">
        <v>2</v>
      </c>
      <c r="U50" s="35"/>
      <c r="V50" s="34">
        <v>2</v>
      </c>
      <c r="W50" s="35"/>
      <c r="X50" s="34">
        <v>2</v>
      </c>
      <c r="Y50" s="35"/>
      <c r="Z50" s="34">
        <v>2</v>
      </c>
      <c r="AA50" s="35"/>
      <c r="AB50" s="34">
        <v>2</v>
      </c>
      <c r="AC50" s="35"/>
      <c r="AD50" s="34">
        <v>2</v>
      </c>
      <c r="AE50" s="35"/>
      <c r="AF50" s="34">
        <v>2</v>
      </c>
      <c r="AG50" s="35"/>
      <c r="AH50" s="34">
        <v>2</v>
      </c>
      <c r="AI50" s="35"/>
      <c r="AJ50" s="34">
        <v>2</v>
      </c>
      <c r="AK50" s="35"/>
      <c r="AL50" s="34">
        <v>2</v>
      </c>
      <c r="AM50" s="35"/>
      <c r="AN50" s="34">
        <v>2</v>
      </c>
      <c r="AO50" s="35"/>
      <c r="AP50" s="34">
        <v>2</v>
      </c>
      <c r="AQ50" s="35"/>
      <c r="AR50" s="34">
        <v>2</v>
      </c>
      <c r="AS50" s="35"/>
      <c r="AT50" s="45">
        <v>1</v>
      </c>
      <c r="AU50" s="36"/>
      <c r="AV50" s="68">
        <f t="shared" si="41"/>
        <v>0</v>
      </c>
      <c r="AW50" s="35">
        <f t="shared" si="42"/>
        <v>-2</v>
      </c>
      <c r="AX50" s="35">
        <f t="shared" si="43"/>
        <v>-2</v>
      </c>
      <c r="AY50" s="35">
        <f t="shared" si="44"/>
        <v>-2</v>
      </c>
      <c r="AZ50" s="35">
        <f t="shared" si="45"/>
        <v>-2</v>
      </c>
      <c r="BA50" s="35">
        <f t="shared" si="46"/>
        <v>-2</v>
      </c>
      <c r="BB50" s="35">
        <f t="shared" si="47"/>
        <v>-2</v>
      </c>
      <c r="BC50" s="35">
        <f t="shared" si="40"/>
        <v>-1</v>
      </c>
      <c r="BD50" s="35"/>
      <c r="BE50" s="35"/>
      <c r="BF50" s="35"/>
      <c r="BG50" s="35"/>
      <c r="BH50" s="35"/>
      <c r="BI50" s="35"/>
      <c r="BJ50" s="35"/>
      <c r="BK50" s="35"/>
      <c r="BL50" s="35"/>
      <c r="BM50" s="35"/>
      <c r="BN50" s="35"/>
      <c r="BO50" s="35"/>
      <c r="BP50" s="35"/>
      <c r="BQ50" s="35"/>
      <c r="BR50" s="36"/>
    </row>
    <row r="51" spans="1:70" x14ac:dyDescent="0.35">
      <c r="A51" s="29" t="s">
        <v>118</v>
      </c>
      <c r="B51" s="37">
        <v>0</v>
      </c>
      <c r="C51" s="38">
        <v>0</v>
      </c>
      <c r="D51" s="37">
        <v>1</v>
      </c>
      <c r="E51" s="38">
        <v>1</v>
      </c>
      <c r="F51" s="37">
        <v>1</v>
      </c>
      <c r="G51" s="38">
        <v>1</v>
      </c>
      <c r="H51" s="37">
        <v>1</v>
      </c>
      <c r="I51" s="38">
        <v>1</v>
      </c>
      <c r="J51" s="37">
        <v>1</v>
      </c>
      <c r="K51" s="38">
        <v>1</v>
      </c>
      <c r="L51" s="37">
        <v>1</v>
      </c>
      <c r="M51" s="38">
        <v>1</v>
      </c>
      <c r="N51" s="37">
        <v>1</v>
      </c>
      <c r="O51" s="38">
        <v>1</v>
      </c>
      <c r="P51" s="37">
        <v>1</v>
      </c>
      <c r="Q51" s="87">
        <v>1</v>
      </c>
      <c r="R51" s="37">
        <v>1</v>
      </c>
      <c r="S51" s="38"/>
      <c r="T51" s="37">
        <v>1</v>
      </c>
      <c r="U51" s="38"/>
      <c r="V51" s="37">
        <v>1</v>
      </c>
      <c r="W51" s="38"/>
      <c r="X51" s="37">
        <v>1</v>
      </c>
      <c r="Y51" s="38"/>
      <c r="Z51" s="37">
        <v>1</v>
      </c>
      <c r="AA51" s="38"/>
      <c r="AB51" s="37">
        <v>1</v>
      </c>
      <c r="AC51" s="38"/>
      <c r="AD51" s="37">
        <v>1</v>
      </c>
      <c r="AE51" s="38"/>
      <c r="AF51" s="37">
        <v>1</v>
      </c>
      <c r="AG51" s="38"/>
      <c r="AH51" s="37">
        <v>1</v>
      </c>
      <c r="AI51" s="38"/>
      <c r="AJ51" s="37">
        <v>1</v>
      </c>
      <c r="AK51" s="38"/>
      <c r="AL51" s="37">
        <v>1</v>
      </c>
      <c r="AM51" s="38"/>
      <c r="AN51" s="37">
        <v>1</v>
      </c>
      <c r="AO51" s="38"/>
      <c r="AP51" s="37">
        <v>1</v>
      </c>
      <c r="AQ51" s="38"/>
      <c r="AR51" s="37">
        <v>1</v>
      </c>
      <c r="AS51" s="38"/>
      <c r="AT51" s="44">
        <v>0.5</v>
      </c>
      <c r="AU51" s="39"/>
      <c r="AV51" s="69">
        <f t="shared" si="41"/>
        <v>0</v>
      </c>
      <c r="AW51" s="38">
        <f t="shared" si="42"/>
        <v>0</v>
      </c>
      <c r="AX51" s="38">
        <f t="shared" si="43"/>
        <v>0</v>
      </c>
      <c r="AY51" s="38">
        <f t="shared" si="44"/>
        <v>0</v>
      </c>
      <c r="AZ51" s="38">
        <f t="shared" si="45"/>
        <v>0</v>
      </c>
      <c r="BA51" s="38">
        <f t="shared" si="46"/>
        <v>0</v>
      </c>
      <c r="BB51" s="38">
        <f t="shared" si="47"/>
        <v>0</v>
      </c>
      <c r="BC51" s="38">
        <f t="shared" si="40"/>
        <v>0</v>
      </c>
      <c r="BD51" s="38"/>
      <c r="BE51" s="38"/>
      <c r="BF51" s="38"/>
      <c r="BG51" s="38"/>
      <c r="BH51" s="38"/>
      <c r="BI51" s="38"/>
      <c r="BJ51" s="38"/>
      <c r="BK51" s="38"/>
      <c r="BL51" s="38"/>
      <c r="BM51" s="38"/>
      <c r="BN51" s="38"/>
      <c r="BO51" s="38"/>
      <c r="BP51" s="38"/>
      <c r="BQ51" s="38"/>
      <c r="BR51" s="39"/>
    </row>
    <row r="52" spans="1:70" x14ac:dyDescent="0.35">
      <c r="A52" s="33" t="s">
        <v>119</v>
      </c>
      <c r="B52" s="34">
        <v>0</v>
      </c>
      <c r="C52" s="35">
        <v>0</v>
      </c>
      <c r="D52" s="34">
        <v>0</v>
      </c>
      <c r="E52" s="35">
        <v>1</v>
      </c>
      <c r="F52" s="34">
        <v>1</v>
      </c>
      <c r="G52" s="35">
        <v>1</v>
      </c>
      <c r="H52" s="34">
        <v>1</v>
      </c>
      <c r="I52" s="35">
        <v>1</v>
      </c>
      <c r="J52" s="34">
        <v>1</v>
      </c>
      <c r="K52" s="35">
        <v>1</v>
      </c>
      <c r="L52" s="34">
        <v>1</v>
      </c>
      <c r="M52" s="35">
        <v>1</v>
      </c>
      <c r="N52" s="34">
        <v>1</v>
      </c>
      <c r="O52" s="35">
        <v>1</v>
      </c>
      <c r="P52" s="34">
        <v>1</v>
      </c>
      <c r="Q52" s="87">
        <v>1</v>
      </c>
      <c r="R52" s="34">
        <v>1</v>
      </c>
      <c r="S52" s="35"/>
      <c r="T52" s="34">
        <v>1</v>
      </c>
      <c r="U52" s="35"/>
      <c r="V52" s="34">
        <v>1</v>
      </c>
      <c r="W52" s="35"/>
      <c r="X52" s="34">
        <v>1</v>
      </c>
      <c r="Y52" s="35"/>
      <c r="Z52" s="34">
        <v>1</v>
      </c>
      <c r="AA52" s="35"/>
      <c r="AB52" s="34">
        <v>1</v>
      </c>
      <c r="AC52" s="35"/>
      <c r="AD52" s="34">
        <v>1</v>
      </c>
      <c r="AE52" s="35"/>
      <c r="AF52" s="34">
        <v>1</v>
      </c>
      <c r="AG52" s="35"/>
      <c r="AH52" s="34">
        <v>1</v>
      </c>
      <c r="AI52" s="35"/>
      <c r="AJ52" s="34">
        <v>1</v>
      </c>
      <c r="AK52" s="35"/>
      <c r="AL52" s="34">
        <v>1</v>
      </c>
      <c r="AM52" s="35"/>
      <c r="AN52" s="34">
        <v>1</v>
      </c>
      <c r="AO52" s="35"/>
      <c r="AP52" s="34">
        <v>1</v>
      </c>
      <c r="AQ52" s="35"/>
      <c r="AR52" s="34">
        <v>1</v>
      </c>
      <c r="AS52" s="35"/>
      <c r="AT52" s="45">
        <v>1</v>
      </c>
      <c r="AU52" s="36"/>
      <c r="AV52" s="68">
        <f t="shared" si="41"/>
        <v>0</v>
      </c>
      <c r="AW52" s="35">
        <f t="shared" si="42"/>
        <v>1</v>
      </c>
      <c r="AX52" s="35">
        <f t="shared" si="43"/>
        <v>0</v>
      </c>
      <c r="AY52" s="35">
        <f t="shared" si="44"/>
        <v>0</v>
      </c>
      <c r="AZ52" s="35">
        <f t="shared" si="45"/>
        <v>0</v>
      </c>
      <c r="BA52" s="35">
        <f t="shared" si="46"/>
        <v>0</v>
      </c>
      <c r="BB52" s="35">
        <f t="shared" si="47"/>
        <v>0</v>
      </c>
      <c r="BC52" s="35">
        <f t="shared" si="40"/>
        <v>0</v>
      </c>
      <c r="BD52" s="35"/>
      <c r="BE52" s="35"/>
      <c r="BF52" s="35"/>
      <c r="BG52" s="35"/>
      <c r="BH52" s="35"/>
      <c r="BI52" s="35"/>
      <c r="BJ52" s="35"/>
      <c r="BK52" s="35"/>
      <c r="BL52" s="35"/>
      <c r="BM52" s="35"/>
      <c r="BN52" s="35"/>
      <c r="BO52" s="35"/>
      <c r="BP52" s="35"/>
      <c r="BQ52" s="35"/>
      <c r="BR52" s="36"/>
    </row>
    <row r="53" spans="1:70" x14ac:dyDescent="0.35">
      <c r="A53" s="29" t="s">
        <v>120</v>
      </c>
      <c r="B53" s="37">
        <v>0</v>
      </c>
      <c r="C53" s="38">
        <v>0</v>
      </c>
      <c r="D53" s="37">
        <v>0</v>
      </c>
      <c r="E53" s="38">
        <v>0</v>
      </c>
      <c r="F53" s="37">
        <v>1</v>
      </c>
      <c r="G53" s="38">
        <v>2</v>
      </c>
      <c r="H53" s="37">
        <v>1</v>
      </c>
      <c r="I53" s="38">
        <v>2</v>
      </c>
      <c r="J53" s="37">
        <v>1</v>
      </c>
      <c r="K53" s="38">
        <v>1</v>
      </c>
      <c r="L53" s="37">
        <v>1</v>
      </c>
      <c r="M53" s="38">
        <v>1</v>
      </c>
      <c r="N53" s="37">
        <v>1</v>
      </c>
      <c r="O53" s="38">
        <v>1</v>
      </c>
      <c r="P53" s="37">
        <v>1</v>
      </c>
      <c r="Q53" s="87">
        <v>1</v>
      </c>
      <c r="R53" s="37">
        <v>1</v>
      </c>
      <c r="S53" s="38"/>
      <c r="T53" s="37">
        <v>1</v>
      </c>
      <c r="U53" s="38"/>
      <c r="V53" s="37">
        <v>1</v>
      </c>
      <c r="W53" s="38"/>
      <c r="X53" s="37">
        <v>1</v>
      </c>
      <c r="Y53" s="38"/>
      <c r="Z53" s="37">
        <v>1</v>
      </c>
      <c r="AA53" s="38"/>
      <c r="AB53" s="37">
        <v>1</v>
      </c>
      <c r="AC53" s="38"/>
      <c r="AD53" s="37">
        <v>1</v>
      </c>
      <c r="AE53" s="38"/>
      <c r="AF53" s="37">
        <v>1</v>
      </c>
      <c r="AG53" s="38"/>
      <c r="AH53" s="37">
        <v>1</v>
      </c>
      <c r="AI53" s="38"/>
      <c r="AJ53" s="37">
        <v>1</v>
      </c>
      <c r="AK53" s="38"/>
      <c r="AL53" s="37">
        <v>1</v>
      </c>
      <c r="AM53" s="38"/>
      <c r="AN53" s="37">
        <v>1</v>
      </c>
      <c r="AO53" s="38"/>
      <c r="AP53" s="37">
        <v>1</v>
      </c>
      <c r="AQ53" s="38"/>
      <c r="AR53" s="37">
        <v>1</v>
      </c>
      <c r="AS53" s="38"/>
      <c r="AT53" s="44">
        <v>1</v>
      </c>
      <c r="AU53" s="39"/>
      <c r="AV53" s="69">
        <f t="shared" si="41"/>
        <v>0</v>
      </c>
      <c r="AW53" s="38">
        <f t="shared" si="42"/>
        <v>0</v>
      </c>
      <c r="AX53" s="38">
        <f t="shared" si="43"/>
        <v>1</v>
      </c>
      <c r="AY53" s="38">
        <f t="shared" si="44"/>
        <v>1</v>
      </c>
      <c r="AZ53" s="38">
        <f t="shared" si="45"/>
        <v>0</v>
      </c>
      <c r="BA53" s="38">
        <f t="shared" si="46"/>
        <v>0</v>
      </c>
      <c r="BB53" s="38">
        <f t="shared" si="47"/>
        <v>0</v>
      </c>
      <c r="BC53" s="38">
        <f t="shared" si="40"/>
        <v>0</v>
      </c>
      <c r="BD53" s="38"/>
      <c r="BE53" s="38"/>
      <c r="BF53" s="38"/>
      <c r="BG53" s="38"/>
      <c r="BH53" s="38"/>
      <c r="BI53" s="38"/>
      <c r="BJ53" s="38"/>
      <c r="BK53" s="38"/>
      <c r="BL53" s="38"/>
      <c r="BM53" s="38"/>
      <c r="BN53" s="38"/>
      <c r="BO53" s="38"/>
      <c r="BP53" s="38"/>
      <c r="BQ53" s="38"/>
      <c r="BR53" s="39"/>
    </row>
    <row r="54" spans="1:70" x14ac:dyDescent="0.35">
      <c r="A54" s="33" t="s">
        <v>121</v>
      </c>
      <c r="B54" s="34">
        <v>0</v>
      </c>
      <c r="C54" s="35">
        <v>1</v>
      </c>
      <c r="D54" s="34">
        <v>0</v>
      </c>
      <c r="E54" s="35">
        <v>2</v>
      </c>
      <c r="F54" s="34">
        <v>2</v>
      </c>
      <c r="G54" s="35">
        <v>2</v>
      </c>
      <c r="H54" s="34">
        <v>2</v>
      </c>
      <c r="I54" s="35">
        <v>2</v>
      </c>
      <c r="J54" s="34">
        <v>2</v>
      </c>
      <c r="K54" s="35">
        <v>0</v>
      </c>
      <c r="L54" s="34">
        <v>2</v>
      </c>
      <c r="M54" s="35">
        <v>4</v>
      </c>
      <c r="N54" s="34">
        <v>2</v>
      </c>
      <c r="O54" s="35">
        <v>1</v>
      </c>
      <c r="P54" s="34">
        <v>2</v>
      </c>
      <c r="Q54" s="87">
        <v>2</v>
      </c>
      <c r="R54" s="34">
        <v>2</v>
      </c>
      <c r="S54" s="35"/>
      <c r="T54" s="34">
        <v>2</v>
      </c>
      <c r="U54" s="35"/>
      <c r="V54" s="34">
        <v>2</v>
      </c>
      <c r="W54" s="35"/>
      <c r="X54" s="34">
        <v>2</v>
      </c>
      <c r="Y54" s="35"/>
      <c r="Z54" s="34">
        <v>2</v>
      </c>
      <c r="AA54" s="35"/>
      <c r="AB54" s="34">
        <v>2</v>
      </c>
      <c r="AC54" s="35"/>
      <c r="AD54" s="34">
        <v>2</v>
      </c>
      <c r="AE54" s="35"/>
      <c r="AF54" s="34">
        <v>2</v>
      </c>
      <c r="AG54" s="35"/>
      <c r="AH54" s="34">
        <v>2</v>
      </c>
      <c r="AI54" s="35"/>
      <c r="AJ54" s="34">
        <v>2</v>
      </c>
      <c r="AK54" s="35"/>
      <c r="AL54" s="34">
        <v>2</v>
      </c>
      <c r="AM54" s="35"/>
      <c r="AN54" s="34">
        <v>2</v>
      </c>
      <c r="AO54" s="35"/>
      <c r="AP54" s="34">
        <v>2</v>
      </c>
      <c r="AQ54" s="35"/>
      <c r="AR54" s="34">
        <v>2</v>
      </c>
      <c r="AS54" s="35"/>
      <c r="AT54" s="45">
        <v>2</v>
      </c>
      <c r="AU54" s="36"/>
      <c r="AV54" s="68">
        <f t="shared" si="41"/>
        <v>1</v>
      </c>
      <c r="AW54" s="35">
        <f t="shared" si="42"/>
        <v>2</v>
      </c>
      <c r="AX54" s="35">
        <f t="shared" si="43"/>
        <v>0</v>
      </c>
      <c r="AY54" s="35">
        <f t="shared" si="44"/>
        <v>0</v>
      </c>
      <c r="AZ54" s="35">
        <f t="shared" si="45"/>
        <v>-2</v>
      </c>
      <c r="BA54" s="35">
        <f t="shared" si="46"/>
        <v>2</v>
      </c>
      <c r="BB54" s="35">
        <f t="shared" si="47"/>
        <v>-1</v>
      </c>
      <c r="BC54" s="35">
        <f t="shared" si="40"/>
        <v>0</v>
      </c>
      <c r="BD54" s="35"/>
      <c r="BE54" s="35"/>
      <c r="BF54" s="35"/>
      <c r="BG54" s="35"/>
      <c r="BH54" s="35"/>
      <c r="BI54" s="35"/>
      <c r="BJ54" s="35"/>
      <c r="BK54" s="35"/>
      <c r="BL54" s="35"/>
      <c r="BM54" s="35"/>
      <c r="BN54" s="35"/>
      <c r="BO54" s="35"/>
      <c r="BP54" s="35"/>
      <c r="BQ54" s="35"/>
      <c r="BR54" s="36"/>
    </row>
    <row r="55" spans="1:70" x14ac:dyDescent="0.35">
      <c r="A55" s="29" t="s">
        <v>122</v>
      </c>
      <c r="B55" s="37">
        <v>0</v>
      </c>
      <c r="C55" s="38">
        <v>1</v>
      </c>
      <c r="D55" s="37">
        <v>0</v>
      </c>
      <c r="E55" s="38">
        <v>1</v>
      </c>
      <c r="F55" s="37">
        <v>1</v>
      </c>
      <c r="G55" s="38">
        <v>1</v>
      </c>
      <c r="H55" s="37">
        <v>1</v>
      </c>
      <c r="I55" s="38">
        <v>1</v>
      </c>
      <c r="J55" s="37">
        <v>1</v>
      </c>
      <c r="K55" s="38">
        <v>0</v>
      </c>
      <c r="L55" s="37">
        <v>1</v>
      </c>
      <c r="M55" s="38">
        <v>1</v>
      </c>
      <c r="N55" s="37">
        <v>1</v>
      </c>
      <c r="O55" s="38">
        <v>1</v>
      </c>
      <c r="P55" s="37">
        <v>1</v>
      </c>
      <c r="Q55" s="87">
        <v>1</v>
      </c>
      <c r="R55" s="37">
        <v>1</v>
      </c>
      <c r="S55" s="38"/>
      <c r="T55" s="37">
        <v>1</v>
      </c>
      <c r="U55" s="38"/>
      <c r="V55" s="37">
        <v>1</v>
      </c>
      <c r="W55" s="38"/>
      <c r="X55" s="37">
        <v>1</v>
      </c>
      <c r="Y55" s="38"/>
      <c r="Z55" s="37">
        <v>1</v>
      </c>
      <c r="AA55" s="38"/>
      <c r="AB55" s="37">
        <v>1</v>
      </c>
      <c r="AC55" s="38"/>
      <c r="AD55" s="37">
        <v>1</v>
      </c>
      <c r="AE55" s="38"/>
      <c r="AF55" s="37">
        <v>1</v>
      </c>
      <c r="AG55" s="38"/>
      <c r="AH55" s="37">
        <v>1</v>
      </c>
      <c r="AI55" s="38"/>
      <c r="AJ55" s="37">
        <v>1</v>
      </c>
      <c r="AK55" s="38"/>
      <c r="AL55" s="37">
        <v>1</v>
      </c>
      <c r="AM55" s="38"/>
      <c r="AN55" s="37">
        <v>1</v>
      </c>
      <c r="AO55" s="38"/>
      <c r="AP55" s="37">
        <v>1</v>
      </c>
      <c r="AQ55" s="38"/>
      <c r="AR55" s="37">
        <v>1</v>
      </c>
      <c r="AS55" s="38"/>
      <c r="AT55" s="44">
        <v>1</v>
      </c>
      <c r="AU55" s="39"/>
      <c r="AV55" s="69">
        <f t="shared" si="41"/>
        <v>1</v>
      </c>
      <c r="AW55" s="38">
        <f t="shared" si="42"/>
        <v>1</v>
      </c>
      <c r="AX55" s="38">
        <f t="shared" si="43"/>
        <v>0</v>
      </c>
      <c r="AY55" s="38">
        <f t="shared" si="44"/>
        <v>0</v>
      </c>
      <c r="AZ55" s="38">
        <f t="shared" si="45"/>
        <v>-1</v>
      </c>
      <c r="BA55" s="38">
        <f t="shared" si="46"/>
        <v>0</v>
      </c>
      <c r="BB55" s="38">
        <f t="shared" si="47"/>
        <v>0</v>
      </c>
      <c r="BC55" s="38">
        <f t="shared" si="40"/>
        <v>0</v>
      </c>
      <c r="BD55" s="38"/>
      <c r="BE55" s="38"/>
      <c r="BF55" s="38"/>
      <c r="BG55" s="38"/>
      <c r="BH55" s="38"/>
      <c r="BI55" s="38"/>
      <c r="BJ55" s="38"/>
      <c r="BK55" s="38"/>
      <c r="BL55" s="38"/>
      <c r="BM55" s="38"/>
      <c r="BN55" s="38"/>
      <c r="BO55" s="38"/>
      <c r="BP55" s="38"/>
      <c r="BQ55" s="38"/>
      <c r="BR55" s="39"/>
    </row>
    <row r="56" spans="1:70" x14ac:dyDescent="0.35">
      <c r="A56" s="33" t="s">
        <v>123</v>
      </c>
      <c r="B56" s="34">
        <v>0</v>
      </c>
      <c r="C56" s="35">
        <v>0</v>
      </c>
      <c r="D56" s="34">
        <v>0</v>
      </c>
      <c r="E56" s="35">
        <v>0</v>
      </c>
      <c r="F56" s="34">
        <v>1</v>
      </c>
      <c r="G56" s="35">
        <v>1</v>
      </c>
      <c r="H56" s="34">
        <v>1</v>
      </c>
      <c r="I56" s="35">
        <v>1</v>
      </c>
      <c r="J56" s="34">
        <v>1</v>
      </c>
      <c r="K56" s="35">
        <v>1</v>
      </c>
      <c r="L56" s="34">
        <v>1</v>
      </c>
      <c r="M56" s="35">
        <v>1</v>
      </c>
      <c r="N56" s="34">
        <v>1</v>
      </c>
      <c r="O56" s="35">
        <v>1</v>
      </c>
      <c r="P56" s="34">
        <v>1</v>
      </c>
      <c r="Q56" s="87">
        <v>1</v>
      </c>
      <c r="R56" s="34">
        <v>1</v>
      </c>
      <c r="S56" s="35"/>
      <c r="T56" s="34">
        <v>1</v>
      </c>
      <c r="U56" s="35"/>
      <c r="V56" s="34">
        <v>1</v>
      </c>
      <c r="W56" s="35"/>
      <c r="X56" s="34">
        <v>1</v>
      </c>
      <c r="Y56" s="35"/>
      <c r="Z56" s="34">
        <v>1</v>
      </c>
      <c r="AA56" s="35"/>
      <c r="AB56" s="34">
        <v>1</v>
      </c>
      <c r="AC56" s="35"/>
      <c r="AD56" s="34">
        <v>1</v>
      </c>
      <c r="AE56" s="35"/>
      <c r="AF56" s="34">
        <v>1</v>
      </c>
      <c r="AG56" s="35"/>
      <c r="AH56" s="34">
        <v>1</v>
      </c>
      <c r="AI56" s="35"/>
      <c r="AJ56" s="34">
        <v>1</v>
      </c>
      <c r="AK56" s="35"/>
      <c r="AL56" s="34">
        <v>1</v>
      </c>
      <c r="AM56" s="35"/>
      <c r="AN56" s="34">
        <v>1</v>
      </c>
      <c r="AO56" s="35"/>
      <c r="AP56" s="34">
        <v>1</v>
      </c>
      <c r="AQ56" s="35"/>
      <c r="AR56" s="34">
        <v>1</v>
      </c>
      <c r="AS56" s="35"/>
      <c r="AT56" s="45">
        <v>1</v>
      </c>
      <c r="AU56" s="36"/>
      <c r="AV56" s="68">
        <f t="shared" si="41"/>
        <v>0</v>
      </c>
      <c r="AW56" s="35">
        <f t="shared" si="42"/>
        <v>0</v>
      </c>
      <c r="AX56" s="35">
        <f t="shared" si="43"/>
        <v>0</v>
      </c>
      <c r="AY56" s="35">
        <f t="shared" si="44"/>
        <v>0</v>
      </c>
      <c r="AZ56" s="35">
        <f t="shared" si="45"/>
        <v>0</v>
      </c>
      <c r="BA56" s="35">
        <f t="shared" si="46"/>
        <v>0</v>
      </c>
      <c r="BB56" s="35">
        <f t="shared" si="47"/>
        <v>0</v>
      </c>
      <c r="BC56" s="35">
        <f t="shared" si="40"/>
        <v>0</v>
      </c>
      <c r="BD56" s="35"/>
      <c r="BE56" s="35"/>
      <c r="BF56" s="35"/>
      <c r="BG56" s="35"/>
      <c r="BH56" s="35"/>
      <c r="BI56" s="35"/>
      <c r="BJ56" s="35"/>
      <c r="BK56" s="35"/>
      <c r="BL56" s="35"/>
      <c r="BM56" s="35"/>
      <c r="BN56" s="35"/>
      <c r="BO56" s="35"/>
      <c r="BP56" s="35"/>
      <c r="BQ56" s="35"/>
      <c r="BR56" s="36"/>
    </row>
    <row r="57" spans="1:70" x14ac:dyDescent="0.35">
      <c r="A57" s="29" t="s">
        <v>124</v>
      </c>
      <c r="B57" s="37">
        <v>0</v>
      </c>
      <c r="C57" s="38">
        <v>0</v>
      </c>
      <c r="D57" s="37">
        <v>0</v>
      </c>
      <c r="E57" s="38">
        <v>0</v>
      </c>
      <c r="F57" s="37">
        <v>1</v>
      </c>
      <c r="G57" s="38">
        <v>1</v>
      </c>
      <c r="H57" s="37">
        <v>1</v>
      </c>
      <c r="I57" s="38">
        <v>1</v>
      </c>
      <c r="J57" s="37">
        <v>1</v>
      </c>
      <c r="K57" s="38">
        <v>1</v>
      </c>
      <c r="L57" s="37">
        <v>1</v>
      </c>
      <c r="M57" s="38">
        <v>1</v>
      </c>
      <c r="N57" s="37">
        <v>1</v>
      </c>
      <c r="O57" s="38">
        <v>2</v>
      </c>
      <c r="P57" s="37">
        <v>1</v>
      </c>
      <c r="Q57" s="87">
        <v>2</v>
      </c>
      <c r="R57" s="37">
        <v>1</v>
      </c>
      <c r="S57" s="38"/>
      <c r="T57" s="37">
        <v>1</v>
      </c>
      <c r="U57" s="38"/>
      <c r="V57" s="37">
        <v>1</v>
      </c>
      <c r="W57" s="38"/>
      <c r="X57" s="37">
        <v>1</v>
      </c>
      <c r="Y57" s="38"/>
      <c r="Z57" s="37">
        <v>1</v>
      </c>
      <c r="AA57" s="38"/>
      <c r="AB57" s="37">
        <v>1</v>
      </c>
      <c r="AC57" s="38"/>
      <c r="AD57" s="37">
        <v>1</v>
      </c>
      <c r="AE57" s="38"/>
      <c r="AF57" s="37">
        <v>1</v>
      </c>
      <c r="AG57" s="38"/>
      <c r="AH57" s="37">
        <v>1</v>
      </c>
      <c r="AI57" s="38"/>
      <c r="AJ57" s="37">
        <v>1</v>
      </c>
      <c r="AK57" s="38"/>
      <c r="AL57" s="37">
        <v>1</v>
      </c>
      <c r="AM57" s="38"/>
      <c r="AN57" s="37">
        <v>1</v>
      </c>
      <c r="AO57" s="38"/>
      <c r="AP57" s="37">
        <v>1</v>
      </c>
      <c r="AQ57" s="38"/>
      <c r="AR57" s="37">
        <v>1</v>
      </c>
      <c r="AS57" s="38"/>
      <c r="AT57" s="44">
        <v>1</v>
      </c>
      <c r="AU57" s="39"/>
      <c r="AV57" s="69">
        <f t="shared" si="41"/>
        <v>0</v>
      </c>
      <c r="AW57" s="38">
        <f t="shared" si="42"/>
        <v>0</v>
      </c>
      <c r="AX57" s="38">
        <f t="shared" si="43"/>
        <v>0</v>
      </c>
      <c r="AY57" s="38">
        <f t="shared" si="44"/>
        <v>0</v>
      </c>
      <c r="AZ57" s="38">
        <f t="shared" si="45"/>
        <v>0</v>
      </c>
      <c r="BA57" s="38">
        <f t="shared" si="46"/>
        <v>0</v>
      </c>
      <c r="BB57" s="38">
        <f t="shared" si="47"/>
        <v>1</v>
      </c>
      <c r="BC57" s="38">
        <f t="shared" si="40"/>
        <v>1</v>
      </c>
      <c r="BD57" s="38"/>
      <c r="BE57" s="38"/>
      <c r="BF57" s="38"/>
      <c r="BG57" s="38"/>
      <c r="BH57" s="38"/>
      <c r="BI57" s="38"/>
      <c r="BJ57" s="38"/>
      <c r="BK57" s="38"/>
      <c r="BL57" s="38"/>
      <c r="BM57" s="38"/>
      <c r="BN57" s="38"/>
      <c r="BO57" s="38"/>
      <c r="BP57" s="38"/>
      <c r="BQ57" s="38"/>
      <c r="BR57" s="39"/>
    </row>
    <row r="58" spans="1:70" x14ac:dyDescent="0.35">
      <c r="A58" s="33" t="s">
        <v>125</v>
      </c>
      <c r="B58" s="34">
        <v>0</v>
      </c>
      <c r="C58" s="35">
        <v>0</v>
      </c>
      <c r="D58" s="34">
        <v>0</v>
      </c>
      <c r="E58" s="35">
        <v>0</v>
      </c>
      <c r="F58" s="34">
        <v>1</v>
      </c>
      <c r="G58" s="35">
        <v>1</v>
      </c>
      <c r="H58" s="34">
        <v>1</v>
      </c>
      <c r="I58" s="35">
        <v>1</v>
      </c>
      <c r="J58" s="34">
        <v>1</v>
      </c>
      <c r="K58" s="35">
        <v>1</v>
      </c>
      <c r="L58" s="34">
        <v>1</v>
      </c>
      <c r="M58" s="35">
        <v>1</v>
      </c>
      <c r="N58" s="34">
        <v>1</v>
      </c>
      <c r="O58" s="35">
        <v>2</v>
      </c>
      <c r="P58" s="34">
        <v>1</v>
      </c>
      <c r="Q58" s="87">
        <v>2</v>
      </c>
      <c r="R58" s="34">
        <v>1</v>
      </c>
      <c r="S58" s="35"/>
      <c r="T58" s="34">
        <v>1</v>
      </c>
      <c r="U58" s="35"/>
      <c r="V58" s="34">
        <v>1</v>
      </c>
      <c r="W58" s="35"/>
      <c r="X58" s="34">
        <v>1</v>
      </c>
      <c r="Y58" s="35"/>
      <c r="Z58" s="34">
        <v>1</v>
      </c>
      <c r="AA58" s="35"/>
      <c r="AB58" s="34">
        <v>1</v>
      </c>
      <c r="AC58" s="35"/>
      <c r="AD58" s="34">
        <v>1</v>
      </c>
      <c r="AE58" s="35"/>
      <c r="AF58" s="34">
        <v>1</v>
      </c>
      <c r="AG58" s="35"/>
      <c r="AH58" s="34">
        <v>1</v>
      </c>
      <c r="AI58" s="35"/>
      <c r="AJ58" s="34">
        <v>1</v>
      </c>
      <c r="AK58" s="35"/>
      <c r="AL58" s="34">
        <v>1</v>
      </c>
      <c r="AM58" s="35"/>
      <c r="AN58" s="34">
        <v>1</v>
      </c>
      <c r="AO58" s="35"/>
      <c r="AP58" s="34">
        <v>1</v>
      </c>
      <c r="AQ58" s="35"/>
      <c r="AR58" s="34">
        <v>1</v>
      </c>
      <c r="AS58" s="35"/>
      <c r="AT58" s="45">
        <v>1</v>
      </c>
      <c r="AU58" s="36"/>
      <c r="AV58" s="68">
        <f t="shared" si="41"/>
        <v>0</v>
      </c>
      <c r="AW58" s="35">
        <f t="shared" si="42"/>
        <v>0</v>
      </c>
      <c r="AX58" s="35">
        <f t="shared" si="43"/>
        <v>0</v>
      </c>
      <c r="AY58" s="35">
        <f t="shared" si="44"/>
        <v>0</v>
      </c>
      <c r="AZ58" s="35">
        <f t="shared" si="45"/>
        <v>0</v>
      </c>
      <c r="BA58" s="35">
        <f t="shared" si="46"/>
        <v>0</v>
      </c>
      <c r="BB58" s="35">
        <f t="shared" si="47"/>
        <v>1</v>
      </c>
      <c r="BC58" s="35">
        <f t="shared" si="40"/>
        <v>1</v>
      </c>
      <c r="BD58" s="35"/>
      <c r="BE58" s="35"/>
      <c r="BF58" s="35"/>
      <c r="BG58" s="35"/>
      <c r="BH58" s="35"/>
      <c r="BI58" s="35"/>
      <c r="BJ58" s="35"/>
      <c r="BK58" s="35"/>
      <c r="BL58" s="35"/>
      <c r="BM58" s="35"/>
      <c r="BN58" s="35"/>
      <c r="BO58" s="35"/>
      <c r="BP58" s="35"/>
      <c r="BQ58" s="35"/>
      <c r="BR58" s="36"/>
    </row>
    <row r="59" spans="1:70" x14ac:dyDescent="0.35">
      <c r="A59" s="29" t="s">
        <v>126</v>
      </c>
      <c r="B59" s="37">
        <v>0</v>
      </c>
      <c r="C59" s="38">
        <v>0</v>
      </c>
      <c r="D59" s="37">
        <v>1</v>
      </c>
      <c r="E59" s="38">
        <v>0</v>
      </c>
      <c r="F59" s="37">
        <v>2</v>
      </c>
      <c r="G59" s="38">
        <v>0</v>
      </c>
      <c r="H59" s="37">
        <v>2</v>
      </c>
      <c r="I59" s="38">
        <v>0</v>
      </c>
      <c r="J59" s="37">
        <v>2</v>
      </c>
      <c r="K59" s="38">
        <v>0</v>
      </c>
      <c r="L59" s="37">
        <v>2</v>
      </c>
      <c r="M59" s="38">
        <v>2</v>
      </c>
      <c r="N59" s="37">
        <v>2</v>
      </c>
      <c r="O59" s="38">
        <v>1</v>
      </c>
      <c r="P59" s="37">
        <v>2</v>
      </c>
      <c r="Q59" s="87">
        <v>2</v>
      </c>
      <c r="R59" s="37">
        <v>2</v>
      </c>
      <c r="S59" s="38"/>
      <c r="T59" s="37">
        <v>2</v>
      </c>
      <c r="U59" s="38"/>
      <c r="V59" s="37">
        <v>2</v>
      </c>
      <c r="W59" s="38"/>
      <c r="X59" s="37">
        <v>2</v>
      </c>
      <c r="Y59" s="38"/>
      <c r="Z59" s="37">
        <v>2</v>
      </c>
      <c r="AA59" s="38"/>
      <c r="AB59" s="37">
        <v>2</v>
      </c>
      <c r="AC59" s="38"/>
      <c r="AD59" s="37">
        <v>2</v>
      </c>
      <c r="AE59" s="38"/>
      <c r="AF59" s="37">
        <v>2</v>
      </c>
      <c r="AG59" s="38"/>
      <c r="AH59" s="37">
        <v>2</v>
      </c>
      <c r="AI59" s="38"/>
      <c r="AJ59" s="37">
        <v>2</v>
      </c>
      <c r="AK59" s="38"/>
      <c r="AL59" s="37">
        <v>2</v>
      </c>
      <c r="AM59" s="38"/>
      <c r="AN59" s="37">
        <v>2</v>
      </c>
      <c r="AO59" s="38"/>
      <c r="AP59" s="37">
        <v>2</v>
      </c>
      <c r="AQ59" s="38"/>
      <c r="AR59" s="37">
        <v>1.5</v>
      </c>
      <c r="AS59" s="38"/>
      <c r="AT59" s="44">
        <v>0.5</v>
      </c>
      <c r="AU59" s="39"/>
      <c r="AV59" s="69">
        <f t="shared" si="41"/>
        <v>0</v>
      </c>
      <c r="AW59" s="38">
        <f t="shared" si="42"/>
        <v>-1</v>
      </c>
      <c r="AX59" s="38">
        <f t="shared" si="43"/>
        <v>-2</v>
      </c>
      <c r="AY59" s="38">
        <f t="shared" si="44"/>
        <v>-2</v>
      </c>
      <c r="AZ59" s="38">
        <f t="shared" si="45"/>
        <v>-2</v>
      </c>
      <c r="BA59" s="38">
        <f t="shared" si="46"/>
        <v>0</v>
      </c>
      <c r="BB59" s="38">
        <f t="shared" si="47"/>
        <v>-1</v>
      </c>
      <c r="BC59" s="38">
        <f t="shared" si="40"/>
        <v>0</v>
      </c>
      <c r="BD59" s="38"/>
      <c r="BE59" s="38"/>
      <c r="BF59" s="38"/>
      <c r="BG59" s="38"/>
      <c r="BH59" s="38"/>
      <c r="BI59" s="38"/>
      <c r="BJ59" s="38"/>
      <c r="BK59" s="38"/>
      <c r="BL59" s="38"/>
      <c r="BM59" s="38"/>
      <c r="BN59" s="38"/>
      <c r="BO59" s="38"/>
      <c r="BP59" s="38"/>
      <c r="BQ59" s="38"/>
      <c r="BR59" s="39"/>
    </row>
    <row r="60" spans="1:70" x14ac:dyDescent="0.35">
      <c r="A60" s="33" t="s">
        <v>127</v>
      </c>
      <c r="B60" s="34">
        <v>0</v>
      </c>
      <c r="C60" s="35">
        <v>0</v>
      </c>
      <c r="D60" s="34">
        <v>2</v>
      </c>
      <c r="E60" s="35">
        <v>1</v>
      </c>
      <c r="F60" s="34">
        <v>3</v>
      </c>
      <c r="G60" s="35">
        <v>2</v>
      </c>
      <c r="H60" s="34">
        <v>3</v>
      </c>
      <c r="I60" s="35">
        <v>2</v>
      </c>
      <c r="J60" s="34">
        <v>3</v>
      </c>
      <c r="K60" s="35">
        <v>2</v>
      </c>
      <c r="L60" s="34">
        <v>3</v>
      </c>
      <c r="M60" s="35">
        <v>2</v>
      </c>
      <c r="N60" s="34">
        <v>3</v>
      </c>
      <c r="O60" s="35">
        <v>3</v>
      </c>
      <c r="P60" s="34">
        <v>3</v>
      </c>
      <c r="Q60" s="87">
        <v>3</v>
      </c>
      <c r="R60" s="34">
        <v>3</v>
      </c>
      <c r="S60" s="35"/>
      <c r="T60" s="34">
        <v>3</v>
      </c>
      <c r="U60" s="35"/>
      <c r="V60" s="34">
        <v>3</v>
      </c>
      <c r="W60" s="35"/>
      <c r="X60" s="34">
        <v>3</v>
      </c>
      <c r="Y60" s="35"/>
      <c r="Z60" s="34">
        <v>3</v>
      </c>
      <c r="AA60" s="35"/>
      <c r="AB60" s="34">
        <v>3</v>
      </c>
      <c r="AC60" s="35"/>
      <c r="AD60" s="34">
        <v>3</v>
      </c>
      <c r="AE60" s="35"/>
      <c r="AF60" s="34">
        <v>3</v>
      </c>
      <c r="AG60" s="35"/>
      <c r="AH60" s="34">
        <v>3</v>
      </c>
      <c r="AI60" s="35"/>
      <c r="AJ60" s="34">
        <v>3</v>
      </c>
      <c r="AK60" s="35"/>
      <c r="AL60" s="34">
        <v>3</v>
      </c>
      <c r="AM60" s="35"/>
      <c r="AN60" s="34">
        <v>3</v>
      </c>
      <c r="AO60" s="35"/>
      <c r="AP60" s="34">
        <v>3</v>
      </c>
      <c r="AQ60" s="35"/>
      <c r="AR60" s="34">
        <v>3</v>
      </c>
      <c r="AS60" s="35"/>
      <c r="AT60" s="45">
        <v>1.5</v>
      </c>
      <c r="AU60" s="36"/>
      <c r="AV60" s="68">
        <f t="shared" si="41"/>
        <v>0</v>
      </c>
      <c r="AW60" s="35">
        <f t="shared" si="42"/>
        <v>-1</v>
      </c>
      <c r="AX60" s="35">
        <f t="shared" si="43"/>
        <v>-1</v>
      </c>
      <c r="AY60" s="35">
        <f t="shared" si="44"/>
        <v>-1</v>
      </c>
      <c r="AZ60" s="35">
        <f t="shared" si="45"/>
        <v>-1</v>
      </c>
      <c r="BA60" s="35">
        <f t="shared" si="46"/>
        <v>-1</v>
      </c>
      <c r="BB60" s="35">
        <f t="shared" si="47"/>
        <v>0</v>
      </c>
      <c r="BC60" s="35">
        <f t="shared" si="40"/>
        <v>0</v>
      </c>
      <c r="BD60" s="35"/>
      <c r="BE60" s="35"/>
      <c r="BF60" s="35"/>
      <c r="BG60" s="35"/>
      <c r="BH60" s="35"/>
      <c r="BI60" s="35"/>
      <c r="BJ60" s="35"/>
      <c r="BK60" s="35"/>
      <c r="BL60" s="35"/>
      <c r="BM60" s="35"/>
      <c r="BN60" s="35"/>
      <c r="BO60" s="35"/>
      <c r="BP60" s="35"/>
      <c r="BQ60" s="35"/>
      <c r="BR60" s="36"/>
    </row>
    <row r="61" spans="1:70" x14ac:dyDescent="0.35">
      <c r="A61" s="29" t="s">
        <v>128</v>
      </c>
      <c r="B61" s="37">
        <v>0</v>
      </c>
      <c r="C61" s="38">
        <v>0</v>
      </c>
      <c r="D61" s="37">
        <v>2</v>
      </c>
      <c r="E61" s="38">
        <v>0</v>
      </c>
      <c r="F61" s="37">
        <v>2</v>
      </c>
      <c r="G61" s="38">
        <v>0</v>
      </c>
      <c r="H61" s="37">
        <v>2</v>
      </c>
      <c r="I61" s="38">
        <v>0</v>
      </c>
      <c r="J61" s="37">
        <v>2</v>
      </c>
      <c r="K61" s="38">
        <v>2</v>
      </c>
      <c r="L61" s="37">
        <v>2</v>
      </c>
      <c r="M61" s="38">
        <v>2</v>
      </c>
      <c r="N61" s="37">
        <v>2</v>
      </c>
      <c r="O61" s="38">
        <v>0</v>
      </c>
      <c r="P61" s="37">
        <v>2</v>
      </c>
      <c r="Q61" s="87">
        <v>0</v>
      </c>
      <c r="R61" s="37">
        <v>2</v>
      </c>
      <c r="S61" s="38"/>
      <c r="T61" s="37">
        <v>2</v>
      </c>
      <c r="U61" s="38"/>
      <c r="V61" s="37">
        <v>2</v>
      </c>
      <c r="W61" s="38"/>
      <c r="X61" s="37">
        <v>2</v>
      </c>
      <c r="Y61" s="38"/>
      <c r="Z61" s="37">
        <v>2</v>
      </c>
      <c r="AA61" s="38"/>
      <c r="AB61" s="37">
        <v>2</v>
      </c>
      <c r="AC61" s="38"/>
      <c r="AD61" s="37">
        <v>2</v>
      </c>
      <c r="AE61" s="38"/>
      <c r="AF61" s="37">
        <v>2</v>
      </c>
      <c r="AG61" s="38"/>
      <c r="AH61" s="37">
        <v>2</v>
      </c>
      <c r="AI61" s="38"/>
      <c r="AJ61" s="37">
        <v>2</v>
      </c>
      <c r="AK61" s="38"/>
      <c r="AL61" s="37">
        <v>2</v>
      </c>
      <c r="AM61" s="38"/>
      <c r="AN61" s="37">
        <v>2</v>
      </c>
      <c r="AO61" s="38"/>
      <c r="AP61" s="37">
        <v>2</v>
      </c>
      <c r="AQ61" s="38"/>
      <c r="AR61" s="37">
        <v>2</v>
      </c>
      <c r="AS61" s="38"/>
      <c r="AT61" s="44">
        <v>1</v>
      </c>
      <c r="AU61" s="39"/>
      <c r="AV61" s="69">
        <f t="shared" si="41"/>
        <v>0</v>
      </c>
      <c r="AW61" s="38">
        <f t="shared" si="42"/>
        <v>-2</v>
      </c>
      <c r="AX61" s="38">
        <f t="shared" si="43"/>
        <v>-2</v>
      </c>
      <c r="AY61" s="38">
        <f t="shared" si="44"/>
        <v>-2</v>
      </c>
      <c r="AZ61" s="38">
        <f t="shared" si="45"/>
        <v>0</v>
      </c>
      <c r="BA61" s="38">
        <f t="shared" si="46"/>
        <v>0</v>
      </c>
      <c r="BB61" s="38">
        <f t="shared" si="47"/>
        <v>-2</v>
      </c>
      <c r="BC61" s="38">
        <f t="shared" si="40"/>
        <v>-2</v>
      </c>
      <c r="BD61" s="38"/>
      <c r="BE61" s="38"/>
      <c r="BF61" s="38"/>
      <c r="BG61" s="38"/>
      <c r="BH61" s="38"/>
      <c r="BI61" s="38"/>
      <c r="BJ61" s="38"/>
      <c r="BK61" s="38"/>
      <c r="BL61" s="38"/>
      <c r="BM61" s="38"/>
      <c r="BN61" s="38"/>
      <c r="BO61" s="38"/>
      <c r="BP61" s="38"/>
      <c r="BQ61" s="38"/>
      <c r="BR61" s="39"/>
    </row>
    <row r="62" spans="1:70" x14ac:dyDescent="0.35">
      <c r="A62" s="33" t="s">
        <v>129</v>
      </c>
      <c r="B62" s="34">
        <v>0</v>
      </c>
      <c r="C62" s="35">
        <v>0</v>
      </c>
      <c r="D62" s="34">
        <v>2</v>
      </c>
      <c r="E62" s="35">
        <v>0</v>
      </c>
      <c r="F62" s="34">
        <v>2</v>
      </c>
      <c r="G62" s="35">
        <v>0</v>
      </c>
      <c r="H62" s="34">
        <v>2</v>
      </c>
      <c r="I62" s="35">
        <v>0</v>
      </c>
      <c r="J62" s="34">
        <v>2</v>
      </c>
      <c r="K62" s="35">
        <v>2</v>
      </c>
      <c r="L62" s="34">
        <v>2</v>
      </c>
      <c r="M62" s="35">
        <v>2</v>
      </c>
      <c r="N62" s="34">
        <v>2</v>
      </c>
      <c r="O62" s="35">
        <v>0</v>
      </c>
      <c r="P62" s="34">
        <v>2</v>
      </c>
      <c r="Q62" s="87">
        <v>0</v>
      </c>
      <c r="R62" s="34">
        <v>2</v>
      </c>
      <c r="S62" s="35"/>
      <c r="T62" s="34">
        <v>2</v>
      </c>
      <c r="U62" s="35"/>
      <c r="V62" s="34">
        <v>2</v>
      </c>
      <c r="W62" s="35"/>
      <c r="X62" s="34">
        <v>2</v>
      </c>
      <c r="Y62" s="35"/>
      <c r="Z62" s="34">
        <v>2</v>
      </c>
      <c r="AA62" s="35"/>
      <c r="AB62" s="34">
        <v>2</v>
      </c>
      <c r="AC62" s="35"/>
      <c r="AD62" s="34">
        <v>2</v>
      </c>
      <c r="AE62" s="35"/>
      <c r="AF62" s="34">
        <v>2</v>
      </c>
      <c r="AG62" s="35"/>
      <c r="AH62" s="34">
        <v>2</v>
      </c>
      <c r="AI62" s="35"/>
      <c r="AJ62" s="34">
        <v>2</v>
      </c>
      <c r="AK62" s="35"/>
      <c r="AL62" s="34">
        <v>2</v>
      </c>
      <c r="AM62" s="35"/>
      <c r="AN62" s="34">
        <v>2</v>
      </c>
      <c r="AO62" s="35"/>
      <c r="AP62" s="34">
        <v>2</v>
      </c>
      <c r="AQ62" s="35"/>
      <c r="AR62" s="34">
        <v>2</v>
      </c>
      <c r="AS62" s="35"/>
      <c r="AT62" s="45">
        <v>1</v>
      </c>
      <c r="AU62" s="36"/>
      <c r="AV62" s="68">
        <f t="shared" si="41"/>
        <v>0</v>
      </c>
      <c r="AW62" s="35">
        <f t="shared" si="42"/>
        <v>-2</v>
      </c>
      <c r="AX62" s="35">
        <f t="shared" si="43"/>
        <v>-2</v>
      </c>
      <c r="AY62" s="35">
        <f t="shared" si="44"/>
        <v>-2</v>
      </c>
      <c r="AZ62" s="35">
        <f t="shared" si="45"/>
        <v>0</v>
      </c>
      <c r="BA62" s="35">
        <f t="shared" si="46"/>
        <v>0</v>
      </c>
      <c r="BB62" s="35">
        <f t="shared" si="47"/>
        <v>-2</v>
      </c>
      <c r="BC62" s="35">
        <f t="shared" si="40"/>
        <v>-2</v>
      </c>
      <c r="BD62" s="35"/>
      <c r="BE62" s="35"/>
      <c r="BF62" s="35"/>
      <c r="BG62" s="35"/>
      <c r="BH62" s="35"/>
      <c r="BI62" s="35"/>
      <c r="BJ62" s="35"/>
      <c r="BK62" s="35"/>
      <c r="BL62" s="35"/>
      <c r="BM62" s="35"/>
      <c r="BN62" s="35"/>
      <c r="BO62" s="35"/>
      <c r="BP62" s="35"/>
      <c r="BQ62" s="35"/>
      <c r="BR62" s="36"/>
    </row>
    <row r="63" spans="1:70" x14ac:dyDescent="0.35">
      <c r="A63" s="29" t="s">
        <v>130</v>
      </c>
      <c r="B63" s="37">
        <v>0</v>
      </c>
      <c r="C63" s="38">
        <v>0</v>
      </c>
      <c r="D63" s="37">
        <v>0</v>
      </c>
      <c r="E63" s="38">
        <v>1</v>
      </c>
      <c r="F63" s="37">
        <v>2</v>
      </c>
      <c r="G63" s="38">
        <v>1</v>
      </c>
      <c r="H63" s="37">
        <v>2</v>
      </c>
      <c r="I63" s="38">
        <v>1</v>
      </c>
      <c r="J63" s="37">
        <v>2</v>
      </c>
      <c r="K63" s="38">
        <v>0</v>
      </c>
      <c r="L63" s="37">
        <v>2</v>
      </c>
      <c r="M63" s="38">
        <v>1</v>
      </c>
      <c r="N63" s="37">
        <v>2</v>
      </c>
      <c r="O63" s="38">
        <v>7</v>
      </c>
      <c r="P63" s="37">
        <v>2</v>
      </c>
      <c r="Q63" s="87">
        <v>7</v>
      </c>
      <c r="R63" s="37">
        <v>2</v>
      </c>
      <c r="S63" s="38"/>
      <c r="T63" s="37">
        <v>2</v>
      </c>
      <c r="U63" s="38"/>
      <c r="V63" s="37">
        <v>2</v>
      </c>
      <c r="W63" s="38"/>
      <c r="X63" s="37">
        <v>2</v>
      </c>
      <c r="Y63" s="38"/>
      <c r="Z63" s="37">
        <v>2</v>
      </c>
      <c r="AA63" s="38"/>
      <c r="AB63" s="37">
        <v>2</v>
      </c>
      <c r="AC63" s="38"/>
      <c r="AD63" s="37">
        <v>2</v>
      </c>
      <c r="AE63" s="38"/>
      <c r="AF63" s="37">
        <v>2</v>
      </c>
      <c r="AG63" s="38"/>
      <c r="AH63" s="37">
        <v>2</v>
      </c>
      <c r="AI63" s="38"/>
      <c r="AJ63" s="37">
        <v>2</v>
      </c>
      <c r="AK63" s="38"/>
      <c r="AL63" s="37">
        <v>2</v>
      </c>
      <c r="AM63" s="38"/>
      <c r="AN63" s="37">
        <v>2</v>
      </c>
      <c r="AO63" s="38"/>
      <c r="AP63" s="37">
        <v>2</v>
      </c>
      <c r="AQ63" s="38"/>
      <c r="AR63" s="37">
        <v>2</v>
      </c>
      <c r="AS63" s="38"/>
      <c r="AT63" s="44">
        <v>2</v>
      </c>
      <c r="AU63" s="39"/>
      <c r="AV63" s="69">
        <f t="shared" si="41"/>
        <v>0</v>
      </c>
      <c r="AW63" s="38">
        <f t="shared" si="42"/>
        <v>1</v>
      </c>
      <c r="AX63" s="38">
        <f t="shared" si="43"/>
        <v>-1</v>
      </c>
      <c r="AY63" s="38">
        <f t="shared" si="44"/>
        <v>-1</v>
      </c>
      <c r="AZ63" s="38">
        <f t="shared" si="45"/>
        <v>-2</v>
      </c>
      <c r="BA63" s="38">
        <f t="shared" si="46"/>
        <v>-1</v>
      </c>
      <c r="BB63" s="38">
        <f t="shared" si="47"/>
        <v>5</v>
      </c>
      <c r="BC63" s="38">
        <f t="shared" si="40"/>
        <v>5</v>
      </c>
      <c r="BD63" s="38"/>
      <c r="BE63" s="38"/>
      <c r="BF63" s="38"/>
      <c r="BG63" s="38"/>
      <c r="BH63" s="38"/>
      <c r="BI63" s="38"/>
      <c r="BJ63" s="38"/>
      <c r="BK63" s="38"/>
      <c r="BL63" s="38"/>
      <c r="BM63" s="38"/>
      <c r="BN63" s="38"/>
      <c r="BO63" s="38"/>
      <c r="BP63" s="38"/>
      <c r="BQ63" s="38"/>
      <c r="BR63" s="39"/>
    </row>
    <row r="64" spans="1:70" x14ac:dyDescent="0.35">
      <c r="A64" s="33" t="s">
        <v>131</v>
      </c>
      <c r="B64" s="34">
        <v>0</v>
      </c>
      <c r="C64" s="35">
        <v>0</v>
      </c>
      <c r="D64" s="34">
        <v>0</v>
      </c>
      <c r="E64" s="35">
        <v>0</v>
      </c>
      <c r="F64" s="34">
        <v>1</v>
      </c>
      <c r="G64" s="35">
        <v>0</v>
      </c>
      <c r="H64" s="34">
        <v>1</v>
      </c>
      <c r="I64" s="35">
        <v>0</v>
      </c>
      <c r="J64" s="34">
        <v>1</v>
      </c>
      <c r="K64" s="35">
        <v>0</v>
      </c>
      <c r="L64" s="34">
        <v>1</v>
      </c>
      <c r="M64" s="35">
        <v>1</v>
      </c>
      <c r="N64" s="34">
        <v>1</v>
      </c>
      <c r="O64" s="35">
        <v>1</v>
      </c>
      <c r="P64" s="34">
        <v>1</v>
      </c>
      <c r="Q64" s="87">
        <v>1</v>
      </c>
      <c r="R64" s="34">
        <v>1</v>
      </c>
      <c r="S64" s="35"/>
      <c r="T64" s="34">
        <v>1</v>
      </c>
      <c r="U64" s="35"/>
      <c r="V64" s="34">
        <v>1</v>
      </c>
      <c r="W64" s="35"/>
      <c r="X64" s="34">
        <v>1</v>
      </c>
      <c r="Y64" s="35"/>
      <c r="Z64" s="34">
        <v>1</v>
      </c>
      <c r="AA64" s="35"/>
      <c r="AB64" s="34">
        <v>1</v>
      </c>
      <c r="AC64" s="35"/>
      <c r="AD64" s="34">
        <v>1</v>
      </c>
      <c r="AE64" s="35"/>
      <c r="AF64" s="34">
        <v>1</v>
      </c>
      <c r="AG64" s="35"/>
      <c r="AH64" s="34">
        <v>1</v>
      </c>
      <c r="AI64" s="35"/>
      <c r="AJ64" s="34">
        <v>1</v>
      </c>
      <c r="AK64" s="35"/>
      <c r="AL64" s="34">
        <v>1</v>
      </c>
      <c r="AM64" s="35"/>
      <c r="AN64" s="34">
        <v>1</v>
      </c>
      <c r="AO64" s="35"/>
      <c r="AP64" s="34">
        <v>1</v>
      </c>
      <c r="AQ64" s="35"/>
      <c r="AR64" s="34">
        <v>1</v>
      </c>
      <c r="AS64" s="35"/>
      <c r="AT64" s="45">
        <v>1</v>
      </c>
      <c r="AU64" s="36"/>
      <c r="AV64" s="68">
        <f t="shared" si="41"/>
        <v>0</v>
      </c>
      <c r="AW64" s="35">
        <f t="shared" si="42"/>
        <v>0</v>
      </c>
      <c r="AX64" s="35">
        <f t="shared" si="43"/>
        <v>-1</v>
      </c>
      <c r="AY64" s="35">
        <f t="shared" si="44"/>
        <v>-1</v>
      </c>
      <c r="AZ64" s="35">
        <f t="shared" si="45"/>
        <v>-1</v>
      </c>
      <c r="BA64" s="35">
        <f t="shared" si="46"/>
        <v>0</v>
      </c>
      <c r="BB64" s="35">
        <f t="shared" si="47"/>
        <v>0</v>
      </c>
      <c r="BC64" s="35">
        <f t="shared" si="40"/>
        <v>0</v>
      </c>
      <c r="BD64" s="35"/>
      <c r="BE64" s="35"/>
      <c r="BF64" s="35"/>
      <c r="BG64" s="35"/>
      <c r="BH64" s="35"/>
      <c r="BI64" s="35"/>
      <c r="BJ64" s="35"/>
      <c r="BK64" s="35"/>
      <c r="BL64" s="35"/>
      <c r="BM64" s="35"/>
      <c r="BN64" s="35"/>
      <c r="BO64" s="35"/>
      <c r="BP64" s="35"/>
      <c r="BQ64" s="35"/>
      <c r="BR64" s="36"/>
    </row>
    <row r="65" spans="1:70" x14ac:dyDescent="0.35">
      <c r="A65" s="29" t="s">
        <v>132</v>
      </c>
      <c r="B65" s="37">
        <v>0</v>
      </c>
      <c r="C65" s="38">
        <v>1</v>
      </c>
      <c r="D65" s="37">
        <v>2</v>
      </c>
      <c r="E65" s="38">
        <v>1</v>
      </c>
      <c r="F65" s="37">
        <v>3</v>
      </c>
      <c r="G65" s="38">
        <v>3</v>
      </c>
      <c r="H65" s="37">
        <v>3</v>
      </c>
      <c r="I65" s="38">
        <v>3</v>
      </c>
      <c r="J65" s="37">
        <v>3</v>
      </c>
      <c r="K65" s="38">
        <v>2</v>
      </c>
      <c r="L65" s="37">
        <v>3</v>
      </c>
      <c r="M65" s="38">
        <v>3</v>
      </c>
      <c r="N65" s="37">
        <v>3</v>
      </c>
      <c r="O65" s="38">
        <v>2</v>
      </c>
      <c r="P65" s="37">
        <v>3</v>
      </c>
      <c r="Q65" s="87">
        <v>2</v>
      </c>
      <c r="R65" s="37">
        <v>3</v>
      </c>
      <c r="S65" s="38"/>
      <c r="T65" s="37">
        <v>3</v>
      </c>
      <c r="U65" s="38"/>
      <c r="V65" s="37">
        <v>3</v>
      </c>
      <c r="W65" s="38"/>
      <c r="X65" s="37">
        <v>3</v>
      </c>
      <c r="Y65" s="38"/>
      <c r="Z65" s="37">
        <v>3</v>
      </c>
      <c r="AA65" s="38"/>
      <c r="AB65" s="37">
        <v>3</v>
      </c>
      <c r="AC65" s="38"/>
      <c r="AD65" s="37">
        <v>3</v>
      </c>
      <c r="AE65" s="38"/>
      <c r="AF65" s="37">
        <v>3</v>
      </c>
      <c r="AG65" s="38"/>
      <c r="AH65" s="37">
        <v>3</v>
      </c>
      <c r="AI65" s="38"/>
      <c r="AJ65" s="37">
        <v>3</v>
      </c>
      <c r="AK65" s="38"/>
      <c r="AL65" s="37">
        <v>3</v>
      </c>
      <c r="AM65" s="38"/>
      <c r="AN65" s="37">
        <v>3</v>
      </c>
      <c r="AO65" s="38"/>
      <c r="AP65" s="37">
        <v>3</v>
      </c>
      <c r="AQ65" s="38"/>
      <c r="AR65" s="37">
        <v>3</v>
      </c>
      <c r="AS65" s="38"/>
      <c r="AT65" s="44">
        <v>1.5</v>
      </c>
      <c r="AU65" s="39"/>
      <c r="AV65" s="69">
        <f t="shared" si="41"/>
        <v>1</v>
      </c>
      <c r="AW65" s="38">
        <f t="shared" si="42"/>
        <v>-1</v>
      </c>
      <c r="AX65" s="38">
        <f t="shared" si="43"/>
        <v>0</v>
      </c>
      <c r="AY65" s="38">
        <f t="shared" si="44"/>
        <v>0</v>
      </c>
      <c r="AZ65" s="38">
        <f t="shared" si="45"/>
        <v>-1</v>
      </c>
      <c r="BA65" s="38">
        <f t="shared" si="46"/>
        <v>0</v>
      </c>
      <c r="BB65" s="38">
        <f t="shared" si="47"/>
        <v>-1</v>
      </c>
      <c r="BC65" s="38">
        <f t="shared" si="40"/>
        <v>-1</v>
      </c>
      <c r="BD65" s="38"/>
      <c r="BE65" s="38"/>
      <c r="BF65" s="38"/>
      <c r="BG65" s="38"/>
      <c r="BH65" s="38"/>
      <c r="BI65" s="38"/>
      <c r="BJ65" s="38"/>
      <c r="BK65" s="38"/>
      <c r="BL65" s="38"/>
      <c r="BM65" s="38"/>
      <c r="BN65" s="38"/>
      <c r="BO65" s="38"/>
      <c r="BP65" s="38"/>
      <c r="BQ65" s="38"/>
      <c r="BR65" s="39"/>
    </row>
    <row r="66" spans="1:70" x14ac:dyDescent="0.35">
      <c r="A66" s="33" t="s">
        <v>133</v>
      </c>
      <c r="B66" s="34">
        <v>0</v>
      </c>
      <c r="C66" s="35">
        <v>0</v>
      </c>
      <c r="D66" s="34">
        <v>0</v>
      </c>
      <c r="E66" s="35">
        <v>4</v>
      </c>
      <c r="F66" s="34">
        <v>7</v>
      </c>
      <c r="G66" s="35">
        <v>6</v>
      </c>
      <c r="H66" s="34">
        <v>8</v>
      </c>
      <c r="I66" s="35">
        <v>8</v>
      </c>
      <c r="J66" s="34">
        <v>8</v>
      </c>
      <c r="K66" s="35">
        <v>8</v>
      </c>
      <c r="L66" s="34">
        <v>8</v>
      </c>
      <c r="M66" s="35">
        <v>10</v>
      </c>
      <c r="N66" s="34">
        <v>8</v>
      </c>
      <c r="O66" s="35">
        <v>10</v>
      </c>
      <c r="P66" s="34">
        <v>8</v>
      </c>
      <c r="Q66" s="87">
        <v>10</v>
      </c>
      <c r="R66" s="34">
        <v>8</v>
      </c>
      <c r="S66" s="35"/>
      <c r="T66" s="34">
        <v>8</v>
      </c>
      <c r="U66" s="35"/>
      <c r="V66" s="34">
        <v>8</v>
      </c>
      <c r="W66" s="35"/>
      <c r="X66" s="34">
        <v>8</v>
      </c>
      <c r="Y66" s="35"/>
      <c r="Z66" s="34">
        <v>8</v>
      </c>
      <c r="AA66" s="35"/>
      <c r="AB66" s="34">
        <v>8</v>
      </c>
      <c r="AC66" s="35"/>
      <c r="AD66" s="34">
        <v>8</v>
      </c>
      <c r="AE66" s="35"/>
      <c r="AF66" s="34">
        <v>8</v>
      </c>
      <c r="AG66" s="35"/>
      <c r="AH66" s="34">
        <v>8</v>
      </c>
      <c r="AI66" s="35"/>
      <c r="AJ66" s="34">
        <v>8</v>
      </c>
      <c r="AK66" s="35"/>
      <c r="AL66" s="34">
        <v>9</v>
      </c>
      <c r="AM66" s="35"/>
      <c r="AN66" s="34">
        <v>9</v>
      </c>
      <c r="AO66" s="35"/>
      <c r="AP66" s="34">
        <v>8</v>
      </c>
      <c r="AQ66" s="35"/>
      <c r="AR66" s="34">
        <v>5</v>
      </c>
      <c r="AS66" s="35"/>
      <c r="AT66" s="45">
        <v>2</v>
      </c>
      <c r="AU66" s="45"/>
      <c r="AV66" s="68">
        <f t="shared" ref="AV66:AV78" si="48">C66-B66</f>
        <v>0</v>
      </c>
      <c r="AW66" s="35">
        <f t="shared" ref="AW66:AW78" si="49">E66-D66</f>
        <v>4</v>
      </c>
      <c r="AX66" s="35">
        <f t="shared" ref="AX66:AX78" si="50">G66-F66</f>
        <v>-1</v>
      </c>
      <c r="AY66" s="35">
        <f t="shared" ref="AY66:AY78" si="51">I66-H66</f>
        <v>0</v>
      </c>
      <c r="AZ66" s="35">
        <f t="shared" ref="AZ66:AZ78" si="52">K66-J66</f>
        <v>0</v>
      </c>
      <c r="BA66" s="35">
        <f t="shared" ref="BA66:BA78" si="53">M66-L66</f>
        <v>2</v>
      </c>
      <c r="BB66" s="35">
        <f t="shared" ref="BB66:BB78" si="54">O66-N66</f>
        <v>2</v>
      </c>
      <c r="BC66" s="35">
        <f t="shared" si="40"/>
        <v>2</v>
      </c>
      <c r="BD66" s="35"/>
      <c r="BE66" s="35"/>
      <c r="BF66" s="35"/>
      <c r="BG66" s="35"/>
      <c r="BH66" s="35"/>
      <c r="BI66" s="35"/>
      <c r="BJ66" s="35"/>
      <c r="BK66" s="35"/>
      <c r="BL66" s="35"/>
      <c r="BM66" s="35"/>
      <c r="BN66" s="35"/>
      <c r="BO66" s="35"/>
      <c r="BP66" s="35"/>
      <c r="BQ66" s="35"/>
      <c r="BR66" s="36"/>
    </row>
    <row r="67" spans="1:70" x14ac:dyDescent="0.35">
      <c r="A67" s="29" t="s">
        <v>134</v>
      </c>
      <c r="B67" s="37">
        <v>0</v>
      </c>
      <c r="C67" s="38">
        <v>0</v>
      </c>
      <c r="D67" s="37">
        <v>8</v>
      </c>
      <c r="E67" s="38">
        <v>0</v>
      </c>
      <c r="F67" s="37">
        <v>8</v>
      </c>
      <c r="G67" s="38">
        <v>3</v>
      </c>
      <c r="H67" s="37">
        <v>8</v>
      </c>
      <c r="I67" s="38">
        <v>3</v>
      </c>
      <c r="J67" s="37">
        <v>8</v>
      </c>
      <c r="K67" s="38">
        <v>5</v>
      </c>
      <c r="L67" s="37">
        <v>8</v>
      </c>
      <c r="M67" s="38">
        <v>5</v>
      </c>
      <c r="N67" s="37">
        <v>8</v>
      </c>
      <c r="O67" s="38">
        <v>7</v>
      </c>
      <c r="P67" s="37">
        <v>8</v>
      </c>
      <c r="Q67" s="87">
        <v>7</v>
      </c>
      <c r="R67" s="37">
        <v>8</v>
      </c>
      <c r="S67" s="38"/>
      <c r="T67" s="37">
        <v>8</v>
      </c>
      <c r="U67" s="38"/>
      <c r="V67" s="37">
        <v>8</v>
      </c>
      <c r="W67" s="38"/>
      <c r="X67" s="37">
        <v>8</v>
      </c>
      <c r="Y67" s="38"/>
      <c r="Z67" s="37">
        <v>8</v>
      </c>
      <c r="AA67" s="38"/>
      <c r="AB67" s="37">
        <v>8</v>
      </c>
      <c r="AC67" s="38"/>
      <c r="AD67" s="37">
        <v>8</v>
      </c>
      <c r="AE67" s="38"/>
      <c r="AF67" s="37">
        <v>9</v>
      </c>
      <c r="AG67" s="38"/>
      <c r="AH67" s="37">
        <v>9</v>
      </c>
      <c r="AI67" s="38"/>
      <c r="AJ67" s="37">
        <v>9</v>
      </c>
      <c r="AK67" s="38"/>
      <c r="AL67" s="37">
        <v>9</v>
      </c>
      <c r="AM67" s="38"/>
      <c r="AN67" s="37">
        <v>9</v>
      </c>
      <c r="AO67" s="38"/>
      <c r="AP67" s="37">
        <v>9</v>
      </c>
      <c r="AQ67" s="38"/>
      <c r="AR67" s="37">
        <v>9</v>
      </c>
      <c r="AS67" s="38"/>
      <c r="AT67" s="44">
        <v>4</v>
      </c>
      <c r="AU67" s="39"/>
      <c r="AV67" s="69">
        <f t="shared" si="48"/>
        <v>0</v>
      </c>
      <c r="AW67" s="38">
        <f t="shared" si="49"/>
        <v>-8</v>
      </c>
      <c r="AX67" s="38">
        <f t="shared" si="50"/>
        <v>-5</v>
      </c>
      <c r="AY67" s="38">
        <f t="shared" si="51"/>
        <v>-5</v>
      </c>
      <c r="AZ67" s="38">
        <f t="shared" si="52"/>
        <v>-3</v>
      </c>
      <c r="BA67" s="38">
        <f t="shared" si="53"/>
        <v>-3</v>
      </c>
      <c r="BB67" s="38">
        <f t="shared" si="54"/>
        <v>-1</v>
      </c>
      <c r="BC67" s="38">
        <f t="shared" si="40"/>
        <v>-1</v>
      </c>
      <c r="BD67" s="38"/>
      <c r="BE67" s="38"/>
      <c r="BF67" s="38"/>
      <c r="BG67" s="38"/>
      <c r="BH67" s="38"/>
      <c r="BI67" s="38"/>
      <c r="BJ67" s="38"/>
      <c r="BK67" s="38"/>
      <c r="BL67" s="38"/>
      <c r="BM67" s="38"/>
      <c r="BN67" s="38"/>
      <c r="BO67" s="38"/>
      <c r="BP67" s="38"/>
      <c r="BQ67" s="38"/>
      <c r="BR67" s="39"/>
    </row>
    <row r="68" spans="1:70" x14ac:dyDescent="0.35">
      <c r="A68" s="33" t="s">
        <v>135</v>
      </c>
      <c r="B68" s="34">
        <v>0</v>
      </c>
      <c r="C68" s="35">
        <v>0</v>
      </c>
      <c r="D68" s="34">
        <v>1</v>
      </c>
      <c r="E68" s="35">
        <v>0</v>
      </c>
      <c r="F68" s="34">
        <v>2</v>
      </c>
      <c r="G68" s="35">
        <v>0</v>
      </c>
      <c r="H68" s="34">
        <v>2</v>
      </c>
      <c r="I68" s="35">
        <v>0</v>
      </c>
      <c r="J68" s="34">
        <v>3</v>
      </c>
      <c r="K68" s="35">
        <v>0</v>
      </c>
      <c r="L68" s="34">
        <v>3</v>
      </c>
      <c r="M68" s="35">
        <v>0</v>
      </c>
      <c r="N68" s="34">
        <v>3</v>
      </c>
      <c r="O68" s="35">
        <v>1</v>
      </c>
      <c r="P68" s="34">
        <v>3</v>
      </c>
      <c r="Q68" s="87">
        <v>1</v>
      </c>
      <c r="R68" s="34">
        <v>3</v>
      </c>
      <c r="S68" s="35"/>
      <c r="T68" s="34">
        <v>3</v>
      </c>
      <c r="U68" s="35"/>
      <c r="V68" s="34">
        <v>3</v>
      </c>
      <c r="W68" s="35"/>
      <c r="X68" s="34">
        <v>2</v>
      </c>
      <c r="Y68" s="35"/>
      <c r="Z68" s="34">
        <v>2</v>
      </c>
      <c r="AA68" s="35"/>
      <c r="AB68" s="34">
        <v>2</v>
      </c>
      <c r="AC68" s="35"/>
      <c r="AD68" s="34">
        <v>3</v>
      </c>
      <c r="AE68" s="35"/>
      <c r="AF68" s="34">
        <v>3</v>
      </c>
      <c r="AG68" s="35"/>
      <c r="AH68" s="34">
        <v>3</v>
      </c>
      <c r="AI68" s="35"/>
      <c r="AJ68" s="34">
        <v>3</v>
      </c>
      <c r="AK68" s="35"/>
      <c r="AL68" s="34">
        <v>3</v>
      </c>
      <c r="AM68" s="35"/>
      <c r="AN68" s="34">
        <v>3</v>
      </c>
      <c r="AO68" s="35"/>
      <c r="AP68" s="34">
        <v>3</v>
      </c>
      <c r="AQ68" s="35"/>
      <c r="AR68" s="34">
        <v>2</v>
      </c>
      <c r="AS68" s="35"/>
      <c r="AT68" s="45">
        <v>1</v>
      </c>
      <c r="AU68" s="36"/>
      <c r="AV68" s="68">
        <f t="shared" si="48"/>
        <v>0</v>
      </c>
      <c r="AW68" s="35">
        <f t="shared" si="49"/>
        <v>-1</v>
      </c>
      <c r="AX68" s="35">
        <f t="shared" si="50"/>
        <v>-2</v>
      </c>
      <c r="AY68" s="35">
        <f t="shared" si="51"/>
        <v>-2</v>
      </c>
      <c r="AZ68" s="35">
        <f t="shared" si="52"/>
        <v>-3</v>
      </c>
      <c r="BA68" s="35">
        <f t="shared" si="53"/>
        <v>-3</v>
      </c>
      <c r="BB68" s="35">
        <f t="shared" si="54"/>
        <v>-2</v>
      </c>
      <c r="BC68" s="35">
        <f t="shared" si="40"/>
        <v>-2</v>
      </c>
      <c r="BD68" s="35"/>
      <c r="BE68" s="35"/>
      <c r="BF68" s="35"/>
      <c r="BG68" s="35"/>
      <c r="BH68" s="35"/>
      <c r="BI68" s="35"/>
      <c r="BJ68" s="35"/>
      <c r="BK68" s="35"/>
      <c r="BL68" s="35"/>
      <c r="BM68" s="35"/>
      <c r="BN68" s="35"/>
      <c r="BO68" s="35"/>
      <c r="BP68" s="35"/>
      <c r="BQ68" s="35"/>
      <c r="BR68" s="36"/>
    </row>
    <row r="69" spans="1:70" x14ac:dyDescent="0.35">
      <c r="A69" s="29" t="s">
        <v>136</v>
      </c>
      <c r="B69" s="37">
        <v>0</v>
      </c>
      <c r="C69" s="38">
        <v>0</v>
      </c>
      <c r="D69" s="37">
        <v>0</v>
      </c>
      <c r="E69" s="38">
        <v>0</v>
      </c>
      <c r="F69" s="37">
        <v>1</v>
      </c>
      <c r="G69" s="38">
        <v>0</v>
      </c>
      <c r="H69" s="37">
        <v>1</v>
      </c>
      <c r="I69" s="38">
        <v>0</v>
      </c>
      <c r="J69" s="37">
        <v>1</v>
      </c>
      <c r="K69" s="38">
        <v>0</v>
      </c>
      <c r="L69" s="37">
        <v>1</v>
      </c>
      <c r="M69" s="38">
        <v>0</v>
      </c>
      <c r="N69" s="37">
        <v>1</v>
      </c>
      <c r="O69" s="38">
        <v>0</v>
      </c>
      <c r="P69" s="37">
        <v>1</v>
      </c>
      <c r="Q69" s="87">
        <v>0</v>
      </c>
      <c r="R69" s="37">
        <v>1</v>
      </c>
      <c r="S69" s="38"/>
      <c r="T69" s="37">
        <v>1</v>
      </c>
      <c r="U69" s="38"/>
      <c r="V69" s="37">
        <v>1</v>
      </c>
      <c r="W69" s="38"/>
      <c r="X69" s="37">
        <v>1</v>
      </c>
      <c r="Y69" s="38"/>
      <c r="Z69" s="37">
        <v>1</v>
      </c>
      <c r="AA69" s="38"/>
      <c r="AB69" s="37">
        <v>1</v>
      </c>
      <c r="AC69" s="38"/>
      <c r="AD69" s="37">
        <v>1</v>
      </c>
      <c r="AE69" s="38"/>
      <c r="AF69" s="37">
        <v>1</v>
      </c>
      <c r="AG69" s="38"/>
      <c r="AH69" s="37">
        <v>1</v>
      </c>
      <c r="AI69" s="38"/>
      <c r="AJ69" s="37">
        <v>1</v>
      </c>
      <c r="AK69" s="38"/>
      <c r="AL69" s="37">
        <v>1</v>
      </c>
      <c r="AM69" s="38"/>
      <c r="AN69" s="37">
        <v>1</v>
      </c>
      <c r="AO69" s="38"/>
      <c r="AP69" s="37">
        <v>1</v>
      </c>
      <c r="AQ69" s="38"/>
      <c r="AR69" s="37">
        <v>1</v>
      </c>
      <c r="AS69" s="38"/>
      <c r="AT69" s="44">
        <v>1</v>
      </c>
      <c r="AU69" s="39"/>
      <c r="AV69" s="69">
        <f t="shared" si="48"/>
        <v>0</v>
      </c>
      <c r="AW69" s="38">
        <f t="shared" si="49"/>
        <v>0</v>
      </c>
      <c r="AX69" s="38">
        <f t="shared" si="50"/>
        <v>-1</v>
      </c>
      <c r="AY69" s="38">
        <f t="shared" si="51"/>
        <v>-1</v>
      </c>
      <c r="AZ69" s="38">
        <f t="shared" si="52"/>
        <v>-1</v>
      </c>
      <c r="BA69" s="38">
        <f t="shared" si="53"/>
        <v>-1</v>
      </c>
      <c r="BB69" s="38">
        <f t="shared" si="54"/>
        <v>-1</v>
      </c>
      <c r="BC69" s="38">
        <f t="shared" si="40"/>
        <v>-1</v>
      </c>
      <c r="BD69" s="38"/>
      <c r="BE69" s="38"/>
      <c r="BF69" s="38"/>
      <c r="BG69" s="38"/>
      <c r="BH69" s="38"/>
      <c r="BI69" s="38"/>
      <c r="BJ69" s="38"/>
      <c r="BK69" s="38"/>
      <c r="BL69" s="38"/>
      <c r="BM69" s="38"/>
      <c r="BN69" s="38"/>
      <c r="BO69" s="38"/>
      <c r="BP69" s="38"/>
      <c r="BQ69" s="38"/>
      <c r="BR69" s="39"/>
    </row>
    <row r="70" spans="1:70" x14ac:dyDescent="0.35">
      <c r="A70" s="33" t="s">
        <v>137</v>
      </c>
      <c r="B70" s="34">
        <v>0</v>
      </c>
      <c r="C70" s="35">
        <v>0</v>
      </c>
      <c r="D70" s="34">
        <v>0</v>
      </c>
      <c r="E70" s="35">
        <v>0</v>
      </c>
      <c r="F70" s="34">
        <v>1</v>
      </c>
      <c r="G70" s="35">
        <v>0</v>
      </c>
      <c r="H70" s="34">
        <v>1</v>
      </c>
      <c r="I70" s="35">
        <v>0</v>
      </c>
      <c r="J70" s="34">
        <v>1</v>
      </c>
      <c r="K70" s="35">
        <v>0</v>
      </c>
      <c r="L70" s="34">
        <v>1</v>
      </c>
      <c r="M70" s="35">
        <v>0</v>
      </c>
      <c r="N70" s="34">
        <v>1</v>
      </c>
      <c r="O70" s="35">
        <v>0</v>
      </c>
      <c r="P70" s="34">
        <v>1</v>
      </c>
      <c r="Q70" s="87">
        <v>0</v>
      </c>
      <c r="R70" s="34">
        <v>1</v>
      </c>
      <c r="S70" s="35"/>
      <c r="T70" s="34">
        <v>1</v>
      </c>
      <c r="U70" s="35"/>
      <c r="V70" s="34">
        <v>1</v>
      </c>
      <c r="W70" s="35"/>
      <c r="X70" s="34">
        <v>1</v>
      </c>
      <c r="Y70" s="35"/>
      <c r="Z70" s="34">
        <v>1</v>
      </c>
      <c r="AA70" s="35"/>
      <c r="AB70" s="34">
        <v>1</v>
      </c>
      <c r="AC70" s="35"/>
      <c r="AD70" s="34">
        <v>1</v>
      </c>
      <c r="AE70" s="35"/>
      <c r="AF70" s="34">
        <v>1</v>
      </c>
      <c r="AG70" s="35"/>
      <c r="AH70" s="34">
        <v>1</v>
      </c>
      <c r="AI70" s="35"/>
      <c r="AJ70" s="34">
        <v>1</v>
      </c>
      <c r="AK70" s="35"/>
      <c r="AL70" s="34">
        <v>1</v>
      </c>
      <c r="AM70" s="35"/>
      <c r="AN70" s="34">
        <v>1</v>
      </c>
      <c r="AO70" s="35"/>
      <c r="AP70" s="34">
        <v>1</v>
      </c>
      <c r="AQ70" s="35"/>
      <c r="AR70" s="34">
        <v>1</v>
      </c>
      <c r="AS70" s="35"/>
      <c r="AT70" s="45">
        <v>1</v>
      </c>
      <c r="AU70" s="36"/>
      <c r="AV70" s="68">
        <f t="shared" si="48"/>
        <v>0</v>
      </c>
      <c r="AW70" s="35">
        <f t="shared" si="49"/>
        <v>0</v>
      </c>
      <c r="AX70" s="35">
        <f t="shared" si="50"/>
        <v>-1</v>
      </c>
      <c r="AY70" s="35">
        <f t="shared" si="51"/>
        <v>-1</v>
      </c>
      <c r="AZ70" s="35">
        <f t="shared" si="52"/>
        <v>-1</v>
      </c>
      <c r="BA70" s="35">
        <f t="shared" si="53"/>
        <v>-1</v>
      </c>
      <c r="BB70" s="35">
        <f t="shared" si="54"/>
        <v>-1</v>
      </c>
      <c r="BC70" s="35">
        <f t="shared" si="40"/>
        <v>-1</v>
      </c>
      <c r="BD70" s="35"/>
      <c r="BE70" s="35"/>
      <c r="BF70" s="35"/>
      <c r="BG70" s="35"/>
      <c r="BH70" s="35"/>
      <c r="BI70" s="35"/>
      <c r="BJ70" s="35"/>
      <c r="BK70" s="35"/>
      <c r="BL70" s="35"/>
      <c r="BM70" s="35"/>
      <c r="BN70" s="35"/>
      <c r="BO70" s="35"/>
      <c r="BP70" s="35"/>
      <c r="BQ70" s="35"/>
      <c r="BR70" s="36"/>
    </row>
    <row r="71" spans="1:70" x14ac:dyDescent="0.35">
      <c r="A71" s="29" t="s">
        <v>138</v>
      </c>
      <c r="B71" s="37">
        <v>0</v>
      </c>
      <c r="C71" s="38">
        <v>0</v>
      </c>
      <c r="D71" s="37">
        <v>2</v>
      </c>
      <c r="E71" s="38">
        <v>0</v>
      </c>
      <c r="F71" s="37">
        <v>2</v>
      </c>
      <c r="G71" s="38">
        <v>1</v>
      </c>
      <c r="H71" s="37">
        <v>2</v>
      </c>
      <c r="I71" s="38">
        <v>1</v>
      </c>
      <c r="J71" s="37">
        <v>2</v>
      </c>
      <c r="K71" s="38">
        <v>0</v>
      </c>
      <c r="L71" s="37">
        <v>2</v>
      </c>
      <c r="M71" s="38">
        <v>0</v>
      </c>
      <c r="N71" s="37">
        <v>2</v>
      </c>
      <c r="O71" s="38">
        <v>1</v>
      </c>
      <c r="P71" s="37">
        <v>2</v>
      </c>
      <c r="Q71" s="87">
        <v>1</v>
      </c>
      <c r="R71" s="37">
        <v>2</v>
      </c>
      <c r="S71" s="38"/>
      <c r="T71" s="37">
        <v>2</v>
      </c>
      <c r="U71" s="38"/>
      <c r="V71" s="37">
        <v>2</v>
      </c>
      <c r="W71" s="38"/>
      <c r="X71" s="37">
        <v>2</v>
      </c>
      <c r="Y71" s="38"/>
      <c r="Z71" s="37">
        <v>2</v>
      </c>
      <c r="AA71" s="38"/>
      <c r="AB71" s="37">
        <v>2</v>
      </c>
      <c r="AC71" s="38"/>
      <c r="AD71" s="37">
        <v>2</v>
      </c>
      <c r="AE71" s="38"/>
      <c r="AF71" s="37">
        <v>2</v>
      </c>
      <c r="AG71" s="38"/>
      <c r="AH71" s="37">
        <v>2</v>
      </c>
      <c r="AI71" s="38"/>
      <c r="AJ71" s="37">
        <v>2</v>
      </c>
      <c r="AK71" s="38"/>
      <c r="AL71" s="37">
        <v>2</v>
      </c>
      <c r="AM71" s="38"/>
      <c r="AN71" s="37">
        <v>2</v>
      </c>
      <c r="AO71" s="38"/>
      <c r="AP71" s="37">
        <v>2</v>
      </c>
      <c r="AQ71" s="38"/>
      <c r="AR71" s="37">
        <v>2</v>
      </c>
      <c r="AS71" s="38"/>
      <c r="AT71" s="44">
        <v>1</v>
      </c>
      <c r="AU71" s="39"/>
      <c r="AV71" s="69">
        <f t="shared" si="48"/>
        <v>0</v>
      </c>
      <c r="AW71" s="38">
        <f t="shared" si="49"/>
        <v>-2</v>
      </c>
      <c r="AX71" s="38">
        <f t="shared" si="50"/>
        <v>-1</v>
      </c>
      <c r="AY71" s="38">
        <f t="shared" si="51"/>
        <v>-1</v>
      </c>
      <c r="AZ71" s="38">
        <f t="shared" si="52"/>
        <v>-2</v>
      </c>
      <c r="BA71" s="38">
        <f t="shared" si="53"/>
        <v>-2</v>
      </c>
      <c r="BB71" s="38">
        <f t="shared" si="54"/>
        <v>-1</v>
      </c>
      <c r="BC71" s="38">
        <f t="shared" si="40"/>
        <v>-1</v>
      </c>
      <c r="BD71" s="38"/>
      <c r="BE71" s="38"/>
      <c r="BF71" s="38"/>
      <c r="BG71" s="38"/>
      <c r="BH71" s="38"/>
      <c r="BI71" s="38"/>
      <c r="BJ71" s="38"/>
      <c r="BK71" s="38"/>
      <c r="BL71" s="38"/>
      <c r="BM71" s="38"/>
      <c r="BN71" s="38"/>
      <c r="BO71" s="38"/>
      <c r="BP71" s="38"/>
      <c r="BQ71" s="38"/>
      <c r="BR71" s="39"/>
    </row>
    <row r="72" spans="1:70" x14ac:dyDescent="0.35">
      <c r="A72" s="33" t="s">
        <v>139</v>
      </c>
      <c r="B72" s="34">
        <v>0</v>
      </c>
      <c r="C72" s="35">
        <v>0</v>
      </c>
      <c r="D72" s="34">
        <v>0</v>
      </c>
      <c r="E72" s="35">
        <v>0</v>
      </c>
      <c r="F72" s="34">
        <v>1</v>
      </c>
      <c r="G72" s="35">
        <v>0</v>
      </c>
      <c r="H72" s="34">
        <v>1</v>
      </c>
      <c r="I72" s="35">
        <v>1</v>
      </c>
      <c r="J72" s="34">
        <v>1</v>
      </c>
      <c r="K72" s="35">
        <v>1</v>
      </c>
      <c r="L72" s="34">
        <v>1</v>
      </c>
      <c r="M72" s="35">
        <v>1</v>
      </c>
      <c r="N72" s="34">
        <v>1</v>
      </c>
      <c r="O72" s="35">
        <v>1</v>
      </c>
      <c r="P72" s="34">
        <v>1</v>
      </c>
      <c r="Q72" s="87">
        <v>1</v>
      </c>
      <c r="R72" s="34">
        <v>1</v>
      </c>
      <c r="S72" s="35"/>
      <c r="T72" s="34">
        <v>1</v>
      </c>
      <c r="U72" s="35"/>
      <c r="V72" s="34">
        <v>1</v>
      </c>
      <c r="W72" s="35"/>
      <c r="X72" s="34">
        <v>1</v>
      </c>
      <c r="Y72" s="35"/>
      <c r="Z72" s="34">
        <v>1</v>
      </c>
      <c r="AA72" s="35"/>
      <c r="AB72" s="34">
        <v>1</v>
      </c>
      <c r="AC72" s="35"/>
      <c r="AD72" s="34">
        <v>1</v>
      </c>
      <c r="AE72" s="35"/>
      <c r="AF72" s="34">
        <v>1</v>
      </c>
      <c r="AG72" s="35"/>
      <c r="AH72" s="34">
        <v>1</v>
      </c>
      <c r="AI72" s="35"/>
      <c r="AJ72" s="34">
        <v>1</v>
      </c>
      <c r="AK72" s="35"/>
      <c r="AL72" s="34">
        <v>1</v>
      </c>
      <c r="AM72" s="35"/>
      <c r="AN72" s="34">
        <v>1</v>
      </c>
      <c r="AO72" s="35"/>
      <c r="AP72" s="34">
        <v>1</v>
      </c>
      <c r="AQ72" s="35"/>
      <c r="AR72" s="34">
        <v>1</v>
      </c>
      <c r="AS72" s="35"/>
      <c r="AT72" s="45">
        <v>1</v>
      </c>
      <c r="AU72" s="36"/>
      <c r="AV72" s="68">
        <f t="shared" si="48"/>
        <v>0</v>
      </c>
      <c r="AW72" s="35">
        <f t="shared" si="49"/>
        <v>0</v>
      </c>
      <c r="AX72" s="35">
        <f t="shared" si="50"/>
        <v>-1</v>
      </c>
      <c r="AY72" s="35">
        <f t="shared" si="51"/>
        <v>0</v>
      </c>
      <c r="AZ72" s="35">
        <f t="shared" si="52"/>
        <v>0</v>
      </c>
      <c r="BA72" s="35">
        <f t="shared" si="53"/>
        <v>0</v>
      </c>
      <c r="BB72" s="35">
        <f t="shared" si="54"/>
        <v>0</v>
      </c>
      <c r="BC72" s="35">
        <f t="shared" si="40"/>
        <v>0</v>
      </c>
      <c r="BD72" s="35"/>
      <c r="BE72" s="35"/>
      <c r="BF72" s="35"/>
      <c r="BG72" s="35"/>
      <c r="BH72" s="35"/>
      <c r="BI72" s="35"/>
      <c r="BJ72" s="35"/>
      <c r="BK72" s="35"/>
      <c r="BL72" s="35"/>
      <c r="BM72" s="35"/>
      <c r="BN72" s="35"/>
      <c r="BO72" s="35"/>
      <c r="BP72" s="35"/>
      <c r="BQ72" s="35"/>
      <c r="BR72" s="36"/>
    </row>
    <row r="73" spans="1:70" x14ac:dyDescent="0.35">
      <c r="A73" s="29" t="s">
        <v>140</v>
      </c>
      <c r="B73" s="37">
        <v>0</v>
      </c>
      <c r="C73" s="38">
        <v>0</v>
      </c>
      <c r="D73" s="37">
        <v>0</v>
      </c>
      <c r="E73" s="38">
        <v>0</v>
      </c>
      <c r="F73" s="37">
        <v>1</v>
      </c>
      <c r="G73" s="38">
        <v>0</v>
      </c>
      <c r="H73" s="37">
        <v>1</v>
      </c>
      <c r="I73" s="38">
        <v>1</v>
      </c>
      <c r="J73" s="37">
        <v>1</v>
      </c>
      <c r="K73" s="38">
        <v>1</v>
      </c>
      <c r="L73" s="37">
        <v>1</v>
      </c>
      <c r="M73" s="38">
        <v>1</v>
      </c>
      <c r="N73" s="37">
        <v>1</v>
      </c>
      <c r="O73" s="38">
        <v>1</v>
      </c>
      <c r="P73" s="37">
        <v>1</v>
      </c>
      <c r="Q73" s="87">
        <v>1</v>
      </c>
      <c r="R73" s="37">
        <v>1</v>
      </c>
      <c r="S73" s="38"/>
      <c r="T73" s="37">
        <v>1</v>
      </c>
      <c r="U73" s="38"/>
      <c r="V73" s="37">
        <v>1</v>
      </c>
      <c r="W73" s="38"/>
      <c r="X73" s="37">
        <v>1</v>
      </c>
      <c r="Y73" s="38"/>
      <c r="Z73" s="37">
        <v>1</v>
      </c>
      <c r="AA73" s="38"/>
      <c r="AB73" s="37">
        <v>1</v>
      </c>
      <c r="AC73" s="38"/>
      <c r="AD73" s="37">
        <v>1</v>
      </c>
      <c r="AE73" s="38"/>
      <c r="AF73" s="37">
        <v>1</v>
      </c>
      <c r="AG73" s="38"/>
      <c r="AH73" s="37">
        <v>1</v>
      </c>
      <c r="AI73" s="38"/>
      <c r="AJ73" s="37">
        <v>1</v>
      </c>
      <c r="AK73" s="38"/>
      <c r="AL73" s="37">
        <v>1</v>
      </c>
      <c r="AM73" s="38"/>
      <c r="AN73" s="37">
        <v>1</v>
      </c>
      <c r="AO73" s="38"/>
      <c r="AP73" s="37">
        <v>1</v>
      </c>
      <c r="AQ73" s="38"/>
      <c r="AR73" s="37">
        <v>1</v>
      </c>
      <c r="AS73" s="38"/>
      <c r="AT73" s="44">
        <v>1</v>
      </c>
      <c r="AU73" s="39"/>
      <c r="AV73" s="69">
        <f t="shared" si="48"/>
        <v>0</v>
      </c>
      <c r="AW73" s="38">
        <f t="shared" si="49"/>
        <v>0</v>
      </c>
      <c r="AX73" s="38">
        <f t="shared" si="50"/>
        <v>-1</v>
      </c>
      <c r="AY73" s="38">
        <f t="shared" si="51"/>
        <v>0</v>
      </c>
      <c r="AZ73" s="38">
        <f t="shared" si="52"/>
        <v>0</v>
      </c>
      <c r="BA73" s="38">
        <f t="shared" si="53"/>
        <v>0</v>
      </c>
      <c r="BB73" s="38">
        <f t="shared" si="54"/>
        <v>0</v>
      </c>
      <c r="BC73" s="38">
        <f t="shared" si="40"/>
        <v>0</v>
      </c>
      <c r="BD73" s="38"/>
      <c r="BE73" s="38"/>
      <c r="BF73" s="38"/>
      <c r="BG73" s="38"/>
      <c r="BH73" s="38"/>
      <c r="BI73" s="38"/>
      <c r="BJ73" s="38"/>
      <c r="BK73" s="38"/>
      <c r="BL73" s="38"/>
      <c r="BM73" s="38"/>
      <c r="BN73" s="38"/>
      <c r="BO73" s="38"/>
      <c r="BP73" s="38"/>
      <c r="BQ73" s="38"/>
      <c r="BR73" s="39"/>
    </row>
    <row r="74" spans="1:70" x14ac:dyDescent="0.35">
      <c r="A74" s="33" t="s">
        <v>141</v>
      </c>
      <c r="B74" s="34">
        <v>0</v>
      </c>
      <c r="C74" s="35">
        <v>0</v>
      </c>
      <c r="D74" s="34">
        <v>0</v>
      </c>
      <c r="E74" s="35">
        <v>0</v>
      </c>
      <c r="F74" s="34">
        <v>1</v>
      </c>
      <c r="G74" s="35">
        <v>1</v>
      </c>
      <c r="H74" s="34">
        <v>1</v>
      </c>
      <c r="I74" s="35">
        <v>1</v>
      </c>
      <c r="J74" s="34">
        <v>1</v>
      </c>
      <c r="K74" s="35">
        <v>1</v>
      </c>
      <c r="L74" s="34">
        <v>1</v>
      </c>
      <c r="M74" s="35">
        <v>1</v>
      </c>
      <c r="N74" s="34">
        <v>1</v>
      </c>
      <c r="O74" s="35">
        <v>2</v>
      </c>
      <c r="P74" s="34">
        <v>1</v>
      </c>
      <c r="Q74" s="87">
        <v>2</v>
      </c>
      <c r="R74" s="34">
        <v>1</v>
      </c>
      <c r="S74" s="35"/>
      <c r="T74" s="34">
        <v>1</v>
      </c>
      <c r="U74" s="35"/>
      <c r="V74" s="34">
        <v>1</v>
      </c>
      <c r="W74" s="35"/>
      <c r="X74" s="34">
        <v>1</v>
      </c>
      <c r="Y74" s="35"/>
      <c r="Z74" s="34">
        <v>1</v>
      </c>
      <c r="AA74" s="35"/>
      <c r="AB74" s="34">
        <v>1</v>
      </c>
      <c r="AC74" s="35"/>
      <c r="AD74" s="34">
        <v>1</v>
      </c>
      <c r="AE74" s="35"/>
      <c r="AF74" s="34">
        <v>1</v>
      </c>
      <c r="AG74" s="35"/>
      <c r="AH74" s="34">
        <v>1</v>
      </c>
      <c r="AI74" s="35"/>
      <c r="AJ74" s="34">
        <v>1</v>
      </c>
      <c r="AK74" s="35"/>
      <c r="AL74" s="34">
        <v>1</v>
      </c>
      <c r="AM74" s="35"/>
      <c r="AN74" s="34">
        <v>1</v>
      </c>
      <c r="AO74" s="35"/>
      <c r="AP74" s="34">
        <v>1</v>
      </c>
      <c r="AQ74" s="35"/>
      <c r="AR74" s="34">
        <v>1</v>
      </c>
      <c r="AS74" s="35"/>
      <c r="AT74" s="45">
        <v>1</v>
      </c>
      <c r="AU74" s="36"/>
      <c r="AV74" s="68">
        <f t="shared" si="48"/>
        <v>0</v>
      </c>
      <c r="AW74" s="35">
        <f t="shared" si="49"/>
        <v>0</v>
      </c>
      <c r="AX74" s="35">
        <f t="shared" si="50"/>
        <v>0</v>
      </c>
      <c r="AY74" s="35">
        <f t="shared" si="51"/>
        <v>0</v>
      </c>
      <c r="AZ74" s="35">
        <f t="shared" si="52"/>
        <v>0</v>
      </c>
      <c r="BA74" s="35">
        <f t="shared" si="53"/>
        <v>0</v>
      </c>
      <c r="BB74" s="35">
        <f t="shared" si="54"/>
        <v>1</v>
      </c>
      <c r="BC74" s="35">
        <f t="shared" si="40"/>
        <v>1</v>
      </c>
      <c r="BD74" s="35"/>
      <c r="BE74" s="35"/>
      <c r="BF74" s="35"/>
      <c r="BG74" s="35"/>
      <c r="BH74" s="35"/>
      <c r="BI74" s="35"/>
      <c r="BJ74" s="35"/>
      <c r="BK74" s="35"/>
      <c r="BL74" s="35"/>
      <c r="BM74" s="35"/>
      <c r="BN74" s="35"/>
      <c r="BO74" s="35"/>
      <c r="BP74" s="35"/>
      <c r="BQ74" s="35"/>
      <c r="BR74" s="36"/>
    </row>
    <row r="75" spans="1:70" x14ac:dyDescent="0.35">
      <c r="A75" s="29" t="s">
        <v>142</v>
      </c>
      <c r="B75" s="37">
        <v>0</v>
      </c>
      <c r="C75" s="38">
        <v>0</v>
      </c>
      <c r="D75" s="37">
        <v>0</v>
      </c>
      <c r="E75" s="38">
        <v>2</v>
      </c>
      <c r="F75" s="37">
        <v>3</v>
      </c>
      <c r="G75" s="38">
        <v>2</v>
      </c>
      <c r="H75" s="37">
        <v>3</v>
      </c>
      <c r="I75" s="38">
        <v>2</v>
      </c>
      <c r="J75" s="37">
        <v>3</v>
      </c>
      <c r="K75" s="38">
        <v>2</v>
      </c>
      <c r="L75" s="37">
        <v>3</v>
      </c>
      <c r="M75" s="38">
        <v>3</v>
      </c>
      <c r="N75" s="37">
        <v>3</v>
      </c>
      <c r="O75" s="38">
        <v>4</v>
      </c>
      <c r="P75" s="37">
        <v>3</v>
      </c>
      <c r="Q75" s="87">
        <v>3</v>
      </c>
      <c r="R75" s="37">
        <v>3</v>
      </c>
      <c r="S75" s="38"/>
      <c r="T75" s="37">
        <v>3</v>
      </c>
      <c r="U75" s="38"/>
      <c r="V75" s="37">
        <v>3</v>
      </c>
      <c r="W75" s="38"/>
      <c r="X75" s="37">
        <v>3</v>
      </c>
      <c r="Y75" s="38"/>
      <c r="Z75" s="37">
        <v>3</v>
      </c>
      <c r="AA75" s="38"/>
      <c r="AB75" s="37">
        <v>3</v>
      </c>
      <c r="AC75" s="38"/>
      <c r="AD75" s="37">
        <v>3</v>
      </c>
      <c r="AE75" s="38"/>
      <c r="AF75" s="37">
        <v>3</v>
      </c>
      <c r="AG75" s="38"/>
      <c r="AH75" s="37">
        <v>3</v>
      </c>
      <c r="AI75" s="38"/>
      <c r="AJ75" s="37">
        <v>3</v>
      </c>
      <c r="AK75" s="38"/>
      <c r="AL75" s="37">
        <v>3</v>
      </c>
      <c r="AM75" s="38"/>
      <c r="AN75" s="37">
        <v>3</v>
      </c>
      <c r="AO75" s="38"/>
      <c r="AP75" s="37">
        <v>3</v>
      </c>
      <c r="AQ75" s="38"/>
      <c r="AR75" s="37">
        <v>3</v>
      </c>
      <c r="AS75" s="38"/>
      <c r="AT75" s="44">
        <v>3</v>
      </c>
      <c r="AU75" s="39"/>
      <c r="AV75" s="69">
        <f t="shared" si="48"/>
        <v>0</v>
      </c>
      <c r="AW75" s="38">
        <f t="shared" si="49"/>
        <v>2</v>
      </c>
      <c r="AX75" s="38">
        <f t="shared" si="50"/>
        <v>-1</v>
      </c>
      <c r="AY75" s="38">
        <f t="shared" si="51"/>
        <v>-1</v>
      </c>
      <c r="AZ75" s="38">
        <f t="shared" si="52"/>
        <v>-1</v>
      </c>
      <c r="BA75" s="38">
        <f t="shared" si="53"/>
        <v>0</v>
      </c>
      <c r="BB75" s="38">
        <f t="shared" si="54"/>
        <v>1</v>
      </c>
      <c r="BC75" s="38">
        <f t="shared" si="40"/>
        <v>0</v>
      </c>
      <c r="BD75" s="38"/>
      <c r="BE75" s="38"/>
      <c r="BF75" s="38"/>
      <c r="BG75" s="38"/>
      <c r="BH75" s="38"/>
      <c r="BI75" s="38"/>
      <c r="BJ75" s="38"/>
      <c r="BK75" s="38"/>
      <c r="BL75" s="38"/>
      <c r="BM75" s="38"/>
      <c r="BN75" s="38"/>
      <c r="BO75" s="38"/>
      <c r="BP75" s="38"/>
      <c r="BQ75" s="38"/>
      <c r="BR75" s="39"/>
    </row>
    <row r="76" spans="1:70" x14ac:dyDescent="0.35">
      <c r="A76" s="33" t="s">
        <v>143</v>
      </c>
      <c r="B76" s="34">
        <v>0</v>
      </c>
      <c r="C76" s="35">
        <v>0</v>
      </c>
      <c r="D76" s="34">
        <v>0</v>
      </c>
      <c r="E76" s="35">
        <v>2</v>
      </c>
      <c r="F76" s="34">
        <v>1</v>
      </c>
      <c r="G76" s="35">
        <v>3</v>
      </c>
      <c r="H76" s="34">
        <v>6</v>
      </c>
      <c r="I76" s="35">
        <v>4</v>
      </c>
      <c r="J76" s="34">
        <v>6</v>
      </c>
      <c r="K76" s="35">
        <v>6</v>
      </c>
      <c r="L76" s="34">
        <v>6</v>
      </c>
      <c r="M76" s="35">
        <v>6</v>
      </c>
      <c r="N76" s="34">
        <v>6</v>
      </c>
      <c r="O76" s="35">
        <v>6</v>
      </c>
      <c r="P76" s="34">
        <v>6</v>
      </c>
      <c r="Q76" s="87">
        <v>7</v>
      </c>
      <c r="R76" s="34">
        <v>6</v>
      </c>
      <c r="S76" s="35"/>
      <c r="T76" s="34">
        <v>6</v>
      </c>
      <c r="U76" s="35"/>
      <c r="V76" s="34">
        <v>6</v>
      </c>
      <c r="W76" s="35"/>
      <c r="X76" s="34">
        <v>6</v>
      </c>
      <c r="Y76" s="35"/>
      <c r="Z76" s="34">
        <v>6</v>
      </c>
      <c r="AA76" s="35"/>
      <c r="AB76" s="34">
        <v>6</v>
      </c>
      <c r="AC76" s="35"/>
      <c r="AD76" s="34">
        <v>6</v>
      </c>
      <c r="AE76" s="35"/>
      <c r="AF76" s="34">
        <v>6</v>
      </c>
      <c r="AG76" s="35"/>
      <c r="AH76" s="34">
        <v>6</v>
      </c>
      <c r="AI76" s="35"/>
      <c r="AJ76" s="34">
        <v>6</v>
      </c>
      <c r="AK76" s="35"/>
      <c r="AL76" s="34">
        <v>6</v>
      </c>
      <c r="AM76" s="35"/>
      <c r="AN76" s="34">
        <v>6</v>
      </c>
      <c r="AO76" s="35"/>
      <c r="AP76" s="34">
        <v>6</v>
      </c>
      <c r="AQ76" s="35"/>
      <c r="AR76" s="34">
        <v>6</v>
      </c>
      <c r="AS76" s="35"/>
      <c r="AT76" s="45">
        <v>6</v>
      </c>
      <c r="AU76" s="36"/>
      <c r="AV76" s="68">
        <f t="shared" si="48"/>
        <v>0</v>
      </c>
      <c r="AW76" s="35">
        <f t="shared" si="49"/>
        <v>2</v>
      </c>
      <c r="AX76" s="35">
        <f t="shared" si="50"/>
        <v>2</v>
      </c>
      <c r="AY76" s="35">
        <f t="shared" si="51"/>
        <v>-2</v>
      </c>
      <c r="AZ76" s="35">
        <f t="shared" si="52"/>
        <v>0</v>
      </c>
      <c r="BA76" s="35">
        <f t="shared" si="53"/>
        <v>0</v>
      </c>
      <c r="BB76" s="35">
        <f t="shared" si="54"/>
        <v>0</v>
      </c>
      <c r="BC76" s="35">
        <f t="shared" si="40"/>
        <v>1</v>
      </c>
      <c r="BD76" s="35"/>
      <c r="BE76" s="35"/>
      <c r="BF76" s="35"/>
      <c r="BG76" s="35"/>
      <c r="BH76" s="35"/>
      <c r="BI76" s="35"/>
      <c r="BJ76" s="35"/>
      <c r="BK76" s="35"/>
      <c r="BL76" s="35"/>
      <c r="BM76" s="35"/>
      <c r="BN76" s="35"/>
      <c r="BO76" s="35"/>
      <c r="BP76" s="35"/>
      <c r="BQ76" s="35"/>
      <c r="BR76" s="36"/>
    </row>
    <row r="77" spans="1:70" x14ac:dyDescent="0.35">
      <c r="A77" s="29" t="s">
        <v>144</v>
      </c>
      <c r="B77" s="37">
        <v>0</v>
      </c>
      <c r="C77" s="38">
        <v>0</v>
      </c>
      <c r="D77" s="37">
        <v>0</v>
      </c>
      <c r="E77" s="38">
        <v>1</v>
      </c>
      <c r="F77" s="37">
        <v>1</v>
      </c>
      <c r="G77" s="38">
        <v>1</v>
      </c>
      <c r="H77" s="37">
        <v>1</v>
      </c>
      <c r="I77" s="38">
        <v>1</v>
      </c>
      <c r="J77" s="37">
        <v>1</v>
      </c>
      <c r="K77" s="38">
        <v>1</v>
      </c>
      <c r="L77" s="37">
        <v>1</v>
      </c>
      <c r="M77" s="38">
        <v>1</v>
      </c>
      <c r="N77" s="37">
        <v>1</v>
      </c>
      <c r="O77" s="38">
        <v>0</v>
      </c>
      <c r="P77" s="37">
        <v>1</v>
      </c>
      <c r="Q77" s="87">
        <v>0</v>
      </c>
      <c r="R77" s="37">
        <v>1</v>
      </c>
      <c r="S77" s="38"/>
      <c r="T77" s="37">
        <v>1</v>
      </c>
      <c r="U77" s="38"/>
      <c r="V77" s="37">
        <v>1</v>
      </c>
      <c r="W77" s="38"/>
      <c r="X77" s="37">
        <v>1</v>
      </c>
      <c r="Y77" s="38"/>
      <c r="Z77" s="37">
        <v>1</v>
      </c>
      <c r="AA77" s="38"/>
      <c r="AB77" s="37">
        <v>1</v>
      </c>
      <c r="AC77" s="38"/>
      <c r="AD77" s="37">
        <v>1</v>
      </c>
      <c r="AE77" s="38"/>
      <c r="AF77" s="37">
        <v>1</v>
      </c>
      <c r="AG77" s="38"/>
      <c r="AH77" s="37">
        <v>1</v>
      </c>
      <c r="AI77" s="38"/>
      <c r="AJ77" s="37">
        <v>1</v>
      </c>
      <c r="AK77" s="38"/>
      <c r="AL77" s="37">
        <v>1</v>
      </c>
      <c r="AM77" s="38"/>
      <c r="AN77" s="37">
        <v>1</v>
      </c>
      <c r="AO77" s="38"/>
      <c r="AP77" s="37">
        <v>1</v>
      </c>
      <c r="AQ77" s="38"/>
      <c r="AR77" s="37">
        <v>1</v>
      </c>
      <c r="AS77" s="38"/>
      <c r="AT77" s="44">
        <v>0.5</v>
      </c>
      <c r="AU77" s="39"/>
      <c r="AV77" s="69">
        <f t="shared" si="48"/>
        <v>0</v>
      </c>
      <c r="AW77" s="38">
        <f t="shared" si="49"/>
        <v>1</v>
      </c>
      <c r="AX77" s="38">
        <f t="shared" si="50"/>
        <v>0</v>
      </c>
      <c r="AY77" s="38">
        <f t="shared" si="51"/>
        <v>0</v>
      </c>
      <c r="AZ77" s="38">
        <f t="shared" si="52"/>
        <v>0</v>
      </c>
      <c r="BA77" s="38">
        <f t="shared" si="53"/>
        <v>0</v>
      </c>
      <c r="BB77" s="38">
        <f t="shared" si="54"/>
        <v>-1</v>
      </c>
      <c r="BC77" s="38">
        <f t="shared" si="40"/>
        <v>-1</v>
      </c>
      <c r="BD77" s="38"/>
      <c r="BE77" s="38"/>
      <c r="BF77" s="38"/>
      <c r="BG77" s="38"/>
      <c r="BH77" s="38"/>
      <c r="BI77" s="38"/>
      <c r="BJ77" s="38"/>
      <c r="BK77" s="38"/>
      <c r="BL77" s="38"/>
      <c r="BM77" s="38"/>
      <c r="BN77" s="38"/>
      <c r="BO77" s="38"/>
      <c r="BP77" s="38"/>
      <c r="BQ77" s="38"/>
      <c r="BR77" s="39"/>
    </row>
    <row r="78" spans="1:70" ht="15" thickBot="1" x14ac:dyDescent="0.4">
      <c r="A78" s="40" t="s">
        <v>145</v>
      </c>
      <c r="B78" s="41">
        <v>0</v>
      </c>
      <c r="C78" s="42">
        <v>0</v>
      </c>
      <c r="D78" s="41">
        <v>1</v>
      </c>
      <c r="E78" s="42">
        <v>2</v>
      </c>
      <c r="F78" s="41">
        <v>1</v>
      </c>
      <c r="G78" s="42">
        <v>2</v>
      </c>
      <c r="H78" s="41">
        <v>1</v>
      </c>
      <c r="I78" s="42">
        <v>2</v>
      </c>
      <c r="J78" s="41">
        <v>1</v>
      </c>
      <c r="K78" s="42">
        <v>5</v>
      </c>
      <c r="L78" s="41">
        <v>1</v>
      </c>
      <c r="M78" s="42">
        <v>2</v>
      </c>
      <c r="N78" s="41">
        <v>1</v>
      </c>
      <c r="O78" s="42">
        <v>2</v>
      </c>
      <c r="P78" s="41">
        <v>1</v>
      </c>
      <c r="Q78" s="88">
        <v>3</v>
      </c>
      <c r="R78" s="41">
        <v>1</v>
      </c>
      <c r="S78" s="42"/>
      <c r="T78" s="41">
        <v>1</v>
      </c>
      <c r="U78" s="42"/>
      <c r="V78" s="41">
        <v>1</v>
      </c>
      <c r="W78" s="42"/>
      <c r="X78" s="41">
        <v>1</v>
      </c>
      <c r="Y78" s="42"/>
      <c r="Z78" s="41">
        <v>1</v>
      </c>
      <c r="AA78" s="42"/>
      <c r="AB78" s="41">
        <v>1</v>
      </c>
      <c r="AC78" s="42"/>
      <c r="AD78" s="41">
        <v>1</v>
      </c>
      <c r="AE78" s="42"/>
      <c r="AF78" s="41">
        <v>1</v>
      </c>
      <c r="AG78" s="42"/>
      <c r="AH78" s="41">
        <v>1</v>
      </c>
      <c r="AI78" s="42"/>
      <c r="AJ78" s="41">
        <v>1</v>
      </c>
      <c r="AK78" s="42"/>
      <c r="AL78" s="41">
        <v>1</v>
      </c>
      <c r="AM78" s="42"/>
      <c r="AN78" s="41">
        <v>1</v>
      </c>
      <c r="AO78" s="42"/>
      <c r="AP78" s="41">
        <v>1</v>
      </c>
      <c r="AQ78" s="42"/>
      <c r="AR78" s="41">
        <v>1</v>
      </c>
      <c r="AS78" s="42"/>
      <c r="AT78" s="46">
        <v>0.375</v>
      </c>
      <c r="AU78" s="43"/>
      <c r="AV78" s="70">
        <f t="shared" si="48"/>
        <v>0</v>
      </c>
      <c r="AW78" s="42">
        <f t="shared" si="49"/>
        <v>1</v>
      </c>
      <c r="AX78" s="42">
        <f t="shared" si="50"/>
        <v>1</v>
      </c>
      <c r="AY78" s="42">
        <f t="shared" si="51"/>
        <v>1</v>
      </c>
      <c r="AZ78" s="42">
        <f t="shared" si="52"/>
        <v>4</v>
      </c>
      <c r="BA78" s="42">
        <f t="shared" si="53"/>
        <v>1</v>
      </c>
      <c r="BB78" s="42">
        <f t="shared" si="54"/>
        <v>1</v>
      </c>
      <c r="BC78" s="42">
        <f t="shared" si="40"/>
        <v>2</v>
      </c>
      <c r="BD78" s="42"/>
      <c r="BE78" s="42"/>
      <c r="BF78" s="42"/>
      <c r="BG78" s="42"/>
      <c r="BH78" s="42"/>
      <c r="BI78" s="42"/>
      <c r="BJ78" s="42"/>
      <c r="BK78" s="42"/>
      <c r="BL78" s="42"/>
      <c r="BM78" s="42"/>
      <c r="BN78" s="42"/>
      <c r="BO78" s="42"/>
      <c r="BP78" s="42"/>
      <c r="BQ78" s="42"/>
      <c r="BR78" s="43"/>
    </row>
    <row r="79" spans="1:70" ht="15" thickBot="1" x14ac:dyDescent="0.4">
      <c r="A79" s="47" t="s">
        <v>102</v>
      </c>
      <c r="B79" s="48">
        <f>SUM(B37:B78)</f>
        <v>0</v>
      </c>
      <c r="C79" s="48">
        <f t="shared" ref="C79:BN79" si="55">SUM(C37:C78)</f>
        <v>4</v>
      </c>
      <c r="D79" s="48">
        <f t="shared" si="55"/>
        <v>32.5</v>
      </c>
      <c r="E79" s="48">
        <f t="shared" si="55"/>
        <v>34</v>
      </c>
      <c r="F79" s="48">
        <f t="shared" si="55"/>
        <v>97</v>
      </c>
      <c r="G79" s="48">
        <f t="shared" si="55"/>
        <v>56</v>
      </c>
      <c r="H79" s="48">
        <f t="shared" si="55"/>
        <v>104</v>
      </c>
      <c r="I79" s="48">
        <f t="shared" si="55"/>
        <v>64</v>
      </c>
      <c r="J79" s="48">
        <f t="shared" si="55"/>
        <v>107</v>
      </c>
      <c r="K79" s="48">
        <f t="shared" si="55"/>
        <v>72</v>
      </c>
      <c r="L79" s="48">
        <f t="shared" si="55"/>
        <v>107</v>
      </c>
      <c r="M79" s="48">
        <f t="shared" si="55"/>
        <v>84</v>
      </c>
      <c r="N79" s="48">
        <f t="shared" si="55"/>
        <v>107</v>
      </c>
      <c r="O79" s="48">
        <f t="shared" si="55"/>
        <v>88</v>
      </c>
      <c r="P79" s="48">
        <f t="shared" si="55"/>
        <v>107</v>
      </c>
      <c r="Q79" s="48">
        <f t="shared" si="55"/>
        <v>96</v>
      </c>
      <c r="R79" s="48">
        <f t="shared" si="55"/>
        <v>107</v>
      </c>
      <c r="S79" s="48">
        <f t="shared" si="55"/>
        <v>0</v>
      </c>
      <c r="T79" s="48">
        <f t="shared" si="55"/>
        <v>107</v>
      </c>
      <c r="U79" s="48">
        <f t="shared" si="55"/>
        <v>0</v>
      </c>
      <c r="V79" s="48">
        <f t="shared" si="55"/>
        <v>107</v>
      </c>
      <c r="W79" s="48">
        <f t="shared" si="55"/>
        <v>0</v>
      </c>
      <c r="X79" s="48">
        <f t="shared" si="55"/>
        <v>104</v>
      </c>
      <c r="Y79" s="48">
        <f t="shared" si="55"/>
        <v>0</v>
      </c>
      <c r="Z79" s="48">
        <f t="shared" si="55"/>
        <v>104</v>
      </c>
      <c r="AA79" s="48">
        <f t="shared" si="55"/>
        <v>0</v>
      </c>
      <c r="AB79" s="48">
        <f t="shared" si="55"/>
        <v>104</v>
      </c>
      <c r="AC79" s="48">
        <f t="shared" si="55"/>
        <v>0</v>
      </c>
      <c r="AD79" s="48">
        <f t="shared" si="55"/>
        <v>107</v>
      </c>
      <c r="AE79" s="48">
        <f t="shared" si="55"/>
        <v>0</v>
      </c>
      <c r="AF79" s="48">
        <f t="shared" si="55"/>
        <v>108</v>
      </c>
      <c r="AG79" s="48">
        <f t="shared" si="55"/>
        <v>0</v>
      </c>
      <c r="AH79" s="48">
        <f t="shared" si="55"/>
        <v>108</v>
      </c>
      <c r="AI79" s="48">
        <f t="shared" si="55"/>
        <v>0</v>
      </c>
      <c r="AJ79" s="48">
        <f t="shared" si="55"/>
        <v>108</v>
      </c>
      <c r="AK79" s="48">
        <f t="shared" si="55"/>
        <v>0</v>
      </c>
      <c r="AL79" s="48">
        <f t="shared" si="55"/>
        <v>109</v>
      </c>
      <c r="AM79" s="48">
        <f t="shared" si="55"/>
        <v>0</v>
      </c>
      <c r="AN79" s="48">
        <f t="shared" si="55"/>
        <v>109</v>
      </c>
      <c r="AO79" s="48">
        <f t="shared" si="55"/>
        <v>0</v>
      </c>
      <c r="AP79" s="48">
        <f t="shared" si="55"/>
        <v>108</v>
      </c>
      <c r="AQ79" s="48">
        <f t="shared" si="55"/>
        <v>0</v>
      </c>
      <c r="AR79" s="48">
        <f t="shared" si="55"/>
        <v>101</v>
      </c>
      <c r="AS79" s="48">
        <f t="shared" si="55"/>
        <v>0</v>
      </c>
      <c r="AT79" s="48">
        <f t="shared" si="55"/>
        <v>69.375</v>
      </c>
      <c r="AU79" s="51">
        <f t="shared" si="55"/>
        <v>0</v>
      </c>
      <c r="AV79" s="73">
        <f t="shared" si="55"/>
        <v>4</v>
      </c>
      <c r="AW79" s="74">
        <f t="shared" si="55"/>
        <v>1.5</v>
      </c>
      <c r="AX79" s="74">
        <f t="shared" si="55"/>
        <v>-41</v>
      </c>
      <c r="AY79" s="74">
        <f t="shared" si="55"/>
        <v>-40</v>
      </c>
      <c r="AZ79" s="74">
        <f t="shared" si="55"/>
        <v>-35</v>
      </c>
      <c r="BA79" s="74">
        <f t="shared" si="55"/>
        <v>-23</v>
      </c>
      <c r="BB79" s="74">
        <f t="shared" si="55"/>
        <v>-19</v>
      </c>
      <c r="BC79" s="74">
        <f t="shared" si="55"/>
        <v>-11</v>
      </c>
      <c r="BD79" s="74">
        <f t="shared" si="55"/>
        <v>0</v>
      </c>
      <c r="BE79" s="74">
        <f t="shared" si="55"/>
        <v>0</v>
      </c>
      <c r="BF79" s="74">
        <f t="shared" si="55"/>
        <v>0</v>
      </c>
      <c r="BG79" s="74">
        <f t="shared" si="55"/>
        <v>0</v>
      </c>
      <c r="BH79" s="74">
        <f t="shared" si="55"/>
        <v>0</v>
      </c>
      <c r="BI79" s="74">
        <f t="shared" si="55"/>
        <v>0</v>
      </c>
      <c r="BJ79" s="74">
        <f t="shared" si="55"/>
        <v>0</v>
      </c>
      <c r="BK79" s="74">
        <f t="shared" si="55"/>
        <v>0</v>
      </c>
      <c r="BL79" s="74">
        <f t="shared" si="55"/>
        <v>0</v>
      </c>
      <c r="BM79" s="74">
        <f t="shared" si="55"/>
        <v>0</v>
      </c>
      <c r="BN79" s="74">
        <f t="shared" si="55"/>
        <v>0</v>
      </c>
      <c r="BO79" s="74">
        <f t="shared" ref="BO79:BR79" si="56">SUM(BO37:BO78)</f>
        <v>0</v>
      </c>
      <c r="BP79" s="74">
        <f t="shared" si="56"/>
        <v>0</v>
      </c>
      <c r="BQ79" s="74">
        <f t="shared" si="56"/>
        <v>0</v>
      </c>
      <c r="BR79" s="75">
        <f t="shared" si="56"/>
        <v>0</v>
      </c>
    </row>
    <row r="80" spans="1:70" ht="15" thickBot="1" x14ac:dyDescent="0.4">
      <c r="O80" s="44"/>
    </row>
    <row r="81" spans="1:70" ht="15" thickBot="1" x14ac:dyDescent="0.4">
      <c r="A81" s="168" t="s">
        <v>149</v>
      </c>
      <c r="B81" s="23">
        <v>45992</v>
      </c>
      <c r="C81" s="24"/>
      <c r="D81" s="23">
        <v>46023</v>
      </c>
      <c r="E81" s="24"/>
      <c r="F81" s="23">
        <v>46054</v>
      </c>
      <c r="G81" s="24"/>
      <c r="H81" s="23">
        <v>46082</v>
      </c>
      <c r="I81" s="24"/>
      <c r="J81" s="23">
        <v>46113</v>
      </c>
      <c r="K81" s="24"/>
      <c r="L81" s="23">
        <v>46143</v>
      </c>
      <c r="M81" s="24"/>
      <c r="N81" s="23">
        <v>46174</v>
      </c>
      <c r="O81" s="24"/>
      <c r="P81" s="23">
        <v>46204</v>
      </c>
      <c r="Q81" s="24"/>
      <c r="R81" s="23">
        <v>46235</v>
      </c>
      <c r="S81" s="24"/>
      <c r="T81" s="23">
        <v>46266</v>
      </c>
      <c r="U81" s="24"/>
      <c r="V81" s="23">
        <v>46296</v>
      </c>
      <c r="W81" s="24"/>
      <c r="X81" s="23">
        <v>46327</v>
      </c>
      <c r="Y81" s="24"/>
      <c r="Z81" s="23">
        <v>46357</v>
      </c>
      <c r="AA81" s="24"/>
      <c r="AB81" s="23">
        <v>46388</v>
      </c>
      <c r="AC81" s="24"/>
      <c r="AD81" s="23">
        <v>46419</v>
      </c>
      <c r="AE81" s="24"/>
      <c r="AF81" s="23">
        <v>46447</v>
      </c>
      <c r="AG81" s="24"/>
      <c r="AH81" s="23">
        <v>46478</v>
      </c>
      <c r="AI81" s="24"/>
      <c r="AJ81" s="23">
        <v>46508</v>
      </c>
      <c r="AK81" s="24"/>
      <c r="AL81" s="23">
        <v>46539</v>
      </c>
      <c r="AM81" s="24"/>
      <c r="AN81" s="23">
        <v>46569</v>
      </c>
      <c r="AO81" s="24"/>
      <c r="AP81" s="23">
        <v>46600</v>
      </c>
      <c r="AQ81" s="24"/>
      <c r="AR81" s="23">
        <v>46631</v>
      </c>
      <c r="AS81" s="24"/>
      <c r="AT81" s="23">
        <v>46661</v>
      </c>
      <c r="AU81" s="25"/>
      <c r="AV81" s="63">
        <v>45992</v>
      </c>
      <c r="AW81" s="62">
        <v>46023</v>
      </c>
      <c r="AX81" s="62">
        <v>46054</v>
      </c>
      <c r="AY81" s="62">
        <v>46082</v>
      </c>
      <c r="AZ81" s="62">
        <v>46113</v>
      </c>
      <c r="BA81" s="62">
        <v>46143</v>
      </c>
      <c r="BB81" s="62">
        <v>46174</v>
      </c>
      <c r="BC81" s="62">
        <v>46204</v>
      </c>
      <c r="BD81" s="62">
        <v>46235</v>
      </c>
      <c r="BE81" s="62">
        <v>46266</v>
      </c>
      <c r="BF81" s="62">
        <v>46296</v>
      </c>
      <c r="BG81" s="62">
        <v>46327</v>
      </c>
      <c r="BH81" s="62">
        <v>46357</v>
      </c>
      <c r="BI81" s="62">
        <v>46388</v>
      </c>
      <c r="BJ81" s="62">
        <v>46419</v>
      </c>
      <c r="BK81" s="62">
        <v>46447</v>
      </c>
      <c r="BL81" s="62">
        <v>46478</v>
      </c>
      <c r="BM81" s="62">
        <v>46508</v>
      </c>
      <c r="BN81" s="62">
        <v>46539</v>
      </c>
      <c r="BO81" s="62">
        <v>46569</v>
      </c>
      <c r="BP81" s="62">
        <v>46600</v>
      </c>
      <c r="BQ81" s="62">
        <v>46631</v>
      </c>
      <c r="BR81" s="64">
        <v>46661</v>
      </c>
    </row>
    <row r="82" spans="1:70" ht="15" thickBot="1" x14ac:dyDescent="0.4">
      <c r="A82" s="170"/>
      <c r="B82" s="26" t="s">
        <v>100</v>
      </c>
      <c r="C82" s="27" t="s">
        <v>101</v>
      </c>
      <c r="D82" s="26" t="s">
        <v>100</v>
      </c>
      <c r="E82" s="27" t="s">
        <v>101</v>
      </c>
      <c r="F82" s="26" t="s">
        <v>100</v>
      </c>
      <c r="G82" s="27" t="s">
        <v>101</v>
      </c>
      <c r="H82" s="26" t="s">
        <v>100</v>
      </c>
      <c r="I82" s="27" t="s">
        <v>101</v>
      </c>
      <c r="J82" s="26" t="s">
        <v>100</v>
      </c>
      <c r="K82" s="27" t="s">
        <v>101</v>
      </c>
      <c r="L82" s="26" t="s">
        <v>100</v>
      </c>
      <c r="M82" s="27" t="s">
        <v>101</v>
      </c>
      <c r="N82" s="26" t="s">
        <v>100</v>
      </c>
      <c r="O82" s="27" t="s">
        <v>101</v>
      </c>
      <c r="P82" s="26" t="s">
        <v>100</v>
      </c>
      <c r="Q82" s="27" t="s">
        <v>101</v>
      </c>
      <c r="R82" s="26" t="s">
        <v>100</v>
      </c>
      <c r="S82" s="27" t="s">
        <v>101</v>
      </c>
      <c r="T82" s="26" t="s">
        <v>100</v>
      </c>
      <c r="U82" s="27" t="s">
        <v>101</v>
      </c>
      <c r="V82" s="26" t="s">
        <v>100</v>
      </c>
      <c r="W82" s="27" t="s">
        <v>101</v>
      </c>
      <c r="X82" s="26" t="s">
        <v>100</v>
      </c>
      <c r="Y82" s="27" t="s">
        <v>101</v>
      </c>
      <c r="Z82" s="26" t="s">
        <v>100</v>
      </c>
      <c r="AA82" s="27" t="s">
        <v>101</v>
      </c>
      <c r="AB82" s="26" t="s">
        <v>100</v>
      </c>
      <c r="AC82" s="27" t="s">
        <v>101</v>
      </c>
      <c r="AD82" s="26" t="s">
        <v>100</v>
      </c>
      <c r="AE82" s="27" t="s">
        <v>101</v>
      </c>
      <c r="AF82" s="26" t="s">
        <v>100</v>
      </c>
      <c r="AG82" s="27" t="s">
        <v>101</v>
      </c>
      <c r="AH82" s="26" t="s">
        <v>100</v>
      </c>
      <c r="AI82" s="27" t="s">
        <v>101</v>
      </c>
      <c r="AJ82" s="26" t="s">
        <v>100</v>
      </c>
      <c r="AK82" s="27" t="s">
        <v>101</v>
      </c>
      <c r="AL82" s="26" t="s">
        <v>100</v>
      </c>
      <c r="AM82" s="27" t="s">
        <v>101</v>
      </c>
      <c r="AN82" s="26" t="s">
        <v>100</v>
      </c>
      <c r="AO82" s="27" t="s">
        <v>101</v>
      </c>
      <c r="AP82" s="26" t="s">
        <v>100</v>
      </c>
      <c r="AQ82" s="27" t="s">
        <v>101</v>
      </c>
      <c r="AR82" s="26" t="s">
        <v>100</v>
      </c>
      <c r="AS82" s="27" t="s">
        <v>101</v>
      </c>
      <c r="AT82" s="26" t="s">
        <v>100</v>
      </c>
      <c r="AU82" s="28" t="s">
        <v>101</v>
      </c>
      <c r="AV82" s="65" t="s">
        <v>164</v>
      </c>
      <c r="AW82" s="26" t="s">
        <v>164</v>
      </c>
      <c r="AX82" s="26" t="s">
        <v>164</v>
      </c>
      <c r="AY82" s="26" t="s">
        <v>164</v>
      </c>
      <c r="AZ82" s="26" t="s">
        <v>164</v>
      </c>
      <c r="BA82" s="26" t="s">
        <v>164</v>
      </c>
      <c r="BB82" s="26" t="s">
        <v>164</v>
      </c>
      <c r="BC82" s="26" t="s">
        <v>164</v>
      </c>
      <c r="BD82" s="26" t="s">
        <v>164</v>
      </c>
      <c r="BE82" s="26" t="s">
        <v>164</v>
      </c>
      <c r="BF82" s="26" t="s">
        <v>164</v>
      </c>
      <c r="BG82" s="26" t="s">
        <v>164</v>
      </c>
      <c r="BH82" s="26" t="s">
        <v>164</v>
      </c>
      <c r="BI82" s="26" t="s">
        <v>164</v>
      </c>
      <c r="BJ82" s="26" t="s">
        <v>164</v>
      </c>
      <c r="BK82" s="26" t="s">
        <v>164</v>
      </c>
      <c r="BL82" s="26" t="s">
        <v>164</v>
      </c>
      <c r="BM82" s="26" t="s">
        <v>164</v>
      </c>
      <c r="BN82" s="26" t="s">
        <v>164</v>
      </c>
      <c r="BO82" s="26" t="s">
        <v>164</v>
      </c>
      <c r="BP82" s="26" t="s">
        <v>164</v>
      </c>
      <c r="BQ82" s="26" t="s">
        <v>164</v>
      </c>
      <c r="BR82" s="66" t="s">
        <v>164</v>
      </c>
    </row>
    <row r="83" spans="1:70" x14ac:dyDescent="0.35">
      <c r="A83" s="29" t="s">
        <v>169</v>
      </c>
      <c r="B83" s="30">
        <v>0</v>
      </c>
      <c r="C83" s="31">
        <v>0</v>
      </c>
      <c r="D83" s="30">
        <v>1</v>
      </c>
      <c r="E83" s="31">
        <v>4</v>
      </c>
      <c r="F83" s="30">
        <v>2</v>
      </c>
      <c r="G83" s="31">
        <v>9</v>
      </c>
      <c r="H83" s="30">
        <v>2</v>
      </c>
      <c r="I83" s="31">
        <v>9</v>
      </c>
      <c r="J83" s="30">
        <v>2</v>
      </c>
      <c r="K83" s="31">
        <v>22</v>
      </c>
      <c r="L83" s="30">
        <v>2</v>
      </c>
      <c r="M83" s="31">
        <v>25</v>
      </c>
      <c r="N83" s="30">
        <v>2</v>
      </c>
      <c r="O83" s="31">
        <v>25</v>
      </c>
      <c r="P83" s="30">
        <v>2</v>
      </c>
      <c r="Q83" s="86">
        <v>25</v>
      </c>
      <c r="R83" s="30">
        <v>2</v>
      </c>
      <c r="S83" s="31"/>
      <c r="T83" s="30">
        <v>2</v>
      </c>
      <c r="U83" s="31"/>
      <c r="V83" s="30">
        <v>2</v>
      </c>
      <c r="W83" s="31"/>
      <c r="X83" s="30">
        <v>2</v>
      </c>
      <c r="Y83" s="31"/>
      <c r="Z83" s="30">
        <v>2</v>
      </c>
      <c r="AA83" s="31"/>
      <c r="AB83" s="30">
        <v>2</v>
      </c>
      <c r="AC83" s="31"/>
      <c r="AD83" s="30">
        <v>2</v>
      </c>
      <c r="AE83" s="31"/>
      <c r="AF83" s="30">
        <v>2</v>
      </c>
      <c r="AG83" s="31"/>
      <c r="AH83" s="30">
        <v>2</v>
      </c>
      <c r="AI83" s="31"/>
      <c r="AJ83" s="30">
        <v>2</v>
      </c>
      <c r="AK83" s="31"/>
      <c r="AL83" s="30">
        <v>2</v>
      </c>
      <c r="AM83" s="31"/>
      <c r="AN83" s="30">
        <v>2</v>
      </c>
      <c r="AO83" s="31"/>
      <c r="AP83" s="30">
        <v>2</v>
      </c>
      <c r="AQ83" s="31"/>
      <c r="AR83" s="30">
        <v>2</v>
      </c>
      <c r="AS83" s="31"/>
      <c r="AT83" s="44">
        <v>1</v>
      </c>
      <c r="AU83" s="39"/>
      <c r="AV83" s="67">
        <f>C83-B83</f>
        <v>0</v>
      </c>
      <c r="AW83" s="31">
        <f>E83-D83</f>
        <v>3</v>
      </c>
      <c r="AX83" s="31">
        <f>G83-F83</f>
        <v>7</v>
      </c>
      <c r="AY83" s="31">
        <f>I83-H83</f>
        <v>7</v>
      </c>
      <c r="AZ83" s="31">
        <f>K83-J83</f>
        <v>20</v>
      </c>
      <c r="BA83" s="31">
        <f>M83-L83</f>
        <v>23</v>
      </c>
      <c r="BB83" s="31">
        <f>O83-N83</f>
        <v>23</v>
      </c>
      <c r="BC83" s="31">
        <f t="shared" ref="BC83:BC89" si="57">Q83-P83</f>
        <v>23</v>
      </c>
      <c r="BD83" s="31"/>
      <c r="BE83" s="31"/>
      <c r="BF83" s="31"/>
      <c r="BG83" s="31"/>
      <c r="BH83" s="31"/>
      <c r="BI83" s="31"/>
      <c r="BJ83" s="31"/>
      <c r="BK83" s="31"/>
      <c r="BL83" s="31"/>
      <c r="BM83" s="31"/>
      <c r="BN83" s="31"/>
      <c r="BO83" s="31"/>
      <c r="BP83" s="31"/>
      <c r="BQ83" s="31"/>
      <c r="BR83" s="72"/>
    </row>
    <row r="84" spans="1:70" x14ac:dyDescent="0.35">
      <c r="A84" s="33" t="s">
        <v>169</v>
      </c>
      <c r="B84" s="34">
        <v>0</v>
      </c>
      <c r="C84" s="35">
        <v>0</v>
      </c>
      <c r="D84" s="34">
        <v>2</v>
      </c>
      <c r="E84" s="35">
        <v>1</v>
      </c>
      <c r="F84" s="34">
        <v>5</v>
      </c>
      <c r="G84" s="35">
        <v>5</v>
      </c>
      <c r="H84" s="34">
        <v>12</v>
      </c>
      <c r="I84" s="35">
        <v>5</v>
      </c>
      <c r="J84" s="34">
        <v>12</v>
      </c>
      <c r="K84" s="35">
        <v>5</v>
      </c>
      <c r="L84" s="34">
        <v>12</v>
      </c>
      <c r="M84" s="35">
        <v>5</v>
      </c>
      <c r="N84" s="34">
        <v>12</v>
      </c>
      <c r="O84" s="35">
        <v>5</v>
      </c>
      <c r="P84" s="34">
        <v>12</v>
      </c>
      <c r="Q84" s="87">
        <v>5</v>
      </c>
      <c r="R84" s="34">
        <v>12</v>
      </c>
      <c r="S84" s="35"/>
      <c r="T84" s="34">
        <v>12</v>
      </c>
      <c r="U84" s="35"/>
      <c r="V84" s="34">
        <v>12</v>
      </c>
      <c r="W84" s="35"/>
      <c r="X84" s="34">
        <v>12</v>
      </c>
      <c r="Y84" s="35"/>
      <c r="Z84" s="34">
        <v>12</v>
      </c>
      <c r="AA84" s="35"/>
      <c r="AB84" s="34">
        <v>12</v>
      </c>
      <c r="AC84" s="35"/>
      <c r="AD84" s="34">
        <v>12</v>
      </c>
      <c r="AE84" s="35"/>
      <c r="AF84" s="34">
        <v>12</v>
      </c>
      <c r="AG84" s="35"/>
      <c r="AH84" s="34">
        <v>12</v>
      </c>
      <c r="AI84" s="35"/>
      <c r="AJ84" s="34">
        <v>12</v>
      </c>
      <c r="AK84" s="35"/>
      <c r="AL84" s="34">
        <v>12</v>
      </c>
      <c r="AM84" s="35"/>
      <c r="AN84" s="34">
        <v>12</v>
      </c>
      <c r="AO84" s="35"/>
      <c r="AP84" s="34">
        <v>12</v>
      </c>
      <c r="AQ84" s="35"/>
      <c r="AR84" s="34">
        <v>12</v>
      </c>
      <c r="AS84" s="35"/>
      <c r="AT84" s="45">
        <v>8</v>
      </c>
      <c r="AU84" s="36"/>
      <c r="AV84" s="68">
        <f t="shared" ref="AV84:AV87" si="58">C84-B84</f>
        <v>0</v>
      </c>
      <c r="AW84" s="35">
        <f t="shared" ref="AW84:AW87" si="59">E84-D84</f>
        <v>-1</v>
      </c>
      <c r="AX84" s="35">
        <f t="shared" ref="AX84:AX87" si="60">G84-F84</f>
        <v>0</v>
      </c>
      <c r="AY84" s="35">
        <f t="shared" ref="AY84:AY87" si="61">I84-H84</f>
        <v>-7</v>
      </c>
      <c r="AZ84" s="35">
        <f t="shared" ref="AZ84:AZ87" si="62">K84-J84</f>
        <v>-7</v>
      </c>
      <c r="BA84" s="35">
        <f t="shared" ref="BA84:BA87" si="63">M84-L84</f>
        <v>-7</v>
      </c>
      <c r="BB84" s="35">
        <f t="shared" ref="BB84:BB87" si="64">O84-N84</f>
        <v>-7</v>
      </c>
      <c r="BC84" s="35">
        <f t="shared" si="57"/>
        <v>-7</v>
      </c>
      <c r="BD84" s="35"/>
      <c r="BE84" s="35"/>
      <c r="BF84" s="35"/>
      <c r="BG84" s="35"/>
      <c r="BH84" s="35"/>
      <c r="BI84" s="35"/>
      <c r="BJ84" s="35"/>
      <c r="BK84" s="35"/>
      <c r="BL84" s="35"/>
      <c r="BM84" s="35"/>
      <c r="BN84" s="35"/>
      <c r="BO84" s="35"/>
      <c r="BP84" s="35"/>
      <c r="BQ84" s="35"/>
      <c r="BR84" s="36"/>
    </row>
    <row r="85" spans="1:70" x14ac:dyDescent="0.35">
      <c r="A85" s="29" t="s">
        <v>169</v>
      </c>
      <c r="B85" s="37">
        <v>0</v>
      </c>
      <c r="C85" s="38">
        <v>0</v>
      </c>
      <c r="D85" s="37">
        <v>0</v>
      </c>
      <c r="E85" s="38">
        <v>0</v>
      </c>
      <c r="F85" s="37">
        <v>3</v>
      </c>
      <c r="G85" s="38">
        <v>0</v>
      </c>
      <c r="H85" s="37">
        <v>5</v>
      </c>
      <c r="I85" s="38">
        <v>0</v>
      </c>
      <c r="J85" s="37">
        <v>7</v>
      </c>
      <c r="K85" s="38">
        <v>0</v>
      </c>
      <c r="L85" s="37">
        <v>7</v>
      </c>
      <c r="M85" s="38">
        <v>0</v>
      </c>
      <c r="N85" s="37">
        <v>7</v>
      </c>
      <c r="O85" s="38">
        <v>0</v>
      </c>
      <c r="P85" s="37">
        <v>7</v>
      </c>
      <c r="Q85" s="87"/>
      <c r="R85" s="37">
        <v>7</v>
      </c>
      <c r="S85" s="38"/>
      <c r="T85" s="37">
        <v>7</v>
      </c>
      <c r="U85" s="38"/>
      <c r="V85" s="37">
        <v>7</v>
      </c>
      <c r="W85" s="38"/>
      <c r="X85" s="37">
        <v>7</v>
      </c>
      <c r="Y85" s="38"/>
      <c r="Z85" s="37">
        <v>7</v>
      </c>
      <c r="AA85" s="38"/>
      <c r="AB85" s="37">
        <v>7</v>
      </c>
      <c r="AC85" s="38"/>
      <c r="AD85" s="37">
        <v>7</v>
      </c>
      <c r="AE85" s="38"/>
      <c r="AF85" s="37">
        <v>8</v>
      </c>
      <c r="AG85" s="38"/>
      <c r="AH85" s="37">
        <v>8</v>
      </c>
      <c r="AI85" s="38"/>
      <c r="AJ85" s="37">
        <v>8</v>
      </c>
      <c r="AK85" s="38"/>
      <c r="AL85" s="37">
        <v>8</v>
      </c>
      <c r="AM85" s="38"/>
      <c r="AN85" s="37">
        <v>8</v>
      </c>
      <c r="AO85" s="38"/>
      <c r="AP85" s="37">
        <v>8</v>
      </c>
      <c r="AQ85" s="38"/>
      <c r="AR85" s="37">
        <v>8</v>
      </c>
      <c r="AS85" s="38"/>
      <c r="AT85" s="44">
        <v>0</v>
      </c>
      <c r="AU85" s="39"/>
      <c r="AV85" s="69">
        <f t="shared" si="58"/>
        <v>0</v>
      </c>
      <c r="AW85" s="38">
        <f t="shared" si="59"/>
        <v>0</v>
      </c>
      <c r="AX85" s="38">
        <f t="shared" si="60"/>
        <v>-3</v>
      </c>
      <c r="AY85" s="38">
        <f t="shared" si="61"/>
        <v>-5</v>
      </c>
      <c r="AZ85" s="38">
        <f t="shared" si="62"/>
        <v>-7</v>
      </c>
      <c r="BA85" s="38">
        <f t="shared" si="63"/>
        <v>-7</v>
      </c>
      <c r="BB85" s="38">
        <f t="shared" si="64"/>
        <v>-7</v>
      </c>
      <c r="BC85" s="38">
        <f t="shared" si="57"/>
        <v>-7</v>
      </c>
      <c r="BD85" s="38"/>
      <c r="BE85" s="38"/>
      <c r="BF85" s="38"/>
      <c r="BG85" s="38"/>
      <c r="BH85" s="38"/>
      <c r="BI85" s="38"/>
      <c r="BJ85" s="38"/>
      <c r="BK85" s="38"/>
      <c r="BL85" s="38"/>
      <c r="BM85" s="38"/>
      <c r="BN85" s="38"/>
      <c r="BO85" s="38"/>
      <c r="BP85" s="38"/>
      <c r="BQ85" s="38"/>
      <c r="BR85" s="39"/>
    </row>
    <row r="86" spans="1:70" x14ac:dyDescent="0.35">
      <c r="A86" s="33" t="s">
        <v>169</v>
      </c>
      <c r="B86" s="34">
        <v>0</v>
      </c>
      <c r="C86" s="35">
        <v>0</v>
      </c>
      <c r="D86" s="34">
        <v>0</v>
      </c>
      <c r="E86" s="35">
        <v>1</v>
      </c>
      <c r="F86" s="34">
        <v>1</v>
      </c>
      <c r="G86" s="35">
        <v>2</v>
      </c>
      <c r="H86" s="34">
        <v>1</v>
      </c>
      <c r="I86" s="35">
        <v>2</v>
      </c>
      <c r="J86" s="34">
        <v>1</v>
      </c>
      <c r="K86" s="35">
        <v>2</v>
      </c>
      <c r="L86" s="34">
        <v>1</v>
      </c>
      <c r="M86" s="35">
        <v>2</v>
      </c>
      <c r="N86" s="34">
        <v>1</v>
      </c>
      <c r="O86" s="35">
        <v>2</v>
      </c>
      <c r="P86" s="34">
        <v>1</v>
      </c>
      <c r="Q86" s="87">
        <v>2</v>
      </c>
      <c r="R86" s="34">
        <v>1</v>
      </c>
      <c r="S86" s="35"/>
      <c r="T86" s="34">
        <v>1</v>
      </c>
      <c r="U86" s="35"/>
      <c r="V86" s="34">
        <v>1</v>
      </c>
      <c r="W86" s="35"/>
      <c r="X86" s="34">
        <v>1</v>
      </c>
      <c r="Y86" s="35"/>
      <c r="Z86" s="34">
        <v>1</v>
      </c>
      <c r="AA86" s="35"/>
      <c r="AB86" s="34">
        <v>1</v>
      </c>
      <c r="AC86" s="35"/>
      <c r="AD86" s="34">
        <v>1</v>
      </c>
      <c r="AE86" s="35"/>
      <c r="AF86" s="34">
        <v>1</v>
      </c>
      <c r="AG86" s="35"/>
      <c r="AH86" s="34">
        <v>1</v>
      </c>
      <c r="AI86" s="35"/>
      <c r="AJ86" s="34">
        <v>1</v>
      </c>
      <c r="AK86" s="35"/>
      <c r="AL86" s="34">
        <v>1</v>
      </c>
      <c r="AM86" s="35"/>
      <c r="AN86" s="34">
        <v>1</v>
      </c>
      <c r="AO86" s="35"/>
      <c r="AP86" s="34">
        <v>1</v>
      </c>
      <c r="AQ86" s="35"/>
      <c r="AR86" s="34">
        <v>1</v>
      </c>
      <c r="AS86" s="35"/>
      <c r="AT86" s="45">
        <v>1</v>
      </c>
      <c r="AU86" s="36"/>
      <c r="AV86" s="68">
        <f t="shared" si="58"/>
        <v>0</v>
      </c>
      <c r="AW86" s="35">
        <f t="shared" si="59"/>
        <v>1</v>
      </c>
      <c r="AX86" s="35">
        <f t="shared" si="60"/>
        <v>1</v>
      </c>
      <c r="AY86" s="35">
        <f t="shared" si="61"/>
        <v>1</v>
      </c>
      <c r="AZ86" s="35">
        <f t="shared" si="62"/>
        <v>1</v>
      </c>
      <c r="BA86" s="35">
        <f t="shared" si="63"/>
        <v>1</v>
      </c>
      <c r="BB86" s="35">
        <f t="shared" si="64"/>
        <v>1</v>
      </c>
      <c r="BC86" s="35">
        <f t="shared" si="57"/>
        <v>1</v>
      </c>
      <c r="BD86" s="35"/>
      <c r="BE86" s="35"/>
      <c r="BF86" s="35"/>
      <c r="BG86" s="35"/>
      <c r="BH86" s="35"/>
      <c r="BI86" s="35"/>
      <c r="BJ86" s="35"/>
      <c r="BK86" s="35"/>
      <c r="BL86" s="35"/>
      <c r="BM86" s="35"/>
      <c r="BN86" s="35"/>
      <c r="BO86" s="35"/>
      <c r="BP86" s="35"/>
      <c r="BQ86" s="35"/>
      <c r="BR86" s="36"/>
    </row>
    <row r="87" spans="1:70" x14ac:dyDescent="0.35">
      <c r="A87" s="29" t="s">
        <v>146</v>
      </c>
      <c r="B87" s="37">
        <v>0</v>
      </c>
      <c r="C87" s="38">
        <v>0</v>
      </c>
      <c r="D87" s="37">
        <v>0</v>
      </c>
      <c r="E87" s="38">
        <v>0</v>
      </c>
      <c r="F87" s="37">
        <v>0</v>
      </c>
      <c r="G87" s="38">
        <v>0</v>
      </c>
      <c r="H87" s="37">
        <v>1</v>
      </c>
      <c r="I87" s="38">
        <v>0</v>
      </c>
      <c r="J87" s="37">
        <v>1</v>
      </c>
      <c r="K87" s="38">
        <v>0</v>
      </c>
      <c r="L87" s="37">
        <v>1</v>
      </c>
      <c r="M87" s="38">
        <v>0</v>
      </c>
      <c r="N87" s="37">
        <v>1</v>
      </c>
      <c r="O87" s="38">
        <v>1</v>
      </c>
      <c r="P87" s="37">
        <v>1</v>
      </c>
      <c r="Q87" s="87">
        <v>1</v>
      </c>
      <c r="R87" s="37">
        <v>1</v>
      </c>
      <c r="S87" s="38"/>
      <c r="T87" s="37">
        <v>1</v>
      </c>
      <c r="U87" s="38"/>
      <c r="V87" s="37">
        <v>1</v>
      </c>
      <c r="W87" s="38"/>
      <c r="X87" s="37">
        <v>1</v>
      </c>
      <c r="Y87" s="38"/>
      <c r="Z87" s="37">
        <v>1</v>
      </c>
      <c r="AA87" s="38"/>
      <c r="AB87" s="37">
        <v>1</v>
      </c>
      <c r="AC87" s="38"/>
      <c r="AD87" s="37">
        <v>1</v>
      </c>
      <c r="AE87" s="38"/>
      <c r="AF87" s="37">
        <v>1</v>
      </c>
      <c r="AG87" s="38"/>
      <c r="AH87" s="37">
        <v>1</v>
      </c>
      <c r="AI87" s="38"/>
      <c r="AJ87" s="37">
        <v>1</v>
      </c>
      <c r="AK87" s="38"/>
      <c r="AL87" s="37">
        <v>1</v>
      </c>
      <c r="AM87" s="38"/>
      <c r="AN87" s="37">
        <v>1</v>
      </c>
      <c r="AO87" s="38"/>
      <c r="AP87" s="37">
        <v>1</v>
      </c>
      <c r="AQ87" s="38"/>
      <c r="AR87" s="37">
        <v>1</v>
      </c>
      <c r="AS87" s="38"/>
      <c r="AT87" s="44">
        <v>1</v>
      </c>
      <c r="AU87" s="39"/>
      <c r="AV87" s="69">
        <f t="shared" si="58"/>
        <v>0</v>
      </c>
      <c r="AW87" s="38">
        <f t="shared" si="59"/>
        <v>0</v>
      </c>
      <c r="AX87" s="38">
        <f t="shared" si="60"/>
        <v>0</v>
      </c>
      <c r="AY87" s="38">
        <f t="shared" si="61"/>
        <v>-1</v>
      </c>
      <c r="AZ87" s="38">
        <f t="shared" si="62"/>
        <v>-1</v>
      </c>
      <c r="BA87" s="38">
        <f t="shared" si="63"/>
        <v>-1</v>
      </c>
      <c r="BB87" s="38">
        <f t="shared" si="64"/>
        <v>0</v>
      </c>
      <c r="BC87" s="38">
        <f t="shared" si="57"/>
        <v>0</v>
      </c>
      <c r="BD87" s="38"/>
      <c r="BE87" s="38"/>
      <c r="BF87" s="38"/>
      <c r="BG87" s="38"/>
      <c r="BH87" s="38"/>
      <c r="BI87" s="38"/>
      <c r="BJ87" s="38"/>
      <c r="BK87" s="38"/>
      <c r="BL87" s="38"/>
      <c r="BM87" s="38"/>
      <c r="BN87" s="38"/>
      <c r="BO87" s="38"/>
      <c r="BP87" s="38"/>
      <c r="BQ87" s="38"/>
      <c r="BR87" s="39"/>
    </row>
    <row r="88" spans="1:70" x14ac:dyDescent="0.35">
      <c r="A88" s="33" t="s">
        <v>147</v>
      </c>
      <c r="B88" s="34">
        <v>0</v>
      </c>
      <c r="C88" s="35">
        <v>0</v>
      </c>
      <c r="D88" s="34">
        <v>0</v>
      </c>
      <c r="E88" s="35">
        <v>6</v>
      </c>
      <c r="F88" s="34">
        <v>7</v>
      </c>
      <c r="G88" s="35">
        <v>7</v>
      </c>
      <c r="H88" s="34">
        <v>8</v>
      </c>
      <c r="I88" s="35">
        <v>7</v>
      </c>
      <c r="J88" s="34">
        <v>8</v>
      </c>
      <c r="K88" s="35">
        <v>7</v>
      </c>
      <c r="L88" s="34">
        <v>8</v>
      </c>
      <c r="M88" s="35">
        <v>7</v>
      </c>
      <c r="N88" s="34">
        <v>8</v>
      </c>
      <c r="O88" s="35">
        <v>7</v>
      </c>
      <c r="P88" s="34">
        <v>8</v>
      </c>
      <c r="Q88" s="87">
        <v>7</v>
      </c>
      <c r="R88" s="34">
        <v>8</v>
      </c>
      <c r="S88" s="35"/>
      <c r="T88" s="34">
        <v>8</v>
      </c>
      <c r="U88" s="35"/>
      <c r="V88" s="34">
        <v>8</v>
      </c>
      <c r="W88" s="35"/>
      <c r="X88" s="34">
        <v>8</v>
      </c>
      <c r="Y88" s="35"/>
      <c r="Z88" s="34">
        <v>8</v>
      </c>
      <c r="AA88" s="35"/>
      <c r="AB88" s="34">
        <v>8</v>
      </c>
      <c r="AC88" s="35"/>
      <c r="AD88" s="34">
        <v>8</v>
      </c>
      <c r="AE88" s="35"/>
      <c r="AF88" s="34">
        <v>8</v>
      </c>
      <c r="AG88" s="35"/>
      <c r="AH88" s="34">
        <v>8</v>
      </c>
      <c r="AI88" s="35"/>
      <c r="AJ88" s="34">
        <v>8</v>
      </c>
      <c r="AK88" s="35"/>
      <c r="AL88" s="34">
        <v>8</v>
      </c>
      <c r="AM88" s="35"/>
      <c r="AN88" s="34">
        <v>8</v>
      </c>
      <c r="AO88" s="35"/>
      <c r="AP88" s="34">
        <v>8</v>
      </c>
      <c r="AQ88" s="35"/>
      <c r="AR88" s="34">
        <v>5</v>
      </c>
      <c r="AS88" s="35"/>
      <c r="AT88" s="45">
        <v>2</v>
      </c>
      <c r="AU88" s="36"/>
      <c r="AV88" s="68">
        <f t="shared" ref="AV88:AV89" si="65">C88-B88</f>
        <v>0</v>
      </c>
      <c r="AW88" s="35">
        <f t="shared" ref="AW88:AW89" si="66">E88-D88</f>
        <v>6</v>
      </c>
      <c r="AX88" s="35">
        <f t="shared" ref="AX88:AX89" si="67">G88-F88</f>
        <v>0</v>
      </c>
      <c r="AY88" s="35">
        <f t="shared" ref="AY88:AY89" si="68">I88-H88</f>
        <v>-1</v>
      </c>
      <c r="AZ88" s="35">
        <f t="shared" ref="AZ88:AZ89" si="69">K88-J88</f>
        <v>-1</v>
      </c>
      <c r="BA88" s="35">
        <f t="shared" ref="BA88:BA89" si="70">M88-L88</f>
        <v>-1</v>
      </c>
      <c r="BB88" s="35">
        <f t="shared" ref="BB88:BB89" si="71">O88-N88</f>
        <v>-1</v>
      </c>
      <c r="BC88" s="35">
        <f t="shared" si="57"/>
        <v>-1</v>
      </c>
      <c r="BD88" s="35"/>
      <c r="BE88" s="35"/>
      <c r="BF88" s="35"/>
      <c r="BG88" s="35"/>
      <c r="BH88" s="35"/>
      <c r="BI88" s="35"/>
      <c r="BJ88" s="35"/>
      <c r="BK88" s="35"/>
      <c r="BL88" s="35"/>
      <c r="BM88" s="35"/>
      <c r="BN88" s="35"/>
      <c r="BO88" s="35"/>
      <c r="BP88" s="35"/>
      <c r="BQ88" s="35"/>
      <c r="BR88" s="36"/>
    </row>
    <row r="89" spans="1:70" ht="15" thickBot="1" x14ac:dyDescent="0.4">
      <c r="A89" s="52" t="s">
        <v>148</v>
      </c>
      <c r="B89" s="53">
        <v>0</v>
      </c>
      <c r="C89" s="54">
        <v>0</v>
      </c>
      <c r="D89" s="53">
        <v>1</v>
      </c>
      <c r="E89" s="54">
        <v>1</v>
      </c>
      <c r="F89" s="53">
        <v>2</v>
      </c>
      <c r="G89" s="54">
        <v>2</v>
      </c>
      <c r="H89" s="53">
        <v>3</v>
      </c>
      <c r="I89" s="54">
        <v>2</v>
      </c>
      <c r="J89" s="53">
        <v>3</v>
      </c>
      <c r="K89" s="54">
        <v>2</v>
      </c>
      <c r="L89" s="53">
        <v>3</v>
      </c>
      <c r="M89" s="54">
        <v>2</v>
      </c>
      <c r="N89" s="53">
        <v>3</v>
      </c>
      <c r="O89" s="54">
        <v>2</v>
      </c>
      <c r="P89" s="53">
        <v>3</v>
      </c>
      <c r="Q89" s="88">
        <v>3</v>
      </c>
      <c r="R89" s="53">
        <v>3</v>
      </c>
      <c r="S89" s="54"/>
      <c r="T89" s="53">
        <v>3</v>
      </c>
      <c r="U89" s="54"/>
      <c r="V89" s="53">
        <v>3</v>
      </c>
      <c r="W89" s="54"/>
      <c r="X89" s="53">
        <v>3</v>
      </c>
      <c r="Y89" s="54"/>
      <c r="Z89" s="53">
        <v>3</v>
      </c>
      <c r="AA89" s="54"/>
      <c r="AB89" s="53">
        <v>3</v>
      </c>
      <c r="AC89" s="54"/>
      <c r="AD89" s="53">
        <v>3</v>
      </c>
      <c r="AE89" s="54"/>
      <c r="AF89" s="53">
        <v>3</v>
      </c>
      <c r="AG89" s="54"/>
      <c r="AH89" s="53">
        <v>3</v>
      </c>
      <c r="AI89" s="54"/>
      <c r="AJ89" s="53">
        <v>3</v>
      </c>
      <c r="AK89" s="54"/>
      <c r="AL89" s="53">
        <v>3</v>
      </c>
      <c r="AM89" s="54"/>
      <c r="AN89" s="53">
        <v>3</v>
      </c>
      <c r="AO89" s="54"/>
      <c r="AP89" s="53">
        <v>3</v>
      </c>
      <c r="AQ89" s="54"/>
      <c r="AR89" s="53">
        <v>3</v>
      </c>
      <c r="AS89" s="54"/>
      <c r="AT89" s="55">
        <v>2</v>
      </c>
      <c r="AU89" s="56"/>
      <c r="AV89" s="69">
        <f t="shared" si="65"/>
        <v>0</v>
      </c>
      <c r="AW89" s="38">
        <f t="shared" si="66"/>
        <v>0</v>
      </c>
      <c r="AX89" s="38">
        <f t="shared" si="67"/>
        <v>0</v>
      </c>
      <c r="AY89" s="38">
        <f t="shared" si="68"/>
        <v>-1</v>
      </c>
      <c r="AZ89" s="38">
        <f t="shared" si="69"/>
        <v>-1</v>
      </c>
      <c r="BA89" s="38">
        <f t="shared" si="70"/>
        <v>-1</v>
      </c>
      <c r="BB89" s="38">
        <f t="shared" si="71"/>
        <v>-1</v>
      </c>
      <c r="BC89" s="38">
        <f t="shared" si="57"/>
        <v>0</v>
      </c>
      <c r="BD89" s="38"/>
      <c r="BE89" s="38"/>
      <c r="BF89" s="38"/>
      <c r="BG89" s="38"/>
      <c r="BH89" s="38"/>
      <c r="BI89" s="38"/>
      <c r="BJ89" s="38"/>
      <c r="BK89" s="38"/>
      <c r="BL89" s="38"/>
      <c r="BM89" s="38"/>
      <c r="BN89" s="38"/>
      <c r="BO89" s="38"/>
      <c r="BP89" s="38"/>
      <c r="BQ89" s="38"/>
      <c r="BR89" s="39"/>
    </row>
    <row r="90" spans="1:70" ht="15" thickBot="1" x14ac:dyDescent="0.4">
      <c r="A90" s="47" t="s">
        <v>102</v>
      </c>
      <c r="B90" s="48">
        <f>SUM(B83:B89)</f>
        <v>0</v>
      </c>
      <c r="C90" s="48">
        <f t="shared" ref="C90:AU90" si="72">SUM(C83:C89)</f>
        <v>0</v>
      </c>
      <c r="D90" s="48">
        <f t="shared" si="72"/>
        <v>4</v>
      </c>
      <c r="E90" s="48">
        <f t="shared" si="72"/>
        <v>13</v>
      </c>
      <c r="F90" s="48">
        <f t="shared" si="72"/>
        <v>20</v>
      </c>
      <c r="G90" s="48">
        <f t="shared" si="72"/>
        <v>25</v>
      </c>
      <c r="H90" s="48">
        <f t="shared" si="72"/>
        <v>32</v>
      </c>
      <c r="I90" s="48">
        <f t="shared" si="72"/>
        <v>25</v>
      </c>
      <c r="J90" s="48">
        <f t="shared" si="72"/>
        <v>34</v>
      </c>
      <c r="K90" s="48">
        <f t="shared" si="72"/>
        <v>38</v>
      </c>
      <c r="L90" s="48">
        <f t="shared" si="72"/>
        <v>34</v>
      </c>
      <c r="M90" s="48">
        <f t="shared" si="72"/>
        <v>41</v>
      </c>
      <c r="N90" s="48">
        <f t="shared" si="72"/>
        <v>34</v>
      </c>
      <c r="O90" s="48">
        <f t="shared" si="72"/>
        <v>42</v>
      </c>
      <c r="P90" s="48">
        <f t="shared" si="72"/>
        <v>34</v>
      </c>
      <c r="Q90" s="48">
        <f t="shared" si="72"/>
        <v>43</v>
      </c>
      <c r="R90" s="48">
        <f t="shared" si="72"/>
        <v>34</v>
      </c>
      <c r="S90" s="48">
        <f t="shared" si="72"/>
        <v>0</v>
      </c>
      <c r="T90" s="48">
        <f t="shared" si="72"/>
        <v>34</v>
      </c>
      <c r="U90" s="48">
        <f t="shared" si="72"/>
        <v>0</v>
      </c>
      <c r="V90" s="48">
        <f t="shared" si="72"/>
        <v>34</v>
      </c>
      <c r="W90" s="48">
        <f t="shared" si="72"/>
        <v>0</v>
      </c>
      <c r="X90" s="48">
        <f t="shared" si="72"/>
        <v>34</v>
      </c>
      <c r="Y90" s="48">
        <f t="shared" si="72"/>
        <v>0</v>
      </c>
      <c r="Z90" s="48">
        <f t="shared" si="72"/>
        <v>34</v>
      </c>
      <c r="AA90" s="48">
        <f t="shared" si="72"/>
        <v>0</v>
      </c>
      <c r="AB90" s="48">
        <f t="shared" si="72"/>
        <v>34</v>
      </c>
      <c r="AC90" s="48">
        <f t="shared" si="72"/>
        <v>0</v>
      </c>
      <c r="AD90" s="48">
        <f t="shared" si="72"/>
        <v>34</v>
      </c>
      <c r="AE90" s="48">
        <f t="shared" si="72"/>
        <v>0</v>
      </c>
      <c r="AF90" s="48">
        <f t="shared" si="72"/>
        <v>35</v>
      </c>
      <c r="AG90" s="48">
        <f t="shared" si="72"/>
        <v>0</v>
      </c>
      <c r="AH90" s="48">
        <f t="shared" si="72"/>
        <v>35</v>
      </c>
      <c r="AI90" s="48">
        <f t="shared" si="72"/>
        <v>0</v>
      </c>
      <c r="AJ90" s="48">
        <f t="shared" si="72"/>
        <v>35</v>
      </c>
      <c r="AK90" s="48">
        <f t="shared" si="72"/>
        <v>0</v>
      </c>
      <c r="AL90" s="48">
        <f t="shared" si="72"/>
        <v>35</v>
      </c>
      <c r="AM90" s="48">
        <f t="shared" si="72"/>
        <v>0</v>
      </c>
      <c r="AN90" s="48">
        <f t="shared" si="72"/>
        <v>35</v>
      </c>
      <c r="AO90" s="48">
        <f t="shared" si="72"/>
        <v>0</v>
      </c>
      <c r="AP90" s="48">
        <f t="shared" si="72"/>
        <v>35</v>
      </c>
      <c r="AQ90" s="48">
        <f t="shared" si="72"/>
        <v>0</v>
      </c>
      <c r="AR90" s="48">
        <f t="shared" si="72"/>
        <v>32</v>
      </c>
      <c r="AS90" s="48">
        <f t="shared" si="72"/>
        <v>0</v>
      </c>
      <c r="AT90" s="48">
        <f t="shared" si="72"/>
        <v>15</v>
      </c>
      <c r="AU90" s="51">
        <f t="shared" si="72"/>
        <v>0</v>
      </c>
      <c r="AV90" s="73">
        <f>SUM(AV83:AV89)</f>
        <v>0</v>
      </c>
      <c r="AW90" s="74">
        <f t="shared" ref="AW90:BR90" si="73">SUM(AW83:AW89)</f>
        <v>9</v>
      </c>
      <c r="AX90" s="74">
        <f t="shared" si="73"/>
        <v>5</v>
      </c>
      <c r="AY90" s="74">
        <f t="shared" si="73"/>
        <v>-7</v>
      </c>
      <c r="AZ90" s="74">
        <f t="shared" si="73"/>
        <v>4</v>
      </c>
      <c r="BA90" s="74">
        <f t="shared" si="73"/>
        <v>7</v>
      </c>
      <c r="BB90" s="74">
        <f t="shared" si="73"/>
        <v>8</v>
      </c>
      <c r="BC90" s="74">
        <f t="shared" si="73"/>
        <v>9</v>
      </c>
      <c r="BD90" s="74">
        <f t="shared" si="73"/>
        <v>0</v>
      </c>
      <c r="BE90" s="74">
        <f t="shared" si="73"/>
        <v>0</v>
      </c>
      <c r="BF90" s="74">
        <f t="shared" si="73"/>
        <v>0</v>
      </c>
      <c r="BG90" s="74">
        <f t="shared" si="73"/>
        <v>0</v>
      </c>
      <c r="BH90" s="74">
        <f t="shared" si="73"/>
        <v>0</v>
      </c>
      <c r="BI90" s="74">
        <f t="shared" si="73"/>
        <v>0</v>
      </c>
      <c r="BJ90" s="74">
        <f t="shared" si="73"/>
        <v>0</v>
      </c>
      <c r="BK90" s="74">
        <f t="shared" si="73"/>
        <v>0</v>
      </c>
      <c r="BL90" s="74">
        <f t="shared" si="73"/>
        <v>0</v>
      </c>
      <c r="BM90" s="74">
        <f t="shared" si="73"/>
        <v>0</v>
      </c>
      <c r="BN90" s="74">
        <f t="shared" si="73"/>
        <v>0</v>
      </c>
      <c r="BO90" s="74">
        <f t="shared" si="73"/>
        <v>0</v>
      </c>
      <c r="BP90" s="74">
        <f t="shared" si="73"/>
        <v>0</v>
      </c>
      <c r="BQ90" s="74">
        <f t="shared" si="73"/>
        <v>0</v>
      </c>
      <c r="BR90" s="75">
        <f t="shared" si="73"/>
        <v>0</v>
      </c>
    </row>
    <row r="91" spans="1:70" ht="15" thickBot="1" x14ac:dyDescent="0.4">
      <c r="O91" s="44"/>
    </row>
    <row r="92" spans="1:70" ht="15" thickBot="1" x14ac:dyDescent="0.4">
      <c r="A92" s="168" t="s">
        <v>163</v>
      </c>
      <c r="B92" s="23">
        <v>45992</v>
      </c>
      <c r="C92" s="24"/>
      <c r="D92" s="23">
        <v>46023</v>
      </c>
      <c r="E92" s="24"/>
      <c r="F92" s="23">
        <v>46054</v>
      </c>
      <c r="G92" s="24"/>
      <c r="H92" s="23">
        <v>46082</v>
      </c>
      <c r="I92" s="24"/>
      <c r="J92" s="23">
        <v>46113</v>
      </c>
      <c r="K92" s="24"/>
      <c r="L92" s="23">
        <v>46143</v>
      </c>
      <c r="M92" s="24"/>
      <c r="N92" s="23">
        <v>46174</v>
      </c>
      <c r="O92" s="24"/>
      <c r="P92" s="23">
        <v>46204</v>
      </c>
      <c r="Q92" s="24"/>
      <c r="R92" s="23">
        <v>46235</v>
      </c>
      <c r="S92" s="24"/>
      <c r="T92" s="23">
        <v>46266</v>
      </c>
      <c r="U92" s="24"/>
      <c r="V92" s="23">
        <v>46296</v>
      </c>
      <c r="W92" s="24"/>
      <c r="X92" s="23">
        <v>46327</v>
      </c>
      <c r="Y92" s="24"/>
      <c r="Z92" s="23">
        <v>46357</v>
      </c>
      <c r="AA92" s="24"/>
      <c r="AB92" s="23">
        <v>46388</v>
      </c>
      <c r="AC92" s="24"/>
      <c r="AD92" s="23">
        <v>46419</v>
      </c>
      <c r="AE92" s="24"/>
      <c r="AF92" s="23">
        <v>46447</v>
      </c>
      <c r="AG92" s="24"/>
      <c r="AH92" s="23">
        <v>46478</v>
      </c>
      <c r="AI92" s="24"/>
      <c r="AJ92" s="23">
        <v>46508</v>
      </c>
      <c r="AK92" s="24"/>
      <c r="AL92" s="23">
        <v>46539</v>
      </c>
      <c r="AM92" s="24"/>
      <c r="AN92" s="23">
        <v>46569</v>
      </c>
      <c r="AO92" s="24"/>
      <c r="AP92" s="23">
        <v>46600</v>
      </c>
      <c r="AQ92" s="24"/>
      <c r="AR92" s="23">
        <v>46631</v>
      </c>
      <c r="AS92" s="24"/>
      <c r="AT92" s="23">
        <v>46661</v>
      </c>
      <c r="AU92" s="25"/>
      <c r="AV92" s="63">
        <v>45992</v>
      </c>
      <c r="AW92" s="62">
        <v>46023</v>
      </c>
      <c r="AX92" s="62">
        <v>46054</v>
      </c>
      <c r="AY92" s="62">
        <v>46082</v>
      </c>
      <c r="AZ92" s="62">
        <v>46113</v>
      </c>
      <c r="BA92" s="62">
        <v>46143</v>
      </c>
      <c r="BB92" s="62">
        <v>46174</v>
      </c>
      <c r="BC92" s="62">
        <v>46204</v>
      </c>
      <c r="BD92" s="62">
        <v>46235</v>
      </c>
      <c r="BE92" s="62">
        <v>46266</v>
      </c>
      <c r="BF92" s="62">
        <v>46296</v>
      </c>
      <c r="BG92" s="62">
        <v>46327</v>
      </c>
      <c r="BH92" s="62">
        <v>46357</v>
      </c>
      <c r="BI92" s="62">
        <v>46388</v>
      </c>
      <c r="BJ92" s="62">
        <v>46419</v>
      </c>
      <c r="BK92" s="62">
        <v>46447</v>
      </c>
      <c r="BL92" s="62">
        <v>46478</v>
      </c>
      <c r="BM92" s="62">
        <v>46508</v>
      </c>
      <c r="BN92" s="62">
        <v>46539</v>
      </c>
      <c r="BO92" s="62">
        <v>46569</v>
      </c>
      <c r="BP92" s="62">
        <v>46600</v>
      </c>
      <c r="BQ92" s="62">
        <v>46631</v>
      </c>
      <c r="BR92" s="64">
        <v>46661</v>
      </c>
    </row>
    <row r="93" spans="1:70" ht="15" thickBot="1" x14ac:dyDescent="0.4">
      <c r="A93" s="169"/>
      <c r="B93" s="26" t="s">
        <v>100</v>
      </c>
      <c r="C93" s="27" t="s">
        <v>101</v>
      </c>
      <c r="D93" s="26" t="s">
        <v>100</v>
      </c>
      <c r="E93" s="27" t="s">
        <v>101</v>
      </c>
      <c r="F93" s="26" t="s">
        <v>100</v>
      </c>
      <c r="G93" s="27" t="s">
        <v>101</v>
      </c>
      <c r="H93" s="26" t="s">
        <v>100</v>
      </c>
      <c r="I93" s="27" t="s">
        <v>101</v>
      </c>
      <c r="J93" s="26" t="s">
        <v>100</v>
      </c>
      <c r="K93" s="27" t="s">
        <v>101</v>
      </c>
      <c r="L93" s="26" t="s">
        <v>100</v>
      </c>
      <c r="M93" s="27" t="s">
        <v>101</v>
      </c>
      <c r="N93" s="26" t="s">
        <v>100</v>
      </c>
      <c r="O93" s="27" t="s">
        <v>101</v>
      </c>
      <c r="P93" s="26" t="s">
        <v>100</v>
      </c>
      <c r="Q93" s="27" t="s">
        <v>101</v>
      </c>
      <c r="R93" s="26" t="s">
        <v>100</v>
      </c>
      <c r="S93" s="27" t="s">
        <v>101</v>
      </c>
      <c r="T93" s="26" t="s">
        <v>100</v>
      </c>
      <c r="U93" s="27" t="s">
        <v>101</v>
      </c>
      <c r="V93" s="26" t="s">
        <v>100</v>
      </c>
      <c r="W93" s="27" t="s">
        <v>101</v>
      </c>
      <c r="X93" s="26" t="s">
        <v>100</v>
      </c>
      <c r="Y93" s="27" t="s">
        <v>101</v>
      </c>
      <c r="Z93" s="26" t="s">
        <v>100</v>
      </c>
      <c r="AA93" s="27" t="s">
        <v>101</v>
      </c>
      <c r="AB93" s="26" t="s">
        <v>100</v>
      </c>
      <c r="AC93" s="27" t="s">
        <v>101</v>
      </c>
      <c r="AD93" s="26" t="s">
        <v>100</v>
      </c>
      <c r="AE93" s="27" t="s">
        <v>101</v>
      </c>
      <c r="AF93" s="26" t="s">
        <v>100</v>
      </c>
      <c r="AG93" s="27" t="s">
        <v>101</v>
      </c>
      <c r="AH93" s="26" t="s">
        <v>100</v>
      </c>
      <c r="AI93" s="27" t="s">
        <v>101</v>
      </c>
      <c r="AJ93" s="26" t="s">
        <v>100</v>
      </c>
      <c r="AK93" s="27" t="s">
        <v>101</v>
      </c>
      <c r="AL93" s="26" t="s">
        <v>100</v>
      </c>
      <c r="AM93" s="27" t="s">
        <v>101</v>
      </c>
      <c r="AN93" s="26" t="s">
        <v>100</v>
      </c>
      <c r="AO93" s="27" t="s">
        <v>101</v>
      </c>
      <c r="AP93" s="26" t="s">
        <v>100</v>
      </c>
      <c r="AQ93" s="27" t="s">
        <v>101</v>
      </c>
      <c r="AR93" s="26" t="s">
        <v>100</v>
      </c>
      <c r="AS93" s="27" t="s">
        <v>101</v>
      </c>
      <c r="AT93" s="26" t="s">
        <v>100</v>
      </c>
      <c r="AU93" s="28" t="s">
        <v>101</v>
      </c>
      <c r="AV93" s="65" t="s">
        <v>164</v>
      </c>
      <c r="AW93" s="26" t="s">
        <v>164</v>
      </c>
      <c r="AX93" s="26" t="s">
        <v>164</v>
      </c>
      <c r="AY93" s="26" t="s">
        <v>164</v>
      </c>
      <c r="AZ93" s="26" t="s">
        <v>164</v>
      </c>
      <c r="BA93" s="26" t="s">
        <v>164</v>
      </c>
      <c r="BB93" s="26" t="s">
        <v>164</v>
      </c>
      <c r="BC93" s="26" t="s">
        <v>164</v>
      </c>
      <c r="BD93" s="26" t="s">
        <v>164</v>
      </c>
      <c r="BE93" s="26" t="s">
        <v>164</v>
      </c>
      <c r="BF93" s="26" t="s">
        <v>164</v>
      </c>
      <c r="BG93" s="26" t="s">
        <v>164</v>
      </c>
      <c r="BH93" s="26" t="s">
        <v>164</v>
      </c>
      <c r="BI93" s="26" t="s">
        <v>164</v>
      </c>
      <c r="BJ93" s="26" t="s">
        <v>164</v>
      </c>
      <c r="BK93" s="26" t="s">
        <v>164</v>
      </c>
      <c r="BL93" s="26" t="s">
        <v>164</v>
      </c>
      <c r="BM93" s="26" t="s">
        <v>164</v>
      </c>
      <c r="BN93" s="26" t="s">
        <v>164</v>
      </c>
      <c r="BO93" s="26" t="s">
        <v>164</v>
      </c>
      <c r="BP93" s="26" t="s">
        <v>164</v>
      </c>
      <c r="BQ93" s="26" t="s">
        <v>164</v>
      </c>
      <c r="BR93" s="66" t="s">
        <v>164</v>
      </c>
    </row>
    <row r="94" spans="1:70" x14ac:dyDescent="0.35">
      <c r="A94" s="33" t="s">
        <v>150</v>
      </c>
      <c r="B94" s="57">
        <v>0</v>
      </c>
      <c r="C94" s="58">
        <v>0</v>
      </c>
      <c r="D94" s="57">
        <v>0</v>
      </c>
      <c r="E94" s="58">
        <v>1</v>
      </c>
      <c r="F94" s="57">
        <v>1</v>
      </c>
      <c r="G94" s="58">
        <v>3</v>
      </c>
      <c r="H94" s="57">
        <v>3</v>
      </c>
      <c r="I94" s="58">
        <v>3</v>
      </c>
      <c r="J94" s="57">
        <v>3</v>
      </c>
      <c r="K94" s="58">
        <v>3</v>
      </c>
      <c r="L94" s="57">
        <v>3</v>
      </c>
      <c r="M94" s="58">
        <v>3</v>
      </c>
      <c r="N94" s="57">
        <v>3</v>
      </c>
      <c r="O94" s="58">
        <v>5</v>
      </c>
      <c r="P94" s="57">
        <v>3</v>
      </c>
      <c r="Q94" s="129">
        <v>7</v>
      </c>
      <c r="R94" s="57">
        <v>3</v>
      </c>
      <c r="S94" s="58"/>
      <c r="T94" s="57">
        <v>3</v>
      </c>
      <c r="U94" s="58"/>
      <c r="V94" s="57">
        <v>3</v>
      </c>
      <c r="W94" s="58"/>
      <c r="X94" s="57">
        <v>3</v>
      </c>
      <c r="Y94" s="58"/>
      <c r="Z94" s="57">
        <v>3</v>
      </c>
      <c r="AA94" s="58"/>
      <c r="AB94" s="57">
        <v>3</v>
      </c>
      <c r="AC94" s="58"/>
      <c r="AD94" s="57">
        <v>3</v>
      </c>
      <c r="AE94" s="58"/>
      <c r="AF94" s="57">
        <v>3</v>
      </c>
      <c r="AG94" s="58"/>
      <c r="AH94" s="57">
        <v>3</v>
      </c>
      <c r="AI94" s="58"/>
      <c r="AJ94" s="57">
        <v>3</v>
      </c>
      <c r="AK94" s="58"/>
      <c r="AL94" s="57">
        <v>3</v>
      </c>
      <c r="AM94" s="58"/>
      <c r="AN94" s="57">
        <v>3</v>
      </c>
      <c r="AO94" s="58"/>
      <c r="AP94" s="57">
        <v>3</v>
      </c>
      <c r="AQ94" s="58"/>
      <c r="AR94" s="57">
        <v>3</v>
      </c>
      <c r="AS94" s="58"/>
      <c r="AT94" s="45">
        <v>0</v>
      </c>
      <c r="AU94" s="59"/>
      <c r="AV94" s="76">
        <f>C94-B94</f>
        <v>0</v>
      </c>
      <c r="AW94" s="45">
        <f>E94-D94</f>
        <v>1</v>
      </c>
      <c r="AX94" s="45">
        <f>G94-F94</f>
        <v>2</v>
      </c>
      <c r="AY94" s="45">
        <f>I94-H94</f>
        <v>0</v>
      </c>
      <c r="AZ94" s="45">
        <f>K94-J94</f>
        <v>0</v>
      </c>
      <c r="BA94" s="45">
        <f>M94-L94</f>
        <v>0</v>
      </c>
      <c r="BB94" s="45">
        <f>O94-N94</f>
        <v>2</v>
      </c>
      <c r="BC94" s="45">
        <f t="shared" ref="BC94:BC115" si="74">Q94-P94</f>
        <v>4</v>
      </c>
      <c r="BD94" s="45"/>
      <c r="BE94" s="45"/>
      <c r="BF94" s="45"/>
      <c r="BG94" s="45"/>
      <c r="BH94" s="45"/>
      <c r="BI94" s="45"/>
      <c r="BJ94" s="45"/>
      <c r="BK94" s="45"/>
      <c r="BL94" s="45"/>
      <c r="BM94" s="45"/>
      <c r="BN94" s="45"/>
      <c r="BO94" s="45"/>
      <c r="BP94" s="45"/>
      <c r="BQ94" s="45"/>
      <c r="BR94" s="36"/>
    </row>
    <row r="95" spans="1:70" x14ac:dyDescent="0.35">
      <c r="A95" s="29" t="s">
        <v>151</v>
      </c>
      <c r="B95" s="37">
        <v>0</v>
      </c>
      <c r="C95" s="38">
        <v>0</v>
      </c>
      <c r="D95" s="37">
        <v>1</v>
      </c>
      <c r="E95" s="38">
        <v>1</v>
      </c>
      <c r="F95" s="37">
        <v>2</v>
      </c>
      <c r="G95" s="38">
        <v>1</v>
      </c>
      <c r="H95" s="37">
        <v>5</v>
      </c>
      <c r="I95" s="38">
        <v>2</v>
      </c>
      <c r="J95" s="37">
        <v>5</v>
      </c>
      <c r="K95" s="38">
        <v>3</v>
      </c>
      <c r="L95" s="37">
        <v>5</v>
      </c>
      <c r="M95" s="38">
        <v>3</v>
      </c>
      <c r="N95" s="37">
        <v>5</v>
      </c>
      <c r="O95" s="38">
        <v>5</v>
      </c>
      <c r="P95" s="37">
        <v>5</v>
      </c>
      <c r="Q95" s="87">
        <v>5</v>
      </c>
      <c r="R95" s="37">
        <v>5</v>
      </c>
      <c r="S95" s="38"/>
      <c r="T95" s="37">
        <v>5</v>
      </c>
      <c r="U95" s="38"/>
      <c r="V95" s="37">
        <v>5</v>
      </c>
      <c r="W95" s="38"/>
      <c r="X95" s="37">
        <v>5</v>
      </c>
      <c r="Y95" s="38"/>
      <c r="Z95" s="37">
        <v>5</v>
      </c>
      <c r="AA95" s="38"/>
      <c r="AB95" s="37">
        <v>5</v>
      </c>
      <c r="AC95" s="38"/>
      <c r="AD95" s="37">
        <v>5</v>
      </c>
      <c r="AE95" s="38"/>
      <c r="AF95" s="37">
        <v>5</v>
      </c>
      <c r="AG95" s="38"/>
      <c r="AH95" s="37">
        <v>5</v>
      </c>
      <c r="AI95" s="38"/>
      <c r="AJ95" s="37">
        <v>5</v>
      </c>
      <c r="AK95" s="38"/>
      <c r="AL95" s="37">
        <v>5</v>
      </c>
      <c r="AM95" s="38"/>
      <c r="AN95" s="37">
        <v>5</v>
      </c>
      <c r="AO95" s="38"/>
      <c r="AP95" s="37">
        <v>5</v>
      </c>
      <c r="AQ95" s="38"/>
      <c r="AR95" s="37">
        <v>5</v>
      </c>
      <c r="AS95" s="38"/>
      <c r="AT95" s="44">
        <v>0</v>
      </c>
      <c r="AU95" s="60"/>
      <c r="AV95" s="77">
        <f t="shared" ref="AV95:AV115" si="75">C95-B95</f>
        <v>0</v>
      </c>
      <c r="AW95" s="44">
        <f t="shared" ref="AW95:AW115" si="76">E95-D95</f>
        <v>0</v>
      </c>
      <c r="AX95" s="44">
        <f t="shared" ref="AX95:AX115" si="77">G95-F95</f>
        <v>-1</v>
      </c>
      <c r="AY95" s="44">
        <f t="shared" ref="AY95:AY115" si="78">I95-H95</f>
        <v>-3</v>
      </c>
      <c r="AZ95" s="44">
        <f t="shared" ref="AZ95:AZ115" si="79">K95-J95</f>
        <v>-2</v>
      </c>
      <c r="BA95" s="44">
        <f t="shared" ref="BA95:BA115" si="80">M95-L95</f>
        <v>-2</v>
      </c>
      <c r="BB95" s="44">
        <f t="shared" ref="BB95:BB115" si="81">O95-N95</f>
        <v>0</v>
      </c>
      <c r="BC95" s="44">
        <f t="shared" si="74"/>
        <v>0</v>
      </c>
      <c r="BD95" s="44"/>
      <c r="BE95" s="44"/>
      <c r="BF95" s="44"/>
      <c r="BG95" s="44"/>
      <c r="BH95" s="44"/>
      <c r="BI95" s="44"/>
      <c r="BJ95" s="44"/>
      <c r="BK95" s="44"/>
      <c r="BL95" s="44"/>
      <c r="BM95" s="44"/>
      <c r="BN95" s="44"/>
      <c r="BO95" s="44"/>
      <c r="BP95" s="44"/>
      <c r="BQ95" s="44"/>
      <c r="BR95" s="39"/>
    </row>
    <row r="96" spans="1:70" x14ac:dyDescent="0.35">
      <c r="A96" s="33" t="s">
        <v>152</v>
      </c>
      <c r="B96" s="34">
        <v>0</v>
      </c>
      <c r="C96" s="35">
        <v>0</v>
      </c>
      <c r="D96" s="34">
        <v>0</v>
      </c>
      <c r="E96" s="35">
        <v>1</v>
      </c>
      <c r="F96" s="34">
        <v>3</v>
      </c>
      <c r="G96" s="35">
        <v>1</v>
      </c>
      <c r="H96" s="34">
        <v>4</v>
      </c>
      <c r="I96" s="35">
        <v>1</v>
      </c>
      <c r="J96" s="34">
        <v>5</v>
      </c>
      <c r="K96" s="35">
        <v>1</v>
      </c>
      <c r="L96" s="34">
        <v>5</v>
      </c>
      <c r="M96" s="35">
        <v>5</v>
      </c>
      <c r="N96" s="34">
        <v>5</v>
      </c>
      <c r="O96" s="35">
        <v>5</v>
      </c>
      <c r="P96" s="34">
        <v>5</v>
      </c>
      <c r="Q96" s="87">
        <v>7</v>
      </c>
      <c r="R96" s="34">
        <v>5</v>
      </c>
      <c r="S96" s="35"/>
      <c r="T96" s="34">
        <v>5</v>
      </c>
      <c r="U96" s="35"/>
      <c r="V96" s="34">
        <v>5</v>
      </c>
      <c r="W96" s="35"/>
      <c r="X96" s="34">
        <v>5</v>
      </c>
      <c r="Y96" s="35"/>
      <c r="Z96" s="34">
        <v>5</v>
      </c>
      <c r="AA96" s="35"/>
      <c r="AB96" s="34">
        <v>5</v>
      </c>
      <c r="AC96" s="35"/>
      <c r="AD96" s="34">
        <v>5</v>
      </c>
      <c r="AE96" s="35"/>
      <c r="AF96" s="34">
        <v>5</v>
      </c>
      <c r="AG96" s="35"/>
      <c r="AH96" s="34">
        <v>5</v>
      </c>
      <c r="AI96" s="35"/>
      <c r="AJ96" s="34">
        <v>5</v>
      </c>
      <c r="AK96" s="35"/>
      <c r="AL96" s="34">
        <v>5</v>
      </c>
      <c r="AM96" s="35"/>
      <c r="AN96" s="34">
        <v>5</v>
      </c>
      <c r="AO96" s="35"/>
      <c r="AP96" s="34">
        <v>5</v>
      </c>
      <c r="AQ96" s="35"/>
      <c r="AR96" s="34">
        <v>5</v>
      </c>
      <c r="AS96" s="35"/>
      <c r="AT96" s="45">
        <v>2</v>
      </c>
      <c r="AU96" s="59"/>
      <c r="AV96" s="76">
        <f t="shared" si="75"/>
        <v>0</v>
      </c>
      <c r="AW96" s="45">
        <f t="shared" si="76"/>
        <v>1</v>
      </c>
      <c r="AX96" s="45">
        <f t="shared" si="77"/>
        <v>-2</v>
      </c>
      <c r="AY96" s="45">
        <f t="shared" si="78"/>
        <v>-3</v>
      </c>
      <c r="AZ96" s="45">
        <f t="shared" si="79"/>
        <v>-4</v>
      </c>
      <c r="BA96" s="45">
        <f t="shared" si="80"/>
        <v>0</v>
      </c>
      <c r="BB96" s="45">
        <f t="shared" si="81"/>
        <v>0</v>
      </c>
      <c r="BC96" s="45">
        <f t="shared" si="74"/>
        <v>2</v>
      </c>
      <c r="BD96" s="45"/>
      <c r="BE96" s="45"/>
      <c r="BF96" s="45"/>
      <c r="BG96" s="45"/>
      <c r="BH96" s="45"/>
      <c r="BI96" s="45"/>
      <c r="BJ96" s="45"/>
      <c r="BK96" s="45"/>
      <c r="BL96" s="45"/>
      <c r="BM96" s="45"/>
      <c r="BN96" s="45"/>
      <c r="BO96" s="45"/>
      <c r="BP96" s="45"/>
      <c r="BQ96" s="45"/>
      <c r="BR96" s="36"/>
    </row>
    <row r="97" spans="1:70" x14ac:dyDescent="0.35">
      <c r="A97" s="29" t="s">
        <v>153</v>
      </c>
      <c r="B97" s="37">
        <v>0</v>
      </c>
      <c r="C97" s="38">
        <v>0</v>
      </c>
      <c r="D97" s="37">
        <v>0</v>
      </c>
      <c r="E97" s="38">
        <v>1</v>
      </c>
      <c r="F97" s="37">
        <v>1</v>
      </c>
      <c r="G97" s="38">
        <v>1</v>
      </c>
      <c r="H97" s="37">
        <v>2</v>
      </c>
      <c r="I97" s="38">
        <v>2</v>
      </c>
      <c r="J97" s="37">
        <v>2</v>
      </c>
      <c r="K97" s="38">
        <v>2</v>
      </c>
      <c r="L97" s="37">
        <v>2</v>
      </c>
      <c r="M97" s="38">
        <v>2</v>
      </c>
      <c r="N97" s="37">
        <v>2</v>
      </c>
      <c r="O97" s="38">
        <v>2</v>
      </c>
      <c r="P97" s="37">
        <v>2</v>
      </c>
      <c r="Q97" s="87">
        <v>1</v>
      </c>
      <c r="R97" s="37">
        <v>2</v>
      </c>
      <c r="S97" s="38"/>
      <c r="T97" s="37">
        <v>2</v>
      </c>
      <c r="U97" s="38"/>
      <c r="V97" s="37">
        <v>2</v>
      </c>
      <c r="W97" s="38"/>
      <c r="X97" s="37">
        <v>2</v>
      </c>
      <c r="Y97" s="38"/>
      <c r="Z97" s="37">
        <v>2</v>
      </c>
      <c r="AA97" s="38"/>
      <c r="AB97" s="37">
        <v>2</v>
      </c>
      <c r="AC97" s="38"/>
      <c r="AD97" s="37">
        <v>2</v>
      </c>
      <c r="AE97" s="38"/>
      <c r="AF97" s="37">
        <v>2</v>
      </c>
      <c r="AG97" s="38"/>
      <c r="AH97" s="37">
        <v>2</v>
      </c>
      <c r="AI97" s="38"/>
      <c r="AJ97" s="37">
        <v>2</v>
      </c>
      <c r="AK97" s="38"/>
      <c r="AL97" s="37">
        <v>2</v>
      </c>
      <c r="AM97" s="38"/>
      <c r="AN97" s="37">
        <v>2</v>
      </c>
      <c r="AO97" s="38"/>
      <c r="AP97" s="37">
        <v>2</v>
      </c>
      <c r="AQ97" s="38"/>
      <c r="AR97" s="37">
        <v>2</v>
      </c>
      <c r="AS97" s="38"/>
      <c r="AT97" s="44">
        <v>1</v>
      </c>
      <c r="AU97" s="60"/>
      <c r="AV97" s="77">
        <f t="shared" si="75"/>
        <v>0</v>
      </c>
      <c r="AW97" s="44">
        <f t="shared" si="76"/>
        <v>1</v>
      </c>
      <c r="AX97" s="44">
        <f t="shared" si="77"/>
        <v>0</v>
      </c>
      <c r="AY97" s="44">
        <f t="shared" si="78"/>
        <v>0</v>
      </c>
      <c r="AZ97" s="44">
        <f t="shared" si="79"/>
        <v>0</v>
      </c>
      <c r="BA97" s="44">
        <f t="shared" si="80"/>
        <v>0</v>
      </c>
      <c r="BB97" s="44">
        <f t="shared" si="81"/>
        <v>0</v>
      </c>
      <c r="BC97" s="44">
        <f t="shared" si="74"/>
        <v>-1</v>
      </c>
      <c r="BD97" s="44"/>
      <c r="BE97" s="44"/>
      <c r="BF97" s="44"/>
      <c r="BG97" s="44"/>
      <c r="BH97" s="44"/>
      <c r="BI97" s="44"/>
      <c r="BJ97" s="44"/>
      <c r="BK97" s="44"/>
      <c r="BL97" s="44"/>
      <c r="BM97" s="44"/>
      <c r="BN97" s="44"/>
      <c r="BO97" s="44"/>
      <c r="BP97" s="44"/>
      <c r="BQ97" s="44"/>
      <c r="BR97" s="39"/>
    </row>
    <row r="98" spans="1:70" x14ac:dyDescent="0.35">
      <c r="A98" s="33" t="s">
        <v>154</v>
      </c>
      <c r="B98" s="34">
        <v>0</v>
      </c>
      <c r="C98" s="35">
        <v>0</v>
      </c>
      <c r="D98" s="34">
        <v>0</v>
      </c>
      <c r="E98" s="35">
        <v>0</v>
      </c>
      <c r="F98" s="34">
        <v>1</v>
      </c>
      <c r="G98" s="35">
        <v>0</v>
      </c>
      <c r="H98" s="34">
        <v>1</v>
      </c>
      <c r="I98" s="35">
        <v>0</v>
      </c>
      <c r="J98" s="34">
        <v>1</v>
      </c>
      <c r="K98" s="35">
        <v>0</v>
      </c>
      <c r="L98" s="34">
        <v>1</v>
      </c>
      <c r="M98" s="35">
        <v>0</v>
      </c>
      <c r="N98" s="34">
        <v>1</v>
      </c>
      <c r="O98" s="35">
        <v>0</v>
      </c>
      <c r="P98" s="34">
        <v>1</v>
      </c>
      <c r="Q98" s="87"/>
      <c r="R98" s="34">
        <v>1</v>
      </c>
      <c r="S98" s="35"/>
      <c r="T98" s="34">
        <v>1</v>
      </c>
      <c r="U98" s="35"/>
      <c r="V98" s="34">
        <v>1</v>
      </c>
      <c r="W98" s="35"/>
      <c r="X98" s="34">
        <v>1</v>
      </c>
      <c r="Y98" s="35"/>
      <c r="Z98" s="34">
        <v>1</v>
      </c>
      <c r="AA98" s="35"/>
      <c r="AB98" s="34">
        <v>1</v>
      </c>
      <c r="AC98" s="35"/>
      <c r="AD98" s="34">
        <v>1</v>
      </c>
      <c r="AE98" s="35"/>
      <c r="AF98" s="34">
        <v>1</v>
      </c>
      <c r="AG98" s="35"/>
      <c r="AH98" s="34">
        <v>1</v>
      </c>
      <c r="AI98" s="35"/>
      <c r="AJ98" s="34">
        <v>1</v>
      </c>
      <c r="AK98" s="35"/>
      <c r="AL98" s="34">
        <v>1</v>
      </c>
      <c r="AM98" s="35"/>
      <c r="AN98" s="34">
        <v>1</v>
      </c>
      <c r="AO98" s="35"/>
      <c r="AP98" s="34">
        <v>1</v>
      </c>
      <c r="AQ98" s="35"/>
      <c r="AR98" s="34">
        <v>1</v>
      </c>
      <c r="AS98" s="35"/>
      <c r="AT98" s="45">
        <v>0</v>
      </c>
      <c r="AU98" s="59"/>
      <c r="AV98" s="76">
        <f t="shared" si="75"/>
        <v>0</v>
      </c>
      <c r="AW98" s="45">
        <f t="shared" si="76"/>
        <v>0</v>
      </c>
      <c r="AX98" s="45">
        <f t="shared" si="77"/>
        <v>-1</v>
      </c>
      <c r="AY98" s="45">
        <f t="shared" si="78"/>
        <v>-1</v>
      </c>
      <c r="AZ98" s="45">
        <f t="shared" si="79"/>
        <v>-1</v>
      </c>
      <c r="BA98" s="45">
        <f t="shared" si="80"/>
        <v>-1</v>
      </c>
      <c r="BB98" s="45">
        <f t="shared" si="81"/>
        <v>-1</v>
      </c>
      <c r="BC98" s="45">
        <f t="shared" si="74"/>
        <v>-1</v>
      </c>
      <c r="BD98" s="45"/>
      <c r="BE98" s="45"/>
      <c r="BF98" s="45"/>
      <c r="BG98" s="45"/>
      <c r="BH98" s="45"/>
      <c r="BI98" s="45"/>
      <c r="BJ98" s="45"/>
      <c r="BK98" s="45"/>
      <c r="BL98" s="45"/>
      <c r="BM98" s="45"/>
      <c r="BN98" s="45"/>
      <c r="BO98" s="45"/>
      <c r="BP98" s="45"/>
      <c r="BQ98" s="45"/>
      <c r="BR98" s="36"/>
    </row>
    <row r="99" spans="1:70" x14ac:dyDescent="0.35">
      <c r="A99" s="29" t="s">
        <v>154</v>
      </c>
      <c r="B99" s="37">
        <v>0</v>
      </c>
      <c r="C99" s="38">
        <v>0</v>
      </c>
      <c r="D99" s="37">
        <v>0</v>
      </c>
      <c r="E99" s="38">
        <v>1</v>
      </c>
      <c r="F99" s="37">
        <v>1</v>
      </c>
      <c r="G99" s="38">
        <v>1</v>
      </c>
      <c r="H99" s="37">
        <v>1</v>
      </c>
      <c r="I99" s="38">
        <v>2</v>
      </c>
      <c r="J99" s="37">
        <v>1</v>
      </c>
      <c r="K99" s="38">
        <v>2</v>
      </c>
      <c r="L99" s="37">
        <v>1</v>
      </c>
      <c r="M99" s="38">
        <v>2</v>
      </c>
      <c r="N99" s="37">
        <v>1</v>
      </c>
      <c r="O99" s="38">
        <v>2</v>
      </c>
      <c r="P99" s="37">
        <v>1</v>
      </c>
      <c r="Q99" s="87">
        <v>2</v>
      </c>
      <c r="R99" s="37">
        <v>1</v>
      </c>
      <c r="S99" s="38"/>
      <c r="T99" s="37">
        <v>1</v>
      </c>
      <c r="U99" s="38"/>
      <c r="V99" s="37">
        <v>1</v>
      </c>
      <c r="W99" s="38"/>
      <c r="X99" s="37">
        <v>1</v>
      </c>
      <c r="Y99" s="38"/>
      <c r="Z99" s="37">
        <v>1</v>
      </c>
      <c r="AA99" s="38"/>
      <c r="AB99" s="37">
        <v>1</v>
      </c>
      <c r="AC99" s="38"/>
      <c r="AD99" s="37">
        <v>1</v>
      </c>
      <c r="AE99" s="38"/>
      <c r="AF99" s="37">
        <v>1</v>
      </c>
      <c r="AG99" s="38"/>
      <c r="AH99" s="37">
        <v>1</v>
      </c>
      <c r="AI99" s="38"/>
      <c r="AJ99" s="37">
        <v>1</v>
      </c>
      <c r="AK99" s="38"/>
      <c r="AL99" s="37">
        <v>1</v>
      </c>
      <c r="AM99" s="38"/>
      <c r="AN99" s="37">
        <v>1</v>
      </c>
      <c r="AO99" s="38"/>
      <c r="AP99" s="37">
        <v>1</v>
      </c>
      <c r="AQ99" s="38"/>
      <c r="AR99" s="37">
        <v>0</v>
      </c>
      <c r="AS99" s="38"/>
      <c r="AT99" s="44">
        <v>0</v>
      </c>
      <c r="AU99" s="60"/>
      <c r="AV99" s="77">
        <f t="shared" si="75"/>
        <v>0</v>
      </c>
      <c r="AW99" s="44">
        <f t="shared" si="76"/>
        <v>1</v>
      </c>
      <c r="AX99" s="44">
        <f t="shared" si="77"/>
        <v>0</v>
      </c>
      <c r="AY99" s="44">
        <f t="shared" si="78"/>
        <v>1</v>
      </c>
      <c r="AZ99" s="44">
        <f t="shared" si="79"/>
        <v>1</v>
      </c>
      <c r="BA99" s="44">
        <f t="shared" si="80"/>
        <v>1</v>
      </c>
      <c r="BB99" s="44">
        <f t="shared" si="81"/>
        <v>1</v>
      </c>
      <c r="BC99" s="44">
        <f t="shared" si="74"/>
        <v>1</v>
      </c>
      <c r="BD99" s="44"/>
      <c r="BE99" s="44"/>
      <c r="BF99" s="44"/>
      <c r="BG99" s="44"/>
      <c r="BH99" s="44"/>
      <c r="BI99" s="44"/>
      <c r="BJ99" s="44"/>
      <c r="BK99" s="44"/>
      <c r="BL99" s="44"/>
      <c r="BM99" s="44"/>
      <c r="BN99" s="44"/>
      <c r="BO99" s="44"/>
      <c r="BP99" s="44"/>
      <c r="BQ99" s="44"/>
      <c r="BR99" s="39"/>
    </row>
    <row r="100" spans="1:70" x14ac:dyDescent="0.35">
      <c r="A100" s="79" t="s">
        <v>155</v>
      </c>
      <c r="B100" s="80">
        <v>0</v>
      </c>
      <c r="C100" s="81">
        <v>0</v>
      </c>
      <c r="D100" s="80">
        <v>0</v>
      </c>
      <c r="E100" s="81">
        <v>1</v>
      </c>
      <c r="F100" s="80">
        <v>0</v>
      </c>
      <c r="G100" s="81">
        <v>2</v>
      </c>
      <c r="H100" s="80">
        <v>0</v>
      </c>
      <c r="I100" s="81">
        <v>3</v>
      </c>
      <c r="J100" s="80">
        <v>0</v>
      </c>
      <c r="K100" s="81">
        <v>5</v>
      </c>
      <c r="L100" s="80">
        <v>0</v>
      </c>
      <c r="M100" s="81">
        <v>5</v>
      </c>
      <c r="N100" s="80">
        <v>0</v>
      </c>
      <c r="O100" s="81">
        <v>5</v>
      </c>
      <c r="P100" s="80">
        <v>0</v>
      </c>
      <c r="Q100" s="81">
        <v>5</v>
      </c>
      <c r="R100" s="80">
        <v>0</v>
      </c>
      <c r="S100" s="81"/>
      <c r="T100" s="80">
        <v>0</v>
      </c>
      <c r="U100" s="81"/>
      <c r="V100" s="80">
        <v>0</v>
      </c>
      <c r="W100" s="81"/>
      <c r="X100" s="80">
        <v>0</v>
      </c>
      <c r="Y100" s="81"/>
      <c r="Z100" s="80">
        <v>0</v>
      </c>
      <c r="AA100" s="81"/>
      <c r="AB100" s="80">
        <v>0</v>
      </c>
      <c r="AC100" s="81"/>
      <c r="AD100" s="80">
        <v>0</v>
      </c>
      <c r="AE100" s="81"/>
      <c r="AF100" s="80">
        <v>0</v>
      </c>
      <c r="AG100" s="81"/>
      <c r="AH100" s="80">
        <v>0</v>
      </c>
      <c r="AI100" s="81"/>
      <c r="AJ100" s="80">
        <v>0</v>
      </c>
      <c r="AK100" s="81"/>
      <c r="AL100" s="80">
        <v>0</v>
      </c>
      <c r="AM100" s="81"/>
      <c r="AN100" s="80">
        <v>0</v>
      </c>
      <c r="AO100" s="81"/>
      <c r="AP100" s="80">
        <v>0</v>
      </c>
      <c r="AQ100" s="81"/>
      <c r="AR100" s="80">
        <v>0</v>
      </c>
      <c r="AS100" s="81"/>
      <c r="AT100" s="82">
        <v>0</v>
      </c>
      <c r="AU100" s="83"/>
      <c r="AV100" s="84">
        <f t="shared" si="75"/>
        <v>0</v>
      </c>
      <c r="AW100" s="82">
        <f t="shared" si="76"/>
        <v>1</v>
      </c>
      <c r="AX100" s="82">
        <f t="shared" si="77"/>
        <v>2</v>
      </c>
      <c r="AY100" s="82">
        <f t="shared" si="78"/>
        <v>3</v>
      </c>
      <c r="AZ100" s="82">
        <f t="shared" si="79"/>
        <v>5</v>
      </c>
      <c r="BA100" s="82">
        <f t="shared" si="80"/>
        <v>5</v>
      </c>
      <c r="BB100" s="82">
        <f t="shared" si="81"/>
        <v>5</v>
      </c>
      <c r="BC100" s="82">
        <f t="shared" si="74"/>
        <v>5</v>
      </c>
      <c r="BD100" s="82"/>
      <c r="BE100" s="82"/>
      <c r="BF100" s="82"/>
      <c r="BG100" s="82"/>
      <c r="BH100" s="82"/>
      <c r="BI100" s="82"/>
      <c r="BJ100" s="82"/>
      <c r="BK100" s="82"/>
      <c r="BL100" s="82"/>
      <c r="BM100" s="82"/>
      <c r="BN100" s="82"/>
      <c r="BO100" s="82"/>
      <c r="BP100" s="82"/>
      <c r="BQ100" s="82"/>
      <c r="BR100" s="85"/>
    </row>
    <row r="101" spans="1:70" x14ac:dyDescent="0.35">
      <c r="A101" s="29" t="s">
        <v>165</v>
      </c>
      <c r="B101" s="37">
        <v>0</v>
      </c>
      <c r="C101" s="38">
        <v>0</v>
      </c>
      <c r="D101" s="37">
        <v>0</v>
      </c>
      <c r="E101" s="38">
        <v>0</v>
      </c>
      <c r="F101" s="37">
        <v>1</v>
      </c>
      <c r="G101" s="38">
        <v>0</v>
      </c>
      <c r="H101" s="37">
        <v>1</v>
      </c>
      <c r="I101" s="38">
        <v>0</v>
      </c>
      <c r="J101" s="37">
        <v>1</v>
      </c>
      <c r="K101" s="38">
        <v>0</v>
      </c>
      <c r="L101" s="37">
        <v>1</v>
      </c>
      <c r="M101" s="38">
        <v>0</v>
      </c>
      <c r="N101" s="37">
        <v>1</v>
      </c>
      <c r="O101" s="38">
        <v>1</v>
      </c>
      <c r="P101" s="37">
        <v>1</v>
      </c>
      <c r="Q101" s="87">
        <v>1</v>
      </c>
      <c r="R101" s="37">
        <v>1</v>
      </c>
      <c r="S101" s="38"/>
      <c r="T101" s="37">
        <v>1</v>
      </c>
      <c r="U101" s="38"/>
      <c r="V101" s="37">
        <v>1</v>
      </c>
      <c r="W101" s="38"/>
      <c r="X101" s="37">
        <v>1</v>
      </c>
      <c r="Y101" s="38"/>
      <c r="Z101" s="37">
        <v>1</v>
      </c>
      <c r="AA101" s="38"/>
      <c r="AB101" s="37">
        <v>1</v>
      </c>
      <c r="AC101" s="38"/>
      <c r="AD101" s="37">
        <v>1</v>
      </c>
      <c r="AE101" s="38"/>
      <c r="AF101" s="37">
        <v>1</v>
      </c>
      <c r="AG101" s="38"/>
      <c r="AH101" s="37">
        <v>1</v>
      </c>
      <c r="AI101" s="38"/>
      <c r="AJ101" s="37">
        <v>1</v>
      </c>
      <c r="AK101" s="38"/>
      <c r="AL101" s="37">
        <v>1</v>
      </c>
      <c r="AM101" s="38"/>
      <c r="AN101" s="37">
        <v>1</v>
      </c>
      <c r="AO101" s="38"/>
      <c r="AP101" s="37">
        <v>1</v>
      </c>
      <c r="AQ101" s="38"/>
      <c r="AR101" s="37">
        <v>0</v>
      </c>
      <c r="AS101" s="38"/>
      <c r="AT101" s="44">
        <v>0</v>
      </c>
      <c r="AU101" s="60"/>
      <c r="AV101" s="77">
        <f t="shared" si="75"/>
        <v>0</v>
      </c>
      <c r="AW101" s="44">
        <f t="shared" si="76"/>
        <v>0</v>
      </c>
      <c r="AX101" s="44">
        <f t="shared" si="77"/>
        <v>-1</v>
      </c>
      <c r="AY101" s="44">
        <f t="shared" si="78"/>
        <v>-1</v>
      </c>
      <c r="AZ101" s="44">
        <f t="shared" si="79"/>
        <v>-1</v>
      </c>
      <c r="BA101" s="44">
        <f t="shared" si="80"/>
        <v>-1</v>
      </c>
      <c r="BB101" s="44">
        <f t="shared" si="81"/>
        <v>0</v>
      </c>
      <c r="BC101" s="44">
        <f t="shared" si="74"/>
        <v>0</v>
      </c>
      <c r="BD101" s="44"/>
      <c r="BE101" s="44"/>
      <c r="BF101" s="44"/>
      <c r="BG101" s="44"/>
      <c r="BH101" s="44"/>
      <c r="BI101" s="44"/>
      <c r="BJ101" s="44"/>
      <c r="BK101" s="44"/>
      <c r="BL101" s="44"/>
      <c r="BM101" s="44"/>
      <c r="BN101" s="44"/>
      <c r="BO101" s="44"/>
      <c r="BP101" s="44"/>
      <c r="BQ101" s="44"/>
      <c r="BR101" s="39"/>
    </row>
    <row r="102" spans="1:70" x14ac:dyDescent="0.35">
      <c r="A102" s="33" t="s">
        <v>156</v>
      </c>
      <c r="B102" s="34">
        <v>0</v>
      </c>
      <c r="C102" s="35">
        <v>0</v>
      </c>
      <c r="D102" s="34">
        <v>0</v>
      </c>
      <c r="E102" s="35">
        <v>1</v>
      </c>
      <c r="F102" s="34">
        <v>1</v>
      </c>
      <c r="G102" s="35">
        <v>1</v>
      </c>
      <c r="H102" s="34">
        <v>2</v>
      </c>
      <c r="I102" s="35">
        <v>1</v>
      </c>
      <c r="J102" s="34">
        <v>2</v>
      </c>
      <c r="K102" s="35">
        <v>1</v>
      </c>
      <c r="L102" s="34">
        <v>2</v>
      </c>
      <c r="M102" s="35">
        <v>1</v>
      </c>
      <c r="N102" s="34">
        <v>2</v>
      </c>
      <c r="O102" s="35">
        <v>1</v>
      </c>
      <c r="P102" s="34">
        <v>2</v>
      </c>
      <c r="Q102" s="87">
        <v>2</v>
      </c>
      <c r="R102" s="34">
        <v>2</v>
      </c>
      <c r="S102" s="35"/>
      <c r="T102" s="34">
        <v>2</v>
      </c>
      <c r="U102" s="35"/>
      <c r="V102" s="34">
        <v>2</v>
      </c>
      <c r="W102" s="35"/>
      <c r="X102" s="34">
        <v>2</v>
      </c>
      <c r="Y102" s="35"/>
      <c r="Z102" s="34">
        <v>2</v>
      </c>
      <c r="AA102" s="35"/>
      <c r="AB102" s="34">
        <v>2</v>
      </c>
      <c r="AC102" s="35"/>
      <c r="AD102" s="34">
        <v>2</v>
      </c>
      <c r="AE102" s="35"/>
      <c r="AF102" s="34">
        <v>2</v>
      </c>
      <c r="AG102" s="35"/>
      <c r="AH102" s="34">
        <v>2</v>
      </c>
      <c r="AI102" s="35"/>
      <c r="AJ102" s="34">
        <v>2</v>
      </c>
      <c r="AK102" s="35"/>
      <c r="AL102" s="34">
        <v>2</v>
      </c>
      <c r="AM102" s="35"/>
      <c r="AN102" s="34">
        <v>2</v>
      </c>
      <c r="AO102" s="35"/>
      <c r="AP102" s="34">
        <v>2</v>
      </c>
      <c r="AQ102" s="35"/>
      <c r="AR102" s="34">
        <v>2</v>
      </c>
      <c r="AS102" s="35"/>
      <c r="AT102" s="45">
        <v>0</v>
      </c>
      <c r="AU102" s="59"/>
      <c r="AV102" s="76">
        <f t="shared" si="75"/>
        <v>0</v>
      </c>
      <c r="AW102" s="45">
        <f t="shared" si="76"/>
        <v>1</v>
      </c>
      <c r="AX102" s="45">
        <f t="shared" si="77"/>
        <v>0</v>
      </c>
      <c r="AY102" s="45">
        <f t="shared" si="78"/>
        <v>-1</v>
      </c>
      <c r="AZ102" s="45">
        <f t="shared" si="79"/>
        <v>-1</v>
      </c>
      <c r="BA102" s="45">
        <f t="shared" si="80"/>
        <v>-1</v>
      </c>
      <c r="BB102" s="45">
        <f t="shared" si="81"/>
        <v>-1</v>
      </c>
      <c r="BC102" s="45">
        <f t="shared" si="74"/>
        <v>0</v>
      </c>
      <c r="BD102" s="45"/>
      <c r="BE102" s="45"/>
      <c r="BF102" s="45"/>
      <c r="BG102" s="45"/>
      <c r="BH102" s="45"/>
      <c r="BI102" s="45"/>
      <c r="BJ102" s="45"/>
      <c r="BK102" s="45"/>
      <c r="BL102" s="45"/>
      <c r="BM102" s="45"/>
      <c r="BN102" s="45"/>
      <c r="BO102" s="45"/>
      <c r="BP102" s="45"/>
      <c r="BQ102" s="45"/>
      <c r="BR102" s="36"/>
    </row>
    <row r="103" spans="1:70" x14ac:dyDescent="0.35">
      <c r="A103" s="79" t="s">
        <v>157</v>
      </c>
      <c r="B103" s="80">
        <v>0</v>
      </c>
      <c r="C103" s="81">
        <v>0</v>
      </c>
      <c r="D103" s="80">
        <v>0</v>
      </c>
      <c r="E103" s="81">
        <v>1</v>
      </c>
      <c r="F103" s="80">
        <v>0</v>
      </c>
      <c r="G103" s="81">
        <v>1</v>
      </c>
      <c r="H103" s="80">
        <v>0</v>
      </c>
      <c r="I103" s="81">
        <v>1</v>
      </c>
      <c r="J103" s="80">
        <v>0</v>
      </c>
      <c r="K103" s="81">
        <v>1</v>
      </c>
      <c r="L103" s="80">
        <v>0</v>
      </c>
      <c r="M103" s="81">
        <v>1</v>
      </c>
      <c r="N103" s="80">
        <v>0</v>
      </c>
      <c r="O103" s="81">
        <v>1</v>
      </c>
      <c r="P103" s="80">
        <v>0</v>
      </c>
      <c r="Q103" s="81">
        <v>1</v>
      </c>
      <c r="R103" s="80">
        <v>0</v>
      </c>
      <c r="S103" s="81"/>
      <c r="T103" s="80">
        <v>0</v>
      </c>
      <c r="U103" s="81"/>
      <c r="V103" s="80">
        <v>0</v>
      </c>
      <c r="W103" s="81"/>
      <c r="X103" s="80">
        <v>0</v>
      </c>
      <c r="Y103" s="81"/>
      <c r="Z103" s="80">
        <v>0</v>
      </c>
      <c r="AA103" s="81"/>
      <c r="AB103" s="80">
        <v>0</v>
      </c>
      <c r="AC103" s="81"/>
      <c r="AD103" s="80">
        <v>0</v>
      </c>
      <c r="AE103" s="81"/>
      <c r="AF103" s="80">
        <v>0</v>
      </c>
      <c r="AG103" s="81"/>
      <c r="AH103" s="80">
        <v>0</v>
      </c>
      <c r="AI103" s="81"/>
      <c r="AJ103" s="80">
        <v>0</v>
      </c>
      <c r="AK103" s="81"/>
      <c r="AL103" s="80">
        <v>0</v>
      </c>
      <c r="AM103" s="81"/>
      <c r="AN103" s="80">
        <v>0</v>
      </c>
      <c r="AO103" s="81"/>
      <c r="AP103" s="80">
        <v>0</v>
      </c>
      <c r="AQ103" s="81"/>
      <c r="AR103" s="80">
        <v>0</v>
      </c>
      <c r="AS103" s="81"/>
      <c r="AT103" s="82">
        <v>0</v>
      </c>
      <c r="AU103" s="83"/>
      <c r="AV103" s="84">
        <f t="shared" si="75"/>
        <v>0</v>
      </c>
      <c r="AW103" s="82">
        <f t="shared" si="76"/>
        <v>1</v>
      </c>
      <c r="AX103" s="82">
        <f t="shared" si="77"/>
        <v>1</v>
      </c>
      <c r="AY103" s="82">
        <f t="shared" si="78"/>
        <v>1</v>
      </c>
      <c r="AZ103" s="82">
        <f t="shared" si="79"/>
        <v>1</v>
      </c>
      <c r="BA103" s="82">
        <f t="shared" si="80"/>
        <v>1</v>
      </c>
      <c r="BB103" s="82">
        <f t="shared" si="81"/>
        <v>1</v>
      </c>
      <c r="BC103" s="82">
        <f t="shared" si="74"/>
        <v>1</v>
      </c>
      <c r="BD103" s="82"/>
      <c r="BE103" s="82"/>
      <c r="BF103" s="82"/>
      <c r="BG103" s="82"/>
      <c r="BH103" s="82"/>
      <c r="BI103" s="82"/>
      <c r="BJ103" s="82"/>
      <c r="BK103" s="82"/>
      <c r="BL103" s="82"/>
      <c r="BM103" s="82"/>
      <c r="BN103" s="82"/>
      <c r="BO103" s="82"/>
      <c r="BP103" s="82"/>
      <c r="BQ103" s="82"/>
      <c r="BR103" s="85"/>
    </row>
    <row r="104" spans="1:70" x14ac:dyDescent="0.35">
      <c r="A104" s="33" t="s">
        <v>166</v>
      </c>
      <c r="B104" s="34">
        <v>1</v>
      </c>
      <c r="C104" s="35">
        <v>1</v>
      </c>
      <c r="D104" s="34">
        <v>0</v>
      </c>
      <c r="E104" s="35">
        <v>1</v>
      </c>
      <c r="F104" s="34">
        <v>3</v>
      </c>
      <c r="G104" s="35">
        <v>2</v>
      </c>
      <c r="H104" s="34">
        <v>3</v>
      </c>
      <c r="I104" s="35">
        <v>2</v>
      </c>
      <c r="J104" s="34">
        <v>3</v>
      </c>
      <c r="K104" s="35">
        <v>2</v>
      </c>
      <c r="L104" s="34">
        <v>3</v>
      </c>
      <c r="M104" s="35">
        <v>1</v>
      </c>
      <c r="N104" s="34">
        <v>3</v>
      </c>
      <c r="O104" s="35">
        <v>1</v>
      </c>
      <c r="P104" s="34">
        <v>3</v>
      </c>
      <c r="Q104" s="87">
        <v>2</v>
      </c>
      <c r="R104" s="34">
        <v>3</v>
      </c>
      <c r="S104" s="35"/>
      <c r="T104" s="34">
        <v>3</v>
      </c>
      <c r="U104" s="35"/>
      <c r="V104" s="34">
        <v>3</v>
      </c>
      <c r="W104" s="35"/>
      <c r="X104" s="34">
        <v>3</v>
      </c>
      <c r="Y104" s="35"/>
      <c r="Z104" s="34">
        <v>3</v>
      </c>
      <c r="AA104" s="35"/>
      <c r="AB104" s="34">
        <v>3</v>
      </c>
      <c r="AC104" s="35"/>
      <c r="AD104" s="34">
        <v>3</v>
      </c>
      <c r="AE104" s="35"/>
      <c r="AF104" s="34">
        <v>3</v>
      </c>
      <c r="AG104" s="35"/>
      <c r="AH104" s="34">
        <v>3</v>
      </c>
      <c r="AI104" s="35"/>
      <c r="AJ104" s="34">
        <v>3</v>
      </c>
      <c r="AK104" s="35"/>
      <c r="AL104" s="34">
        <v>3</v>
      </c>
      <c r="AM104" s="35"/>
      <c r="AN104" s="34">
        <v>3</v>
      </c>
      <c r="AO104" s="35"/>
      <c r="AP104" s="34">
        <v>3</v>
      </c>
      <c r="AQ104" s="35"/>
      <c r="AR104" s="34">
        <v>1</v>
      </c>
      <c r="AS104" s="35"/>
      <c r="AT104" s="45">
        <v>0</v>
      </c>
      <c r="AU104" s="59"/>
      <c r="AV104" s="76">
        <f t="shared" si="75"/>
        <v>0</v>
      </c>
      <c r="AW104" s="45">
        <f t="shared" si="76"/>
        <v>1</v>
      </c>
      <c r="AX104" s="45">
        <f t="shared" si="77"/>
        <v>-1</v>
      </c>
      <c r="AY104" s="45">
        <f t="shared" si="78"/>
        <v>-1</v>
      </c>
      <c r="AZ104" s="45">
        <f t="shared" si="79"/>
        <v>-1</v>
      </c>
      <c r="BA104" s="45">
        <f t="shared" si="80"/>
        <v>-2</v>
      </c>
      <c r="BB104" s="45">
        <f t="shared" si="81"/>
        <v>-2</v>
      </c>
      <c r="BC104" s="45">
        <f t="shared" si="74"/>
        <v>-1</v>
      </c>
      <c r="BD104" s="45"/>
      <c r="BE104" s="45"/>
      <c r="BF104" s="45"/>
      <c r="BG104" s="45"/>
      <c r="BH104" s="45"/>
      <c r="BI104" s="45"/>
      <c r="BJ104" s="45"/>
      <c r="BK104" s="45"/>
      <c r="BL104" s="45"/>
      <c r="BM104" s="45"/>
      <c r="BN104" s="45"/>
      <c r="BO104" s="45"/>
      <c r="BP104" s="45"/>
      <c r="BQ104" s="45"/>
      <c r="BR104" s="36"/>
    </row>
    <row r="105" spans="1:70" x14ac:dyDescent="0.35">
      <c r="A105" s="29" t="s">
        <v>166</v>
      </c>
      <c r="B105" s="37">
        <v>0</v>
      </c>
      <c r="C105" s="38">
        <v>0</v>
      </c>
      <c r="D105" s="37">
        <v>0</v>
      </c>
      <c r="E105" s="38">
        <v>2</v>
      </c>
      <c r="F105" s="37">
        <v>3</v>
      </c>
      <c r="G105" s="38">
        <v>2</v>
      </c>
      <c r="H105" s="37">
        <v>3</v>
      </c>
      <c r="I105" s="38">
        <v>2</v>
      </c>
      <c r="J105" s="37">
        <v>3</v>
      </c>
      <c r="K105" s="38">
        <v>3</v>
      </c>
      <c r="L105" s="37">
        <v>3</v>
      </c>
      <c r="M105" s="38">
        <v>4</v>
      </c>
      <c r="N105" s="37">
        <v>3</v>
      </c>
      <c r="O105" s="38">
        <v>4</v>
      </c>
      <c r="P105" s="37">
        <v>3</v>
      </c>
      <c r="Q105" s="87">
        <v>4</v>
      </c>
      <c r="R105" s="37">
        <v>3</v>
      </c>
      <c r="S105" s="38"/>
      <c r="T105" s="37">
        <v>3</v>
      </c>
      <c r="U105" s="38"/>
      <c r="V105" s="37">
        <v>3</v>
      </c>
      <c r="W105" s="38"/>
      <c r="X105" s="37">
        <v>3</v>
      </c>
      <c r="Y105" s="38"/>
      <c r="Z105" s="37">
        <v>3</v>
      </c>
      <c r="AA105" s="38"/>
      <c r="AB105" s="37">
        <v>3</v>
      </c>
      <c r="AC105" s="38"/>
      <c r="AD105" s="37">
        <v>3</v>
      </c>
      <c r="AE105" s="38"/>
      <c r="AF105" s="37">
        <v>3</v>
      </c>
      <c r="AG105" s="38"/>
      <c r="AH105" s="37">
        <v>3</v>
      </c>
      <c r="AI105" s="38"/>
      <c r="AJ105" s="37">
        <v>3</v>
      </c>
      <c r="AK105" s="38"/>
      <c r="AL105" s="37">
        <v>3</v>
      </c>
      <c r="AM105" s="38"/>
      <c r="AN105" s="37">
        <v>3</v>
      </c>
      <c r="AO105" s="38"/>
      <c r="AP105" s="37">
        <v>3</v>
      </c>
      <c r="AQ105" s="38"/>
      <c r="AR105" s="37">
        <v>1</v>
      </c>
      <c r="AS105" s="38"/>
      <c r="AT105" s="44">
        <v>0</v>
      </c>
      <c r="AU105" s="60"/>
      <c r="AV105" s="77">
        <f t="shared" si="75"/>
        <v>0</v>
      </c>
      <c r="AW105" s="44">
        <f t="shared" si="76"/>
        <v>2</v>
      </c>
      <c r="AX105" s="44">
        <f t="shared" si="77"/>
        <v>-1</v>
      </c>
      <c r="AY105" s="44">
        <f t="shared" si="78"/>
        <v>-1</v>
      </c>
      <c r="AZ105" s="44">
        <f t="shared" si="79"/>
        <v>0</v>
      </c>
      <c r="BA105" s="44">
        <f t="shared" si="80"/>
        <v>1</v>
      </c>
      <c r="BB105" s="44">
        <f t="shared" si="81"/>
        <v>1</v>
      </c>
      <c r="BC105" s="44">
        <f t="shared" si="74"/>
        <v>1</v>
      </c>
      <c r="BD105" s="44"/>
      <c r="BE105" s="44"/>
      <c r="BF105" s="44"/>
      <c r="BG105" s="44"/>
      <c r="BH105" s="44"/>
      <c r="BI105" s="44"/>
      <c r="BJ105" s="44"/>
      <c r="BK105" s="44"/>
      <c r="BL105" s="44"/>
      <c r="BM105" s="44"/>
      <c r="BN105" s="44"/>
      <c r="BO105" s="44"/>
      <c r="BP105" s="44"/>
      <c r="BQ105" s="44"/>
      <c r="BR105" s="39"/>
    </row>
    <row r="106" spans="1:70" x14ac:dyDescent="0.35">
      <c r="A106" s="33" t="s">
        <v>166</v>
      </c>
      <c r="B106" s="34">
        <v>0</v>
      </c>
      <c r="C106" s="35">
        <v>0</v>
      </c>
      <c r="D106" s="34">
        <v>0</v>
      </c>
      <c r="E106" s="35">
        <v>0</v>
      </c>
      <c r="F106" s="34">
        <v>3</v>
      </c>
      <c r="G106" s="35">
        <v>2</v>
      </c>
      <c r="H106" s="34">
        <v>3</v>
      </c>
      <c r="I106" s="35">
        <v>2</v>
      </c>
      <c r="J106" s="34">
        <v>3</v>
      </c>
      <c r="K106" s="35">
        <v>2</v>
      </c>
      <c r="L106" s="34">
        <v>3</v>
      </c>
      <c r="M106" s="35">
        <v>3</v>
      </c>
      <c r="N106" s="34">
        <v>3</v>
      </c>
      <c r="O106" s="35">
        <v>4</v>
      </c>
      <c r="P106" s="34">
        <v>3</v>
      </c>
      <c r="Q106" s="87">
        <v>4</v>
      </c>
      <c r="R106" s="34">
        <v>3</v>
      </c>
      <c r="S106" s="35"/>
      <c r="T106" s="34">
        <v>3</v>
      </c>
      <c r="U106" s="35"/>
      <c r="V106" s="34">
        <v>3</v>
      </c>
      <c r="W106" s="35"/>
      <c r="X106" s="34">
        <v>3</v>
      </c>
      <c r="Y106" s="35"/>
      <c r="Z106" s="34">
        <v>3</v>
      </c>
      <c r="AA106" s="35"/>
      <c r="AB106" s="34">
        <v>3</v>
      </c>
      <c r="AC106" s="35"/>
      <c r="AD106" s="34">
        <v>3</v>
      </c>
      <c r="AE106" s="35"/>
      <c r="AF106" s="34">
        <v>3</v>
      </c>
      <c r="AG106" s="35"/>
      <c r="AH106" s="34">
        <v>3</v>
      </c>
      <c r="AI106" s="35"/>
      <c r="AJ106" s="34">
        <v>3</v>
      </c>
      <c r="AK106" s="35"/>
      <c r="AL106" s="34">
        <v>3</v>
      </c>
      <c r="AM106" s="35"/>
      <c r="AN106" s="34">
        <v>3</v>
      </c>
      <c r="AO106" s="35"/>
      <c r="AP106" s="34">
        <v>3</v>
      </c>
      <c r="AQ106" s="35"/>
      <c r="AR106" s="34">
        <v>3</v>
      </c>
      <c r="AS106" s="35"/>
      <c r="AT106" s="45">
        <v>1.5</v>
      </c>
      <c r="AU106" s="59"/>
      <c r="AV106" s="76">
        <f t="shared" si="75"/>
        <v>0</v>
      </c>
      <c r="AW106" s="45">
        <f t="shared" si="76"/>
        <v>0</v>
      </c>
      <c r="AX106" s="45">
        <f t="shared" si="77"/>
        <v>-1</v>
      </c>
      <c r="AY106" s="45">
        <f t="shared" si="78"/>
        <v>-1</v>
      </c>
      <c r="AZ106" s="45">
        <f t="shared" si="79"/>
        <v>-1</v>
      </c>
      <c r="BA106" s="45">
        <f t="shared" si="80"/>
        <v>0</v>
      </c>
      <c r="BB106" s="45">
        <f t="shared" si="81"/>
        <v>1</v>
      </c>
      <c r="BC106" s="45">
        <f t="shared" si="74"/>
        <v>1</v>
      </c>
      <c r="BD106" s="45"/>
      <c r="BE106" s="45"/>
      <c r="BF106" s="45"/>
      <c r="BG106" s="45"/>
      <c r="BH106" s="45"/>
      <c r="BI106" s="45"/>
      <c r="BJ106" s="45"/>
      <c r="BK106" s="45"/>
      <c r="BL106" s="45"/>
      <c r="BM106" s="45"/>
      <c r="BN106" s="45"/>
      <c r="BO106" s="45"/>
      <c r="BP106" s="45"/>
      <c r="BQ106" s="45"/>
      <c r="BR106" s="36"/>
    </row>
    <row r="107" spans="1:70" x14ac:dyDescent="0.35">
      <c r="A107" s="29" t="s">
        <v>167</v>
      </c>
      <c r="B107" s="37">
        <v>0</v>
      </c>
      <c r="C107" s="38">
        <v>0</v>
      </c>
      <c r="D107" s="37">
        <v>0</v>
      </c>
      <c r="E107" s="38">
        <v>0</v>
      </c>
      <c r="F107" s="37">
        <v>0</v>
      </c>
      <c r="G107" s="38">
        <v>0</v>
      </c>
      <c r="H107" s="37">
        <v>1</v>
      </c>
      <c r="I107" s="38">
        <v>0</v>
      </c>
      <c r="J107" s="37">
        <v>1</v>
      </c>
      <c r="K107" s="38">
        <v>1</v>
      </c>
      <c r="L107" s="37">
        <v>1</v>
      </c>
      <c r="M107" s="38">
        <v>2</v>
      </c>
      <c r="N107" s="37">
        <v>1</v>
      </c>
      <c r="O107" s="38">
        <v>2</v>
      </c>
      <c r="P107" s="37">
        <v>1</v>
      </c>
      <c r="Q107" s="87">
        <v>2</v>
      </c>
      <c r="R107" s="37">
        <v>1</v>
      </c>
      <c r="S107" s="38"/>
      <c r="T107" s="37">
        <v>1</v>
      </c>
      <c r="U107" s="38"/>
      <c r="V107" s="37">
        <v>1</v>
      </c>
      <c r="W107" s="38"/>
      <c r="X107" s="37">
        <v>1</v>
      </c>
      <c r="Y107" s="38"/>
      <c r="Z107" s="37">
        <v>1</v>
      </c>
      <c r="AA107" s="38"/>
      <c r="AB107" s="37">
        <v>1</v>
      </c>
      <c r="AC107" s="38"/>
      <c r="AD107" s="37">
        <v>1</v>
      </c>
      <c r="AE107" s="38"/>
      <c r="AF107" s="37">
        <v>1</v>
      </c>
      <c r="AG107" s="38"/>
      <c r="AH107" s="37">
        <v>1</v>
      </c>
      <c r="AI107" s="38"/>
      <c r="AJ107" s="37">
        <v>1</v>
      </c>
      <c r="AK107" s="38"/>
      <c r="AL107" s="37">
        <v>1</v>
      </c>
      <c r="AM107" s="38"/>
      <c r="AN107" s="37">
        <v>1</v>
      </c>
      <c r="AO107" s="38"/>
      <c r="AP107" s="37">
        <v>1</v>
      </c>
      <c r="AQ107" s="38"/>
      <c r="AR107" s="37">
        <v>1</v>
      </c>
      <c r="AS107" s="38"/>
      <c r="AT107" s="44">
        <v>0</v>
      </c>
      <c r="AU107" s="60"/>
      <c r="AV107" s="77">
        <f t="shared" si="75"/>
        <v>0</v>
      </c>
      <c r="AW107" s="44">
        <f t="shared" si="76"/>
        <v>0</v>
      </c>
      <c r="AX107" s="44">
        <f t="shared" si="77"/>
        <v>0</v>
      </c>
      <c r="AY107" s="44">
        <f t="shared" si="78"/>
        <v>-1</v>
      </c>
      <c r="AZ107" s="44">
        <f t="shared" si="79"/>
        <v>0</v>
      </c>
      <c r="BA107" s="44">
        <f t="shared" si="80"/>
        <v>1</v>
      </c>
      <c r="BB107" s="44">
        <f t="shared" si="81"/>
        <v>1</v>
      </c>
      <c r="BC107" s="44">
        <f t="shared" si="74"/>
        <v>1</v>
      </c>
      <c r="BD107" s="44"/>
      <c r="BE107" s="44"/>
      <c r="BF107" s="44"/>
      <c r="BG107" s="44"/>
      <c r="BH107" s="44"/>
      <c r="BI107" s="44"/>
      <c r="BJ107" s="44"/>
      <c r="BK107" s="44"/>
      <c r="BL107" s="44"/>
      <c r="BM107" s="44"/>
      <c r="BN107" s="44"/>
      <c r="BO107" s="44"/>
      <c r="BP107" s="44"/>
      <c r="BQ107" s="44"/>
      <c r="BR107" s="39"/>
    </row>
    <row r="108" spans="1:70" x14ac:dyDescent="0.35">
      <c r="A108" s="33" t="s">
        <v>167</v>
      </c>
      <c r="B108" s="34">
        <v>0</v>
      </c>
      <c r="C108" s="35">
        <v>0</v>
      </c>
      <c r="D108" s="34">
        <v>0</v>
      </c>
      <c r="E108" s="35">
        <v>0</v>
      </c>
      <c r="F108" s="34">
        <v>0</v>
      </c>
      <c r="G108" s="35">
        <v>0</v>
      </c>
      <c r="H108" s="34">
        <v>1</v>
      </c>
      <c r="I108" s="35">
        <v>0</v>
      </c>
      <c r="J108" s="34">
        <v>2</v>
      </c>
      <c r="K108" s="35">
        <v>0</v>
      </c>
      <c r="L108" s="34">
        <v>2</v>
      </c>
      <c r="M108" s="35">
        <v>0</v>
      </c>
      <c r="N108" s="34">
        <v>2</v>
      </c>
      <c r="O108" s="35">
        <v>0</v>
      </c>
      <c r="P108" s="34">
        <v>2</v>
      </c>
      <c r="Q108" s="87"/>
      <c r="R108" s="34">
        <v>2</v>
      </c>
      <c r="S108" s="35"/>
      <c r="T108" s="34">
        <v>2</v>
      </c>
      <c r="U108" s="35"/>
      <c r="V108" s="34">
        <v>2</v>
      </c>
      <c r="W108" s="35"/>
      <c r="X108" s="34">
        <v>1</v>
      </c>
      <c r="Y108" s="35"/>
      <c r="Z108" s="34">
        <v>1</v>
      </c>
      <c r="AA108" s="35"/>
      <c r="AB108" s="34">
        <v>1</v>
      </c>
      <c r="AC108" s="35"/>
      <c r="AD108" s="34">
        <v>2</v>
      </c>
      <c r="AE108" s="35"/>
      <c r="AF108" s="34">
        <v>2</v>
      </c>
      <c r="AG108" s="35"/>
      <c r="AH108" s="34">
        <v>2</v>
      </c>
      <c r="AI108" s="35"/>
      <c r="AJ108" s="34">
        <v>2</v>
      </c>
      <c r="AK108" s="35"/>
      <c r="AL108" s="34">
        <v>2</v>
      </c>
      <c r="AM108" s="35"/>
      <c r="AN108" s="34">
        <v>2</v>
      </c>
      <c r="AO108" s="35"/>
      <c r="AP108" s="34">
        <v>2</v>
      </c>
      <c r="AQ108" s="35"/>
      <c r="AR108" s="34">
        <v>1</v>
      </c>
      <c r="AS108" s="35"/>
      <c r="AT108" s="45">
        <v>0</v>
      </c>
      <c r="AU108" s="59"/>
      <c r="AV108" s="76">
        <f t="shared" si="75"/>
        <v>0</v>
      </c>
      <c r="AW108" s="45">
        <f t="shared" si="76"/>
        <v>0</v>
      </c>
      <c r="AX108" s="45">
        <f t="shared" si="77"/>
        <v>0</v>
      </c>
      <c r="AY108" s="45">
        <f t="shared" si="78"/>
        <v>-1</v>
      </c>
      <c r="AZ108" s="45">
        <f t="shared" si="79"/>
        <v>-2</v>
      </c>
      <c r="BA108" s="45">
        <f t="shared" si="80"/>
        <v>-2</v>
      </c>
      <c r="BB108" s="45">
        <f t="shared" si="81"/>
        <v>-2</v>
      </c>
      <c r="BC108" s="45">
        <f t="shared" si="74"/>
        <v>-2</v>
      </c>
      <c r="BD108" s="45"/>
      <c r="BE108" s="45"/>
      <c r="BF108" s="45"/>
      <c r="BG108" s="45"/>
      <c r="BH108" s="45"/>
      <c r="BI108" s="45"/>
      <c r="BJ108" s="45"/>
      <c r="BK108" s="45"/>
      <c r="BL108" s="45"/>
      <c r="BM108" s="45"/>
      <c r="BN108" s="45"/>
      <c r="BO108" s="45"/>
      <c r="BP108" s="45"/>
      <c r="BQ108" s="45"/>
      <c r="BR108" s="36"/>
    </row>
    <row r="109" spans="1:70" x14ac:dyDescent="0.35">
      <c r="A109" s="29" t="s">
        <v>158</v>
      </c>
      <c r="B109" s="37">
        <v>0</v>
      </c>
      <c r="C109" s="38">
        <v>0</v>
      </c>
      <c r="D109" s="37">
        <v>0</v>
      </c>
      <c r="E109" s="38">
        <v>2</v>
      </c>
      <c r="F109" s="37">
        <v>1</v>
      </c>
      <c r="G109" s="38">
        <v>2</v>
      </c>
      <c r="H109" s="37">
        <v>2</v>
      </c>
      <c r="I109" s="38">
        <v>2</v>
      </c>
      <c r="J109" s="37">
        <v>2</v>
      </c>
      <c r="K109" s="38">
        <v>2</v>
      </c>
      <c r="L109" s="37">
        <v>2</v>
      </c>
      <c r="M109" s="38">
        <v>2</v>
      </c>
      <c r="N109" s="37">
        <v>2</v>
      </c>
      <c r="O109" s="38">
        <v>1</v>
      </c>
      <c r="P109" s="37">
        <v>2</v>
      </c>
      <c r="Q109" s="87">
        <v>1</v>
      </c>
      <c r="R109" s="37">
        <v>2</v>
      </c>
      <c r="S109" s="38"/>
      <c r="T109" s="37">
        <v>2</v>
      </c>
      <c r="U109" s="38"/>
      <c r="V109" s="37">
        <v>2</v>
      </c>
      <c r="W109" s="38"/>
      <c r="X109" s="37">
        <v>2</v>
      </c>
      <c r="Y109" s="38"/>
      <c r="Z109" s="37">
        <v>2</v>
      </c>
      <c r="AA109" s="38"/>
      <c r="AB109" s="37">
        <v>2</v>
      </c>
      <c r="AC109" s="38"/>
      <c r="AD109" s="37">
        <v>2</v>
      </c>
      <c r="AE109" s="38"/>
      <c r="AF109" s="37">
        <v>2</v>
      </c>
      <c r="AG109" s="38"/>
      <c r="AH109" s="37">
        <v>2</v>
      </c>
      <c r="AI109" s="38"/>
      <c r="AJ109" s="37">
        <v>2</v>
      </c>
      <c r="AK109" s="38"/>
      <c r="AL109" s="37">
        <v>2</v>
      </c>
      <c r="AM109" s="38"/>
      <c r="AN109" s="37">
        <v>2</v>
      </c>
      <c r="AO109" s="38"/>
      <c r="AP109" s="37">
        <v>2</v>
      </c>
      <c r="AQ109" s="38"/>
      <c r="AR109" s="37">
        <v>2</v>
      </c>
      <c r="AS109" s="38"/>
      <c r="AT109" s="44">
        <v>0</v>
      </c>
      <c r="AU109" s="60"/>
      <c r="AV109" s="77">
        <f t="shared" si="75"/>
        <v>0</v>
      </c>
      <c r="AW109" s="44">
        <f t="shared" si="76"/>
        <v>2</v>
      </c>
      <c r="AX109" s="44">
        <f t="shared" si="77"/>
        <v>1</v>
      </c>
      <c r="AY109" s="44">
        <f t="shared" si="78"/>
        <v>0</v>
      </c>
      <c r="AZ109" s="44">
        <f t="shared" si="79"/>
        <v>0</v>
      </c>
      <c r="BA109" s="44">
        <f t="shared" si="80"/>
        <v>0</v>
      </c>
      <c r="BB109" s="44">
        <f t="shared" si="81"/>
        <v>-1</v>
      </c>
      <c r="BC109" s="44">
        <f t="shared" si="74"/>
        <v>-1</v>
      </c>
      <c r="BD109" s="44"/>
      <c r="BE109" s="44"/>
      <c r="BF109" s="44"/>
      <c r="BG109" s="44"/>
      <c r="BH109" s="44"/>
      <c r="BI109" s="44"/>
      <c r="BJ109" s="44"/>
      <c r="BK109" s="44"/>
      <c r="BL109" s="44"/>
      <c r="BM109" s="44"/>
      <c r="BN109" s="44"/>
      <c r="BO109" s="44"/>
      <c r="BP109" s="44"/>
      <c r="BQ109" s="44"/>
      <c r="BR109" s="39"/>
    </row>
    <row r="110" spans="1:70" x14ac:dyDescent="0.35">
      <c r="A110" s="33" t="s">
        <v>159</v>
      </c>
      <c r="B110" s="34">
        <v>0</v>
      </c>
      <c r="C110" s="35">
        <v>0</v>
      </c>
      <c r="D110" s="34">
        <v>0</v>
      </c>
      <c r="E110" s="35">
        <v>0</v>
      </c>
      <c r="F110" s="34">
        <v>0</v>
      </c>
      <c r="G110" s="35">
        <v>0</v>
      </c>
      <c r="H110" s="34">
        <v>1</v>
      </c>
      <c r="I110" s="35">
        <v>0</v>
      </c>
      <c r="J110" s="34">
        <v>1</v>
      </c>
      <c r="K110" s="35">
        <v>0</v>
      </c>
      <c r="L110" s="34">
        <v>1</v>
      </c>
      <c r="M110" s="35">
        <v>0</v>
      </c>
      <c r="N110" s="34">
        <v>1</v>
      </c>
      <c r="O110" s="35">
        <v>0</v>
      </c>
      <c r="P110" s="34">
        <v>1</v>
      </c>
      <c r="Q110" s="87"/>
      <c r="R110" s="34">
        <v>1</v>
      </c>
      <c r="S110" s="35"/>
      <c r="T110" s="34">
        <v>1</v>
      </c>
      <c r="U110" s="35"/>
      <c r="V110" s="34">
        <v>1</v>
      </c>
      <c r="W110" s="35"/>
      <c r="X110" s="34">
        <v>1</v>
      </c>
      <c r="Y110" s="35"/>
      <c r="Z110" s="34">
        <v>1</v>
      </c>
      <c r="AA110" s="35"/>
      <c r="AB110" s="34">
        <v>1</v>
      </c>
      <c r="AC110" s="35"/>
      <c r="AD110" s="34">
        <v>1</v>
      </c>
      <c r="AE110" s="35"/>
      <c r="AF110" s="34">
        <v>1</v>
      </c>
      <c r="AG110" s="35"/>
      <c r="AH110" s="34">
        <v>1</v>
      </c>
      <c r="AI110" s="35"/>
      <c r="AJ110" s="34">
        <v>1</v>
      </c>
      <c r="AK110" s="35"/>
      <c r="AL110" s="34">
        <v>1</v>
      </c>
      <c r="AM110" s="35"/>
      <c r="AN110" s="34">
        <v>1</v>
      </c>
      <c r="AO110" s="35"/>
      <c r="AP110" s="34">
        <v>1</v>
      </c>
      <c r="AQ110" s="35"/>
      <c r="AR110" s="34">
        <v>1</v>
      </c>
      <c r="AS110" s="35"/>
      <c r="AT110" s="45">
        <v>0</v>
      </c>
      <c r="AU110" s="59"/>
      <c r="AV110" s="76">
        <f t="shared" si="75"/>
        <v>0</v>
      </c>
      <c r="AW110" s="45">
        <f t="shared" si="76"/>
        <v>0</v>
      </c>
      <c r="AX110" s="45">
        <f t="shared" si="77"/>
        <v>0</v>
      </c>
      <c r="AY110" s="45">
        <f t="shared" si="78"/>
        <v>-1</v>
      </c>
      <c r="AZ110" s="45">
        <f t="shared" si="79"/>
        <v>-1</v>
      </c>
      <c r="BA110" s="45">
        <f t="shared" si="80"/>
        <v>-1</v>
      </c>
      <c r="BB110" s="45">
        <f t="shared" si="81"/>
        <v>-1</v>
      </c>
      <c r="BC110" s="45">
        <f t="shared" si="74"/>
        <v>-1</v>
      </c>
      <c r="BD110" s="45"/>
      <c r="BE110" s="45"/>
      <c r="BF110" s="45"/>
      <c r="BG110" s="45"/>
      <c r="BH110" s="45"/>
      <c r="BI110" s="45"/>
      <c r="BJ110" s="45"/>
      <c r="BK110" s="45"/>
      <c r="BL110" s="45"/>
      <c r="BM110" s="45"/>
      <c r="BN110" s="45"/>
      <c r="BO110" s="45"/>
      <c r="BP110" s="45"/>
      <c r="BQ110" s="45"/>
      <c r="BR110" s="36"/>
    </row>
    <row r="111" spans="1:70" x14ac:dyDescent="0.35">
      <c r="A111" s="29" t="s">
        <v>168</v>
      </c>
      <c r="B111" s="37">
        <v>0</v>
      </c>
      <c r="C111" s="38">
        <v>0</v>
      </c>
      <c r="D111" s="37">
        <v>0</v>
      </c>
      <c r="E111" s="38">
        <v>0</v>
      </c>
      <c r="F111" s="37">
        <v>0</v>
      </c>
      <c r="G111" s="38">
        <v>0</v>
      </c>
      <c r="H111" s="37">
        <v>1</v>
      </c>
      <c r="I111" s="38">
        <v>0</v>
      </c>
      <c r="J111" s="37">
        <v>1</v>
      </c>
      <c r="K111" s="38">
        <v>0</v>
      </c>
      <c r="L111" s="37">
        <v>1</v>
      </c>
      <c r="M111" s="38">
        <v>0</v>
      </c>
      <c r="N111" s="37">
        <v>1</v>
      </c>
      <c r="O111" s="38">
        <v>1</v>
      </c>
      <c r="P111" s="37">
        <v>1</v>
      </c>
      <c r="Q111" s="87">
        <v>1</v>
      </c>
      <c r="R111" s="37">
        <v>1</v>
      </c>
      <c r="S111" s="38"/>
      <c r="T111" s="37">
        <v>1</v>
      </c>
      <c r="U111" s="38"/>
      <c r="V111" s="37">
        <v>1</v>
      </c>
      <c r="W111" s="38"/>
      <c r="X111" s="37">
        <v>1</v>
      </c>
      <c r="Y111" s="38"/>
      <c r="Z111" s="37">
        <v>1</v>
      </c>
      <c r="AA111" s="38"/>
      <c r="AB111" s="37">
        <v>1</v>
      </c>
      <c r="AC111" s="38"/>
      <c r="AD111" s="37">
        <v>1</v>
      </c>
      <c r="AE111" s="38"/>
      <c r="AF111" s="37">
        <v>1</v>
      </c>
      <c r="AG111" s="38"/>
      <c r="AH111" s="37">
        <v>1</v>
      </c>
      <c r="AI111" s="38"/>
      <c r="AJ111" s="37">
        <v>1</v>
      </c>
      <c r="AK111" s="38"/>
      <c r="AL111" s="37">
        <v>1</v>
      </c>
      <c r="AM111" s="38"/>
      <c r="AN111" s="37">
        <v>1</v>
      </c>
      <c r="AO111" s="38"/>
      <c r="AP111" s="37">
        <v>1</v>
      </c>
      <c r="AQ111" s="38"/>
      <c r="AR111" s="37">
        <v>1</v>
      </c>
      <c r="AS111" s="38"/>
      <c r="AT111" s="44">
        <v>0</v>
      </c>
      <c r="AU111" s="60"/>
      <c r="AV111" s="77">
        <f t="shared" si="75"/>
        <v>0</v>
      </c>
      <c r="AW111" s="44">
        <f t="shared" si="76"/>
        <v>0</v>
      </c>
      <c r="AX111" s="44">
        <f t="shared" si="77"/>
        <v>0</v>
      </c>
      <c r="AY111" s="44">
        <f t="shared" si="78"/>
        <v>-1</v>
      </c>
      <c r="AZ111" s="44">
        <f t="shared" si="79"/>
        <v>-1</v>
      </c>
      <c r="BA111" s="44">
        <f t="shared" si="80"/>
        <v>-1</v>
      </c>
      <c r="BB111" s="44">
        <f t="shared" si="81"/>
        <v>0</v>
      </c>
      <c r="BC111" s="44">
        <f t="shared" si="74"/>
        <v>0</v>
      </c>
      <c r="BD111" s="44"/>
      <c r="BE111" s="44"/>
      <c r="BF111" s="44"/>
      <c r="BG111" s="44"/>
      <c r="BH111" s="44"/>
      <c r="BI111" s="44"/>
      <c r="BJ111" s="44"/>
      <c r="BK111" s="44"/>
      <c r="BL111" s="44"/>
      <c r="BM111" s="44"/>
      <c r="BN111" s="44"/>
      <c r="BO111" s="44"/>
      <c r="BP111" s="44"/>
      <c r="BQ111" s="44"/>
      <c r="BR111" s="39"/>
    </row>
    <row r="112" spans="1:70" x14ac:dyDescent="0.35">
      <c r="A112" s="33" t="s">
        <v>168</v>
      </c>
      <c r="B112" s="34">
        <v>0</v>
      </c>
      <c r="C112" s="35">
        <v>0</v>
      </c>
      <c r="D112" s="34">
        <v>0</v>
      </c>
      <c r="E112" s="35">
        <v>0</v>
      </c>
      <c r="F112" s="34">
        <v>0</v>
      </c>
      <c r="G112" s="35">
        <v>0</v>
      </c>
      <c r="H112" s="34">
        <v>1</v>
      </c>
      <c r="I112" s="35">
        <v>0</v>
      </c>
      <c r="J112" s="34">
        <v>2</v>
      </c>
      <c r="K112" s="35">
        <v>2</v>
      </c>
      <c r="L112" s="34">
        <v>2</v>
      </c>
      <c r="M112" s="35">
        <v>2</v>
      </c>
      <c r="N112" s="34">
        <v>2</v>
      </c>
      <c r="O112" s="35">
        <v>2</v>
      </c>
      <c r="P112" s="34">
        <v>2</v>
      </c>
      <c r="Q112" s="87">
        <v>2</v>
      </c>
      <c r="R112" s="34">
        <v>2</v>
      </c>
      <c r="S112" s="35"/>
      <c r="T112" s="34">
        <v>2</v>
      </c>
      <c r="U112" s="35"/>
      <c r="V112" s="34">
        <v>2</v>
      </c>
      <c r="W112" s="35"/>
      <c r="X112" s="34">
        <v>1</v>
      </c>
      <c r="Y112" s="35"/>
      <c r="Z112" s="34">
        <v>1</v>
      </c>
      <c r="AA112" s="35"/>
      <c r="AB112" s="34">
        <v>1</v>
      </c>
      <c r="AC112" s="35"/>
      <c r="AD112" s="34">
        <v>2</v>
      </c>
      <c r="AE112" s="35"/>
      <c r="AF112" s="34">
        <v>2</v>
      </c>
      <c r="AG112" s="35"/>
      <c r="AH112" s="34">
        <v>2</v>
      </c>
      <c r="AI112" s="35"/>
      <c r="AJ112" s="34">
        <v>2</v>
      </c>
      <c r="AK112" s="35"/>
      <c r="AL112" s="34">
        <v>2</v>
      </c>
      <c r="AM112" s="35"/>
      <c r="AN112" s="34">
        <v>2</v>
      </c>
      <c r="AO112" s="35"/>
      <c r="AP112" s="34">
        <v>2</v>
      </c>
      <c r="AQ112" s="35"/>
      <c r="AR112" s="34">
        <v>1</v>
      </c>
      <c r="AS112" s="35"/>
      <c r="AT112" s="45">
        <v>0</v>
      </c>
      <c r="AU112" s="59"/>
      <c r="AV112" s="76">
        <f t="shared" si="75"/>
        <v>0</v>
      </c>
      <c r="AW112" s="45">
        <f t="shared" si="76"/>
        <v>0</v>
      </c>
      <c r="AX112" s="45">
        <f t="shared" si="77"/>
        <v>0</v>
      </c>
      <c r="AY112" s="45">
        <f t="shared" si="78"/>
        <v>-1</v>
      </c>
      <c r="AZ112" s="45">
        <f t="shared" si="79"/>
        <v>0</v>
      </c>
      <c r="BA112" s="45">
        <f t="shared" si="80"/>
        <v>0</v>
      </c>
      <c r="BB112" s="45">
        <f t="shared" si="81"/>
        <v>0</v>
      </c>
      <c r="BC112" s="45">
        <f t="shared" si="74"/>
        <v>0</v>
      </c>
      <c r="BD112" s="45"/>
      <c r="BE112" s="45"/>
      <c r="BF112" s="45"/>
      <c r="BG112" s="45"/>
      <c r="BH112" s="45"/>
      <c r="BI112" s="45"/>
      <c r="BJ112" s="45"/>
      <c r="BK112" s="45"/>
      <c r="BL112" s="45"/>
      <c r="BM112" s="45"/>
      <c r="BN112" s="45"/>
      <c r="BO112" s="45"/>
      <c r="BP112" s="45"/>
      <c r="BQ112" s="45"/>
      <c r="BR112" s="36"/>
    </row>
    <row r="113" spans="1:70" x14ac:dyDescent="0.35">
      <c r="A113" s="29" t="s">
        <v>160</v>
      </c>
      <c r="B113" s="37">
        <v>0</v>
      </c>
      <c r="C113" s="38">
        <v>0</v>
      </c>
      <c r="D113" s="37">
        <v>0</v>
      </c>
      <c r="E113" s="38">
        <v>0</v>
      </c>
      <c r="F113" s="37">
        <v>0</v>
      </c>
      <c r="G113" s="38">
        <v>1</v>
      </c>
      <c r="H113" s="37">
        <v>0</v>
      </c>
      <c r="I113" s="38">
        <v>1</v>
      </c>
      <c r="J113" s="37">
        <v>0</v>
      </c>
      <c r="K113" s="38">
        <v>1</v>
      </c>
      <c r="L113" s="37">
        <v>0</v>
      </c>
      <c r="M113" s="38">
        <v>1</v>
      </c>
      <c r="N113" s="37">
        <v>0</v>
      </c>
      <c r="O113" s="38">
        <v>1</v>
      </c>
      <c r="P113" s="37">
        <v>0</v>
      </c>
      <c r="Q113" s="87">
        <v>1</v>
      </c>
      <c r="R113" s="37">
        <v>0</v>
      </c>
      <c r="S113" s="38"/>
      <c r="T113" s="37">
        <v>0</v>
      </c>
      <c r="U113" s="38"/>
      <c r="V113" s="37">
        <v>0</v>
      </c>
      <c r="W113" s="38"/>
      <c r="X113" s="37">
        <v>0</v>
      </c>
      <c r="Y113" s="38"/>
      <c r="Z113" s="37">
        <v>0</v>
      </c>
      <c r="AA113" s="38"/>
      <c r="AB113" s="37">
        <v>0</v>
      </c>
      <c r="AC113" s="38"/>
      <c r="AD113" s="37">
        <v>0</v>
      </c>
      <c r="AE113" s="38"/>
      <c r="AF113" s="37">
        <v>0</v>
      </c>
      <c r="AG113" s="38"/>
      <c r="AH113" s="37">
        <v>0</v>
      </c>
      <c r="AI113" s="38"/>
      <c r="AJ113" s="37">
        <v>0</v>
      </c>
      <c r="AK113" s="38"/>
      <c r="AL113" s="37">
        <v>0</v>
      </c>
      <c r="AM113" s="38"/>
      <c r="AN113" s="37">
        <v>0</v>
      </c>
      <c r="AO113" s="38"/>
      <c r="AP113" s="37">
        <v>0</v>
      </c>
      <c r="AQ113" s="38"/>
      <c r="AR113" s="37">
        <v>0</v>
      </c>
      <c r="AS113" s="38"/>
      <c r="AT113" s="44">
        <v>0</v>
      </c>
      <c r="AU113" s="60"/>
      <c r="AV113" s="77">
        <f t="shared" si="75"/>
        <v>0</v>
      </c>
      <c r="AW113" s="44">
        <f t="shared" si="76"/>
        <v>0</v>
      </c>
      <c r="AX113" s="44">
        <f t="shared" si="77"/>
        <v>1</v>
      </c>
      <c r="AY113" s="44">
        <f t="shared" si="78"/>
        <v>1</v>
      </c>
      <c r="AZ113" s="44">
        <f t="shared" si="79"/>
        <v>1</v>
      </c>
      <c r="BA113" s="44">
        <f t="shared" si="80"/>
        <v>1</v>
      </c>
      <c r="BB113" s="44">
        <f t="shared" si="81"/>
        <v>1</v>
      </c>
      <c r="BC113" s="44">
        <f t="shared" si="74"/>
        <v>1</v>
      </c>
      <c r="BD113" s="44"/>
      <c r="BE113" s="44"/>
      <c r="BF113" s="44"/>
      <c r="BG113" s="44"/>
      <c r="BH113" s="44"/>
      <c r="BI113" s="44"/>
      <c r="BJ113" s="44"/>
      <c r="BK113" s="44"/>
      <c r="BL113" s="44"/>
      <c r="BM113" s="44"/>
      <c r="BN113" s="44"/>
      <c r="BO113" s="44"/>
      <c r="BP113" s="44"/>
      <c r="BQ113" s="44"/>
      <c r="BR113" s="39"/>
    </row>
    <row r="114" spans="1:70" x14ac:dyDescent="0.35">
      <c r="A114" s="79" t="s">
        <v>161</v>
      </c>
      <c r="B114" s="80">
        <v>0</v>
      </c>
      <c r="C114" s="81">
        <v>0</v>
      </c>
      <c r="D114" s="80">
        <v>0</v>
      </c>
      <c r="E114" s="81">
        <v>44</v>
      </c>
      <c r="F114" s="80">
        <v>0</v>
      </c>
      <c r="G114" s="81">
        <v>44</v>
      </c>
      <c r="H114" s="80">
        <v>0</v>
      </c>
      <c r="I114" s="81">
        <v>44</v>
      </c>
      <c r="J114" s="80">
        <v>0</v>
      </c>
      <c r="K114" s="81">
        <v>57</v>
      </c>
      <c r="L114" s="80">
        <v>0</v>
      </c>
      <c r="M114" s="81">
        <v>57</v>
      </c>
      <c r="N114" s="80">
        <v>0</v>
      </c>
      <c r="O114" s="81">
        <v>57</v>
      </c>
      <c r="P114" s="80">
        <v>0</v>
      </c>
      <c r="Q114" s="81">
        <v>57</v>
      </c>
      <c r="R114" s="80">
        <v>0</v>
      </c>
      <c r="S114" s="81"/>
      <c r="T114" s="80">
        <v>0</v>
      </c>
      <c r="U114" s="81"/>
      <c r="V114" s="80">
        <v>0</v>
      </c>
      <c r="W114" s="81"/>
      <c r="X114" s="80">
        <v>0</v>
      </c>
      <c r="Y114" s="81"/>
      <c r="Z114" s="80">
        <v>0</v>
      </c>
      <c r="AA114" s="81"/>
      <c r="AB114" s="80">
        <v>0</v>
      </c>
      <c r="AC114" s="81"/>
      <c r="AD114" s="80">
        <v>0</v>
      </c>
      <c r="AE114" s="81"/>
      <c r="AF114" s="80">
        <v>0</v>
      </c>
      <c r="AG114" s="81"/>
      <c r="AH114" s="80">
        <v>0</v>
      </c>
      <c r="AI114" s="81"/>
      <c r="AJ114" s="80">
        <v>0</v>
      </c>
      <c r="AK114" s="81"/>
      <c r="AL114" s="80">
        <v>0</v>
      </c>
      <c r="AM114" s="81"/>
      <c r="AN114" s="80">
        <v>0</v>
      </c>
      <c r="AO114" s="81"/>
      <c r="AP114" s="80">
        <v>0</v>
      </c>
      <c r="AQ114" s="81"/>
      <c r="AR114" s="80">
        <v>0</v>
      </c>
      <c r="AS114" s="81"/>
      <c r="AT114" s="82">
        <v>0</v>
      </c>
      <c r="AU114" s="83"/>
      <c r="AV114" s="84">
        <f t="shared" si="75"/>
        <v>0</v>
      </c>
      <c r="AW114" s="82">
        <f t="shared" si="76"/>
        <v>44</v>
      </c>
      <c r="AX114" s="82">
        <f t="shared" si="77"/>
        <v>44</v>
      </c>
      <c r="AY114" s="82">
        <f t="shared" si="78"/>
        <v>44</v>
      </c>
      <c r="AZ114" s="82">
        <f t="shared" si="79"/>
        <v>57</v>
      </c>
      <c r="BA114" s="82">
        <f t="shared" si="80"/>
        <v>57</v>
      </c>
      <c r="BB114" s="82">
        <f t="shared" si="81"/>
        <v>57</v>
      </c>
      <c r="BC114" s="82">
        <f t="shared" si="74"/>
        <v>57</v>
      </c>
      <c r="BD114" s="82"/>
      <c r="BE114" s="82"/>
      <c r="BF114" s="82"/>
      <c r="BG114" s="82"/>
      <c r="BH114" s="82"/>
      <c r="BI114" s="82"/>
      <c r="BJ114" s="82"/>
      <c r="BK114" s="82"/>
      <c r="BL114" s="82"/>
      <c r="BM114" s="82"/>
      <c r="BN114" s="82"/>
      <c r="BO114" s="82"/>
      <c r="BP114" s="82"/>
      <c r="BQ114" s="82"/>
      <c r="BR114" s="85"/>
    </row>
    <row r="115" spans="1:70" ht="15" thickBot="1" x14ac:dyDescent="0.4">
      <c r="A115" s="52" t="s">
        <v>162</v>
      </c>
      <c r="B115" s="53">
        <v>0</v>
      </c>
      <c r="C115" s="54">
        <v>0</v>
      </c>
      <c r="D115" s="53">
        <v>0</v>
      </c>
      <c r="E115" s="54">
        <v>0</v>
      </c>
      <c r="F115" s="53">
        <v>0</v>
      </c>
      <c r="G115" s="54">
        <v>0</v>
      </c>
      <c r="H115" s="53">
        <v>1</v>
      </c>
      <c r="I115" s="54">
        <v>1</v>
      </c>
      <c r="J115" s="53">
        <v>1</v>
      </c>
      <c r="K115" s="54">
        <v>1</v>
      </c>
      <c r="L115" s="53">
        <v>1</v>
      </c>
      <c r="M115" s="54">
        <v>1</v>
      </c>
      <c r="N115" s="53">
        <v>1</v>
      </c>
      <c r="O115" s="54">
        <v>1</v>
      </c>
      <c r="P115" s="53">
        <v>1</v>
      </c>
      <c r="Q115" s="88">
        <v>1</v>
      </c>
      <c r="R115" s="53">
        <v>1</v>
      </c>
      <c r="S115" s="54"/>
      <c r="T115" s="53">
        <v>1</v>
      </c>
      <c r="U115" s="54"/>
      <c r="V115" s="53">
        <v>1</v>
      </c>
      <c r="W115" s="54"/>
      <c r="X115" s="53">
        <v>1</v>
      </c>
      <c r="Y115" s="54"/>
      <c r="Z115" s="53">
        <v>1</v>
      </c>
      <c r="AA115" s="54"/>
      <c r="AB115" s="53">
        <v>1</v>
      </c>
      <c r="AC115" s="54"/>
      <c r="AD115" s="53">
        <v>1</v>
      </c>
      <c r="AE115" s="54"/>
      <c r="AF115" s="53">
        <v>1</v>
      </c>
      <c r="AG115" s="54"/>
      <c r="AH115" s="53">
        <v>1</v>
      </c>
      <c r="AI115" s="54"/>
      <c r="AJ115" s="53">
        <v>1</v>
      </c>
      <c r="AK115" s="54"/>
      <c r="AL115" s="53">
        <v>1</v>
      </c>
      <c r="AM115" s="54"/>
      <c r="AN115" s="53">
        <v>1</v>
      </c>
      <c r="AO115" s="54"/>
      <c r="AP115" s="53">
        <v>1</v>
      </c>
      <c r="AQ115" s="54"/>
      <c r="AR115" s="53">
        <v>1</v>
      </c>
      <c r="AS115" s="54"/>
      <c r="AT115" s="55">
        <v>0</v>
      </c>
      <c r="AU115" s="61"/>
      <c r="AV115" s="78">
        <f t="shared" si="75"/>
        <v>0</v>
      </c>
      <c r="AW115" s="55">
        <f t="shared" si="76"/>
        <v>0</v>
      </c>
      <c r="AX115" s="55">
        <f t="shared" si="77"/>
        <v>0</v>
      </c>
      <c r="AY115" s="55">
        <f t="shared" si="78"/>
        <v>0</v>
      </c>
      <c r="AZ115" s="55">
        <f t="shared" si="79"/>
        <v>0</v>
      </c>
      <c r="BA115" s="55">
        <f t="shared" si="80"/>
        <v>0</v>
      </c>
      <c r="BB115" s="55">
        <f t="shared" si="81"/>
        <v>0</v>
      </c>
      <c r="BC115" s="55">
        <f t="shared" si="74"/>
        <v>0</v>
      </c>
      <c r="BD115" s="55"/>
      <c r="BE115" s="55"/>
      <c r="BF115" s="55"/>
      <c r="BG115" s="55"/>
      <c r="BH115" s="55"/>
      <c r="BI115" s="55"/>
      <c r="BJ115" s="55"/>
      <c r="BK115" s="55"/>
      <c r="BL115" s="55"/>
      <c r="BM115" s="55"/>
      <c r="BN115" s="55"/>
      <c r="BO115" s="55"/>
      <c r="BP115" s="55"/>
      <c r="BQ115" s="55"/>
      <c r="BR115" s="56"/>
    </row>
    <row r="116" spans="1:70" ht="15" thickBot="1" x14ac:dyDescent="0.4">
      <c r="A116" s="47" t="s">
        <v>102</v>
      </c>
      <c r="B116" s="48">
        <f>SUM(B94:B99,B101:B102,B104:B113,B115)</f>
        <v>1</v>
      </c>
      <c r="C116" s="48">
        <f t="shared" ref="C116:BC116" si="82">SUM(C94:C99,C101:C102,C104:C113,C115)</f>
        <v>1</v>
      </c>
      <c r="D116" s="48">
        <f t="shared" si="82"/>
        <v>1</v>
      </c>
      <c r="E116" s="48">
        <f t="shared" si="82"/>
        <v>11</v>
      </c>
      <c r="F116" s="48">
        <f t="shared" si="82"/>
        <v>21</v>
      </c>
      <c r="G116" s="48">
        <f t="shared" si="82"/>
        <v>17</v>
      </c>
      <c r="H116" s="48">
        <f t="shared" si="82"/>
        <v>36</v>
      </c>
      <c r="I116" s="48">
        <f t="shared" si="82"/>
        <v>21</v>
      </c>
      <c r="J116" s="48">
        <f t="shared" si="82"/>
        <v>39</v>
      </c>
      <c r="K116" s="48">
        <f t="shared" si="82"/>
        <v>26</v>
      </c>
      <c r="L116" s="48">
        <f t="shared" si="82"/>
        <v>39</v>
      </c>
      <c r="M116" s="48">
        <f t="shared" si="82"/>
        <v>32</v>
      </c>
      <c r="N116" s="48">
        <f t="shared" si="82"/>
        <v>39</v>
      </c>
      <c r="O116" s="48">
        <f t="shared" si="82"/>
        <v>38</v>
      </c>
      <c r="P116" s="48">
        <f t="shared" si="82"/>
        <v>39</v>
      </c>
      <c r="Q116" s="48">
        <f t="shared" si="82"/>
        <v>43</v>
      </c>
      <c r="R116" s="48">
        <f t="shared" si="82"/>
        <v>39</v>
      </c>
      <c r="S116" s="48">
        <f t="shared" si="82"/>
        <v>0</v>
      </c>
      <c r="T116" s="48">
        <f t="shared" si="82"/>
        <v>39</v>
      </c>
      <c r="U116" s="48">
        <f t="shared" si="82"/>
        <v>0</v>
      </c>
      <c r="V116" s="48">
        <f t="shared" si="82"/>
        <v>39</v>
      </c>
      <c r="W116" s="48">
        <f t="shared" si="82"/>
        <v>0</v>
      </c>
      <c r="X116" s="48">
        <f t="shared" si="82"/>
        <v>37</v>
      </c>
      <c r="Y116" s="48">
        <f t="shared" si="82"/>
        <v>0</v>
      </c>
      <c r="Z116" s="48">
        <f t="shared" si="82"/>
        <v>37</v>
      </c>
      <c r="AA116" s="48">
        <f t="shared" si="82"/>
        <v>0</v>
      </c>
      <c r="AB116" s="48">
        <f t="shared" si="82"/>
        <v>37</v>
      </c>
      <c r="AC116" s="48">
        <f t="shared" si="82"/>
        <v>0</v>
      </c>
      <c r="AD116" s="48">
        <f t="shared" si="82"/>
        <v>39</v>
      </c>
      <c r="AE116" s="48">
        <f t="shared" si="82"/>
        <v>0</v>
      </c>
      <c r="AF116" s="48">
        <f t="shared" si="82"/>
        <v>39</v>
      </c>
      <c r="AG116" s="48">
        <f t="shared" si="82"/>
        <v>0</v>
      </c>
      <c r="AH116" s="48">
        <f t="shared" si="82"/>
        <v>39</v>
      </c>
      <c r="AI116" s="48">
        <f t="shared" si="82"/>
        <v>0</v>
      </c>
      <c r="AJ116" s="48">
        <f t="shared" si="82"/>
        <v>39</v>
      </c>
      <c r="AK116" s="48">
        <f t="shared" si="82"/>
        <v>0</v>
      </c>
      <c r="AL116" s="48">
        <f t="shared" si="82"/>
        <v>39</v>
      </c>
      <c r="AM116" s="48">
        <f t="shared" si="82"/>
        <v>0</v>
      </c>
      <c r="AN116" s="48">
        <f t="shared" si="82"/>
        <v>39</v>
      </c>
      <c r="AO116" s="48">
        <f t="shared" si="82"/>
        <v>0</v>
      </c>
      <c r="AP116" s="48">
        <f t="shared" si="82"/>
        <v>39</v>
      </c>
      <c r="AQ116" s="48">
        <f t="shared" si="82"/>
        <v>0</v>
      </c>
      <c r="AR116" s="48">
        <f t="shared" si="82"/>
        <v>31</v>
      </c>
      <c r="AS116" s="48">
        <f t="shared" si="82"/>
        <v>0</v>
      </c>
      <c r="AT116" s="48">
        <f t="shared" si="82"/>
        <v>4.5</v>
      </c>
      <c r="AU116" s="48">
        <f t="shared" si="82"/>
        <v>0</v>
      </c>
      <c r="AV116" s="48">
        <f t="shared" si="82"/>
        <v>0</v>
      </c>
      <c r="AW116" s="48">
        <f t="shared" si="82"/>
        <v>10</v>
      </c>
      <c r="AX116" s="48">
        <f t="shared" si="82"/>
        <v>-4</v>
      </c>
      <c r="AY116" s="48">
        <f t="shared" si="82"/>
        <v>-15</v>
      </c>
      <c r="AZ116" s="48">
        <f t="shared" si="82"/>
        <v>-13</v>
      </c>
      <c r="BA116" s="48">
        <f t="shared" si="82"/>
        <v>-7</v>
      </c>
      <c r="BB116" s="48">
        <f t="shared" si="82"/>
        <v>-1</v>
      </c>
      <c r="BC116" s="48">
        <f t="shared" si="82"/>
        <v>4</v>
      </c>
      <c r="BD116" s="48">
        <f t="shared" ref="BD116" si="83">SUM(BD94:BD99,BD101:BD102,BD104:BD113,BD115)</f>
        <v>0</v>
      </c>
      <c r="BE116" s="48">
        <f t="shared" ref="BE116" si="84">SUM(BE94:BE99,BE101:BE102,BE104:BE113,BE115)</f>
        <v>0</v>
      </c>
      <c r="BF116" s="48">
        <f t="shared" ref="BF116" si="85">SUM(BF94:BF99,BF101:BF102,BF104:BF113,BF115)</f>
        <v>0</v>
      </c>
      <c r="BG116" s="48">
        <f t="shared" ref="BG116" si="86">SUM(BG94:BG99,BG101:BG102,BG104:BG113,BG115)</f>
        <v>0</v>
      </c>
      <c r="BH116" s="48">
        <f t="shared" ref="BH116" si="87">SUM(BH94:BH99,BH101:BH102,BH104:BH113,BH115)</f>
        <v>0</v>
      </c>
      <c r="BI116" s="48">
        <f t="shared" ref="BI116" si="88">SUM(BI94:BI99,BI101:BI102,BI104:BI113,BI115)</f>
        <v>0</v>
      </c>
      <c r="BJ116" s="48">
        <f t="shared" ref="BJ116" si="89">SUM(BJ94:BJ99,BJ101:BJ102,BJ104:BJ113,BJ115)</f>
        <v>0</v>
      </c>
      <c r="BK116" s="48">
        <f t="shared" ref="BK116" si="90">SUM(BK94:BK99,BK101:BK102,BK104:BK113,BK115)</f>
        <v>0</v>
      </c>
      <c r="BL116" s="48">
        <f t="shared" ref="BL116" si="91">SUM(BL94:BL99,BL101:BL102,BL104:BL113,BL115)</f>
        <v>0</v>
      </c>
      <c r="BM116" s="48">
        <f t="shared" ref="BM116" si="92">SUM(BM94:BM99,BM101:BM102,BM104:BM113,BM115)</f>
        <v>0</v>
      </c>
      <c r="BN116" s="48">
        <f t="shared" ref="BN116" si="93">SUM(BN94:BN99,BN101:BN102,BN104:BN113,BN115)</f>
        <v>0</v>
      </c>
      <c r="BO116" s="48">
        <f t="shared" ref="BO116" si="94">SUM(BO94:BO99,BO101:BO102,BO104:BO113,BO115)</f>
        <v>0</v>
      </c>
      <c r="BP116" s="48">
        <f t="shared" ref="BP116" si="95">SUM(BP94:BP99,BP101:BP102,BP104:BP113,BP115)</f>
        <v>0</v>
      </c>
      <c r="BQ116" s="48">
        <f t="shared" ref="BQ116" si="96">SUM(BQ94:BQ99,BQ101:BQ102,BQ104:BQ113,BQ115)</f>
        <v>0</v>
      </c>
      <c r="BR116" s="48">
        <f t="shared" ref="BR116" si="97">SUM(BR94:BR99,BR101:BR102,BR104:BR113,BR115)</f>
        <v>0</v>
      </c>
    </row>
    <row r="117" spans="1:70" x14ac:dyDescent="0.35">
      <c r="AV117" s="44"/>
      <c r="AW117" s="44"/>
      <c r="AX117" s="44"/>
      <c r="AY117" s="44"/>
      <c r="AZ117" s="44"/>
      <c r="BA117" s="44"/>
      <c r="BB117" s="44"/>
      <c r="BC117" s="44"/>
      <c r="BD117" s="44"/>
      <c r="BE117" s="44"/>
      <c r="BF117" s="44"/>
      <c r="BG117" s="44"/>
      <c r="BH117" s="44"/>
      <c r="BI117" s="44"/>
      <c r="BJ117" s="44"/>
      <c r="BK117" s="44"/>
      <c r="BL117" s="44"/>
      <c r="BM117" s="44"/>
      <c r="BN117" s="44"/>
      <c r="BO117" s="44"/>
      <c r="BP117" s="44"/>
      <c r="BQ117" s="44"/>
      <c r="BR117" s="44"/>
    </row>
    <row r="118" spans="1:70" x14ac:dyDescent="0.35">
      <c r="B118" s="99"/>
      <c r="C118" s="99"/>
      <c r="D118" s="99"/>
      <c r="E118" s="99"/>
      <c r="F118" s="99"/>
      <c r="G118" s="99"/>
      <c r="H118" s="99"/>
      <c r="I118" s="99"/>
      <c r="J118" s="99"/>
      <c r="K118" s="99"/>
      <c r="L118" s="99"/>
      <c r="M118" s="99"/>
      <c r="N118" s="99"/>
      <c r="O118" s="99"/>
      <c r="P118" s="99"/>
      <c r="Q118" s="99"/>
      <c r="R118" s="99"/>
      <c r="S118" s="99"/>
      <c r="T118" s="99"/>
      <c r="U118" s="99"/>
      <c r="V118" s="99"/>
      <c r="W118" s="99"/>
      <c r="X118" s="99"/>
      <c r="Y118" s="99"/>
      <c r="Z118" s="99"/>
      <c r="AA118" s="99"/>
      <c r="AB118" s="99"/>
      <c r="AC118" s="99"/>
      <c r="AD118" s="99"/>
      <c r="AE118" s="99"/>
      <c r="AF118" s="99"/>
      <c r="AG118" s="99"/>
      <c r="AH118" s="99"/>
      <c r="AI118" s="99"/>
      <c r="AJ118" s="99"/>
      <c r="AK118" s="99"/>
      <c r="AL118" s="99"/>
      <c r="AM118" s="99"/>
      <c r="AN118" s="99"/>
      <c r="AO118" s="99"/>
      <c r="AP118" s="99"/>
      <c r="AQ118" s="99"/>
      <c r="AR118" s="99"/>
      <c r="AS118" s="99"/>
      <c r="AT118" s="99"/>
      <c r="AV118" s="44"/>
      <c r="AW118" s="44"/>
      <c r="AX118" s="44"/>
      <c r="AY118" s="44"/>
      <c r="AZ118" s="44"/>
      <c r="BA118" s="44"/>
      <c r="BB118" s="44"/>
      <c r="BC118" s="44"/>
      <c r="BD118" s="44"/>
      <c r="BE118" s="44"/>
      <c r="BF118" s="44"/>
      <c r="BG118" s="44"/>
      <c r="BH118" s="44"/>
      <c r="BI118" s="44"/>
      <c r="BJ118" s="44"/>
      <c r="BK118" s="44"/>
      <c r="BL118" s="44"/>
      <c r="BM118" s="44"/>
      <c r="BN118" s="44"/>
      <c r="BO118" s="44"/>
      <c r="BP118" s="44"/>
      <c r="BQ118" s="44"/>
      <c r="BR118" s="44"/>
    </row>
    <row r="119" spans="1:70" x14ac:dyDescent="0.35">
      <c r="AV119" s="44"/>
      <c r="AW119" s="44"/>
      <c r="AX119" s="44"/>
      <c r="AY119" s="44"/>
      <c r="AZ119" s="44"/>
      <c r="BA119" s="44"/>
      <c r="BB119" s="44"/>
      <c r="BC119" s="44"/>
      <c r="BD119" s="44"/>
      <c r="BE119" s="44"/>
      <c r="BF119" s="44"/>
      <c r="BG119" s="44"/>
      <c r="BH119" s="44"/>
      <c r="BI119" s="44"/>
      <c r="BJ119" s="44"/>
      <c r="BK119" s="44"/>
      <c r="BL119" s="44"/>
      <c r="BM119" s="44"/>
      <c r="BN119" s="44"/>
      <c r="BO119" s="44"/>
      <c r="BP119" s="44"/>
      <c r="BQ119" s="44"/>
      <c r="BR119" s="44"/>
    </row>
    <row r="120" spans="1:70" x14ac:dyDescent="0.35">
      <c r="AV120" s="44"/>
      <c r="AW120" s="44"/>
      <c r="AX120" s="44"/>
      <c r="AY120" s="44"/>
      <c r="AZ120" s="44"/>
      <c r="BA120" s="44"/>
      <c r="BB120" s="44"/>
      <c r="BC120" s="44"/>
      <c r="BD120" s="44"/>
      <c r="BE120" s="44"/>
      <c r="BF120" s="44"/>
      <c r="BG120" s="44"/>
      <c r="BH120" s="44"/>
      <c r="BI120" s="44"/>
      <c r="BJ120" s="44"/>
      <c r="BK120" s="44"/>
      <c r="BL120" s="44"/>
      <c r="BM120" s="44"/>
      <c r="BN120" s="44"/>
      <c r="BO120" s="44"/>
      <c r="BP120" s="44"/>
      <c r="BQ120" s="44"/>
      <c r="BR120" s="44"/>
    </row>
    <row r="121" spans="1:70" x14ac:dyDescent="0.35">
      <c r="AV121" s="44"/>
      <c r="AW121" s="44"/>
      <c r="AX121" s="44"/>
      <c r="AY121" s="44"/>
      <c r="AZ121" s="44"/>
      <c r="BA121" s="44"/>
      <c r="BB121" s="44"/>
      <c r="BC121" s="44"/>
      <c r="BD121" s="44"/>
      <c r="BE121" s="44"/>
      <c r="BF121" s="44"/>
      <c r="BG121" s="44"/>
      <c r="BH121" s="44"/>
      <c r="BI121" s="44"/>
      <c r="BJ121" s="44"/>
      <c r="BK121" s="44"/>
      <c r="BL121" s="44"/>
      <c r="BM121" s="44"/>
      <c r="BN121" s="44"/>
      <c r="BO121" s="44"/>
      <c r="BP121" s="44"/>
      <c r="BQ121" s="44"/>
      <c r="BR121" s="44"/>
    </row>
    <row r="122" spans="1:70" x14ac:dyDescent="0.35">
      <c r="AV122" s="44"/>
      <c r="AW122" s="44"/>
      <c r="AX122" s="44"/>
      <c r="AY122" s="44"/>
      <c r="AZ122" s="44"/>
      <c r="BA122" s="44"/>
      <c r="BB122" s="44"/>
      <c r="BC122" s="44"/>
      <c r="BD122" s="44"/>
      <c r="BE122" s="44"/>
      <c r="BF122" s="44"/>
      <c r="BG122" s="44"/>
      <c r="BH122" s="44"/>
      <c r="BI122" s="44"/>
      <c r="BJ122" s="44"/>
      <c r="BK122" s="44"/>
      <c r="BL122" s="44"/>
      <c r="BM122" s="44"/>
      <c r="BN122" s="44"/>
      <c r="BO122" s="44"/>
      <c r="BP122" s="44"/>
      <c r="BQ122" s="44"/>
      <c r="BR122" s="44"/>
    </row>
    <row r="123" spans="1:70" x14ac:dyDescent="0.35">
      <c r="AV123" s="44"/>
      <c r="AW123" s="44"/>
      <c r="AX123" s="44"/>
      <c r="AY123" s="44"/>
      <c r="AZ123" s="44"/>
      <c r="BA123" s="44"/>
      <c r="BB123" s="44"/>
      <c r="BC123" s="44"/>
      <c r="BD123" s="44"/>
      <c r="BE123" s="44"/>
      <c r="BF123" s="44"/>
      <c r="BG123" s="44"/>
      <c r="BH123" s="44"/>
      <c r="BI123" s="44"/>
      <c r="BJ123" s="44"/>
      <c r="BK123" s="44"/>
      <c r="BL123" s="44"/>
      <c r="BM123" s="44"/>
      <c r="BN123" s="44"/>
      <c r="BO123" s="44"/>
      <c r="BP123" s="44"/>
      <c r="BQ123" s="44"/>
      <c r="BR123" s="44"/>
    </row>
    <row r="124" spans="1:70" x14ac:dyDescent="0.35">
      <c r="AV124" s="44"/>
      <c r="AW124" s="44"/>
      <c r="AX124" s="44"/>
      <c r="AY124" s="44"/>
      <c r="AZ124" s="44"/>
      <c r="BA124" s="44"/>
      <c r="BB124" s="44"/>
      <c r="BC124" s="44"/>
      <c r="BD124" s="44"/>
      <c r="BE124" s="44"/>
      <c r="BF124" s="44"/>
      <c r="BG124" s="44"/>
      <c r="BH124" s="44"/>
      <c r="BI124" s="44"/>
      <c r="BJ124" s="44"/>
      <c r="BK124" s="44"/>
      <c r="BL124" s="44"/>
      <c r="BM124" s="44"/>
      <c r="BN124" s="44"/>
      <c r="BO124" s="44"/>
      <c r="BP124" s="44"/>
      <c r="BQ124" s="44"/>
      <c r="BR124" s="44"/>
    </row>
    <row r="125" spans="1:70" x14ac:dyDescent="0.35">
      <c r="AV125" s="44"/>
      <c r="AW125" s="44"/>
      <c r="AX125" s="44"/>
      <c r="AY125" s="44"/>
      <c r="AZ125" s="44"/>
      <c r="BA125" s="44"/>
      <c r="BB125" s="44"/>
      <c r="BC125" s="44"/>
      <c r="BD125" s="44"/>
      <c r="BE125" s="44"/>
      <c r="BF125" s="44"/>
      <c r="BG125" s="44"/>
      <c r="BH125" s="44"/>
      <c r="BI125" s="44"/>
      <c r="BJ125" s="44"/>
      <c r="BK125" s="44"/>
      <c r="BL125" s="44"/>
      <c r="BM125" s="44"/>
      <c r="BN125" s="44"/>
      <c r="BO125" s="44"/>
      <c r="BP125" s="44"/>
      <c r="BQ125" s="44"/>
      <c r="BR125" s="44"/>
    </row>
    <row r="126" spans="1:70" x14ac:dyDescent="0.35">
      <c r="AV126" s="44"/>
      <c r="AW126" s="44"/>
      <c r="AX126" s="44"/>
      <c r="AY126" s="44"/>
      <c r="AZ126" s="44"/>
      <c r="BA126" s="44"/>
      <c r="BB126" s="44"/>
      <c r="BC126" s="44"/>
      <c r="BD126" s="44"/>
      <c r="BE126" s="44"/>
      <c r="BF126" s="44"/>
      <c r="BG126" s="44"/>
      <c r="BH126" s="44"/>
      <c r="BI126" s="44"/>
      <c r="BJ126" s="44"/>
      <c r="BK126" s="44"/>
      <c r="BL126" s="44"/>
      <c r="BM126" s="44"/>
      <c r="BN126" s="44"/>
      <c r="BO126" s="44"/>
      <c r="BP126" s="44"/>
      <c r="BQ126" s="44"/>
      <c r="BR126" s="44"/>
    </row>
    <row r="127" spans="1:70" x14ac:dyDescent="0.35">
      <c r="AV127" s="44"/>
      <c r="AW127" s="44"/>
      <c r="AX127" s="44"/>
      <c r="AY127" s="44"/>
      <c r="AZ127" s="44"/>
      <c r="BA127" s="44"/>
      <c r="BB127" s="44"/>
      <c r="BC127" s="44"/>
      <c r="BD127" s="44"/>
      <c r="BE127" s="44"/>
      <c r="BF127" s="44"/>
      <c r="BG127" s="44"/>
      <c r="BH127" s="44"/>
      <c r="BI127" s="44"/>
      <c r="BJ127" s="44"/>
      <c r="BK127" s="44"/>
      <c r="BL127" s="44"/>
      <c r="BM127" s="44"/>
      <c r="BN127" s="44"/>
      <c r="BO127" s="44"/>
      <c r="BP127" s="44"/>
      <c r="BQ127" s="44"/>
      <c r="BR127" s="44"/>
    </row>
    <row r="128" spans="1:70" x14ac:dyDescent="0.35">
      <c r="AV128" s="44"/>
      <c r="AW128" s="44"/>
      <c r="AX128" s="44"/>
      <c r="AY128" s="44"/>
      <c r="AZ128" s="44"/>
      <c r="BA128" s="44"/>
      <c r="BB128" s="44"/>
      <c r="BC128" s="44"/>
      <c r="BD128" s="44"/>
      <c r="BE128" s="44"/>
      <c r="BF128" s="44"/>
      <c r="BG128" s="44"/>
      <c r="BH128" s="44"/>
      <c r="BI128" s="44"/>
      <c r="BJ128" s="44"/>
      <c r="BK128" s="44"/>
      <c r="BL128" s="44"/>
      <c r="BM128" s="44"/>
      <c r="BN128" s="44"/>
      <c r="BO128" s="44"/>
      <c r="BP128" s="44"/>
      <c r="BQ128" s="44"/>
      <c r="BR128" s="44"/>
    </row>
    <row r="129" spans="48:70" x14ac:dyDescent="0.35">
      <c r="AV129" s="44"/>
      <c r="AW129" s="44"/>
      <c r="AX129" s="44"/>
      <c r="AY129" s="44"/>
      <c r="AZ129" s="44"/>
      <c r="BA129" s="44"/>
      <c r="BB129" s="44"/>
      <c r="BC129" s="44"/>
      <c r="BD129" s="44"/>
      <c r="BE129" s="44"/>
      <c r="BF129" s="44"/>
      <c r="BG129" s="44"/>
      <c r="BH129" s="44"/>
      <c r="BI129" s="44"/>
      <c r="BJ129" s="44"/>
      <c r="BK129" s="44"/>
      <c r="BL129" s="44"/>
      <c r="BM129" s="44"/>
      <c r="BN129" s="44"/>
      <c r="BO129" s="44"/>
      <c r="BP129" s="44"/>
      <c r="BQ129" s="44"/>
      <c r="BR129" s="44"/>
    </row>
    <row r="130" spans="48:70" x14ac:dyDescent="0.35">
      <c r="AV130" s="44"/>
      <c r="AW130" s="44"/>
      <c r="AX130" s="44"/>
      <c r="AY130" s="44"/>
      <c r="AZ130" s="44"/>
      <c r="BA130" s="44"/>
      <c r="BB130" s="44"/>
      <c r="BC130" s="44"/>
      <c r="BD130" s="44"/>
      <c r="BE130" s="44"/>
      <c r="BF130" s="44"/>
      <c r="BG130" s="44"/>
      <c r="BH130" s="44"/>
      <c r="BI130" s="44"/>
      <c r="BJ130" s="44"/>
      <c r="BK130" s="44"/>
      <c r="BL130" s="44"/>
      <c r="BM130" s="44"/>
      <c r="BN130" s="44"/>
      <c r="BO130" s="44"/>
      <c r="BP130" s="44"/>
      <c r="BQ130" s="44"/>
      <c r="BR130" s="44"/>
    </row>
    <row r="131" spans="48:70" x14ac:dyDescent="0.35">
      <c r="AV131" s="44"/>
      <c r="AW131" s="44"/>
      <c r="AX131" s="44"/>
      <c r="AY131" s="44"/>
      <c r="AZ131" s="44"/>
      <c r="BA131" s="44"/>
      <c r="BB131" s="44"/>
      <c r="BC131" s="44"/>
      <c r="BD131" s="44"/>
      <c r="BE131" s="44"/>
      <c r="BF131" s="44"/>
      <c r="BG131" s="44"/>
      <c r="BH131" s="44"/>
      <c r="BI131" s="44"/>
      <c r="BJ131" s="44"/>
      <c r="BK131" s="44"/>
      <c r="BL131" s="44"/>
      <c r="BM131" s="44"/>
      <c r="BN131" s="44"/>
      <c r="BO131" s="44"/>
      <c r="BP131" s="44"/>
      <c r="BQ131" s="44"/>
      <c r="BR131" s="44"/>
    </row>
    <row r="132" spans="48:70" x14ac:dyDescent="0.35">
      <c r="AV132" s="44"/>
      <c r="AW132" s="44"/>
      <c r="AX132" s="44"/>
      <c r="AY132" s="44"/>
      <c r="AZ132" s="44"/>
      <c r="BA132" s="44"/>
      <c r="BB132" s="44"/>
      <c r="BC132" s="44"/>
      <c r="BD132" s="44"/>
      <c r="BE132" s="44"/>
      <c r="BF132" s="44"/>
      <c r="BG132" s="44"/>
      <c r="BH132" s="44"/>
      <c r="BI132" s="44"/>
      <c r="BJ132" s="44"/>
      <c r="BK132" s="44"/>
      <c r="BL132" s="44"/>
      <c r="BM132" s="44"/>
      <c r="BN132" s="44"/>
      <c r="BO132" s="44"/>
      <c r="BP132" s="44"/>
      <c r="BQ132" s="44"/>
      <c r="BR132" s="44"/>
    </row>
    <row r="133" spans="48:70" x14ac:dyDescent="0.35">
      <c r="AV133" s="44"/>
      <c r="AW133" s="44"/>
      <c r="AX133" s="44"/>
      <c r="AY133" s="44"/>
      <c r="AZ133" s="44"/>
      <c r="BA133" s="44"/>
      <c r="BB133" s="44"/>
      <c r="BC133" s="44"/>
      <c r="BD133" s="44"/>
      <c r="BE133" s="44"/>
      <c r="BF133" s="44"/>
      <c r="BG133" s="44"/>
      <c r="BH133" s="44"/>
      <c r="BI133" s="44"/>
      <c r="BJ133" s="44"/>
      <c r="BK133" s="44"/>
      <c r="BL133" s="44"/>
      <c r="BM133" s="44"/>
      <c r="BN133" s="44"/>
      <c r="BO133" s="44"/>
      <c r="BP133" s="44"/>
      <c r="BQ133" s="44"/>
      <c r="BR133" s="44"/>
    </row>
    <row r="134" spans="48:70" x14ac:dyDescent="0.35">
      <c r="AV134" s="44"/>
      <c r="AW134" s="44"/>
      <c r="AX134" s="44"/>
      <c r="AY134" s="44"/>
      <c r="AZ134" s="44"/>
      <c r="BA134" s="44"/>
      <c r="BB134" s="44"/>
      <c r="BC134" s="44"/>
      <c r="BD134" s="44"/>
      <c r="BE134" s="44"/>
      <c r="BF134" s="44"/>
      <c r="BG134" s="44"/>
      <c r="BH134" s="44"/>
      <c r="BI134" s="44"/>
      <c r="BJ134" s="44"/>
      <c r="BK134" s="44"/>
      <c r="BL134" s="44"/>
      <c r="BM134" s="44"/>
      <c r="BN134" s="44"/>
      <c r="BO134" s="44"/>
      <c r="BP134" s="44"/>
      <c r="BQ134" s="44"/>
      <c r="BR134" s="44"/>
    </row>
    <row r="135" spans="48:70" x14ac:dyDescent="0.35">
      <c r="AV135" s="44"/>
      <c r="AW135" s="44"/>
      <c r="AX135" s="44"/>
      <c r="AY135" s="44"/>
      <c r="AZ135" s="44"/>
      <c r="BA135" s="44"/>
      <c r="BB135" s="44"/>
      <c r="BC135" s="44"/>
      <c r="BD135" s="44"/>
      <c r="BE135" s="44"/>
      <c r="BF135" s="44"/>
      <c r="BG135" s="44"/>
      <c r="BH135" s="44"/>
      <c r="BI135" s="44"/>
      <c r="BJ135" s="44"/>
      <c r="BK135" s="44"/>
      <c r="BL135" s="44"/>
      <c r="BM135" s="44"/>
      <c r="BN135" s="44"/>
      <c r="BO135" s="44"/>
      <c r="BP135" s="44"/>
      <c r="BQ135" s="44"/>
      <c r="BR135" s="44"/>
    </row>
  </sheetData>
  <mergeCells count="3">
    <mergeCell ref="A35:A36"/>
    <mergeCell ref="A81:A82"/>
    <mergeCell ref="A92:A93"/>
  </mergeCells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B87243-9902-4A8A-B44F-916AFE4F4563}">
  <dimension ref="A1:AS69"/>
  <sheetViews>
    <sheetView workbookViewId="0">
      <selection activeCell="E14" sqref="E14"/>
    </sheetView>
  </sheetViews>
  <sheetFormatPr defaultRowHeight="14.5" x14ac:dyDescent="0.35"/>
  <cols>
    <col min="1" max="1" width="19.453125" bestFit="1" customWidth="1"/>
    <col min="2" max="3" width="10.08984375" bestFit="1" customWidth="1"/>
    <col min="24" max="24" width="12.26953125" bestFit="1" customWidth="1"/>
    <col min="29" max="29" width="10.26953125" bestFit="1" customWidth="1"/>
    <col min="30" max="44" width="10.08984375" bestFit="1" customWidth="1"/>
  </cols>
  <sheetData>
    <row r="1" spans="1:45" ht="15" thickBot="1" x14ac:dyDescent="0.4">
      <c r="A1" s="89" t="s">
        <v>176</v>
      </c>
      <c r="B1" s="90" t="s">
        <v>191</v>
      </c>
      <c r="C1" s="90" t="s">
        <v>192</v>
      </c>
      <c r="D1" s="90" t="s">
        <v>193</v>
      </c>
      <c r="E1" s="90" t="s">
        <v>194</v>
      </c>
      <c r="F1" s="90" t="s">
        <v>195</v>
      </c>
      <c r="G1" s="90" t="s">
        <v>196</v>
      </c>
      <c r="H1" s="90" t="s">
        <v>197</v>
      </c>
      <c r="I1" s="90" t="s">
        <v>198</v>
      </c>
      <c r="J1" s="90" t="s">
        <v>199</v>
      </c>
      <c r="K1" s="90" t="s">
        <v>200</v>
      </c>
      <c r="L1" s="90" t="s">
        <v>201</v>
      </c>
      <c r="M1" s="90" t="s">
        <v>202</v>
      </c>
      <c r="N1" s="90" t="s">
        <v>203</v>
      </c>
      <c r="O1" s="90" t="s">
        <v>204</v>
      </c>
      <c r="P1" s="90" t="s">
        <v>205</v>
      </c>
      <c r="Q1" s="90" t="s">
        <v>206</v>
      </c>
      <c r="R1" s="90" t="s">
        <v>207</v>
      </c>
      <c r="S1" s="90" t="s">
        <v>208</v>
      </c>
      <c r="T1" s="90" t="s">
        <v>209</v>
      </c>
      <c r="U1" s="90" t="s">
        <v>210</v>
      </c>
      <c r="V1" s="90" t="s">
        <v>211</v>
      </c>
      <c r="W1" s="103"/>
      <c r="X1" s="103"/>
      <c r="Y1" s="108"/>
      <c r="Z1" s="108"/>
      <c r="AA1" s="108"/>
      <c r="AB1" s="108"/>
      <c r="AC1" s="134">
        <v>46204</v>
      </c>
      <c r="AD1" s="134">
        <v>46235</v>
      </c>
      <c r="AE1" s="134">
        <v>46266</v>
      </c>
      <c r="AF1" s="134">
        <v>46296</v>
      </c>
      <c r="AG1" s="134">
        <v>46327</v>
      </c>
      <c r="AH1" s="134">
        <v>46357</v>
      </c>
      <c r="AI1" s="134">
        <v>46391</v>
      </c>
      <c r="AJ1" s="134">
        <v>46419</v>
      </c>
      <c r="AK1" s="134">
        <v>46447</v>
      </c>
      <c r="AL1" s="134">
        <v>46478</v>
      </c>
      <c r="AM1" s="134">
        <v>46508</v>
      </c>
      <c r="AN1" s="134">
        <v>46539</v>
      </c>
      <c r="AO1" s="134">
        <v>46569</v>
      </c>
      <c r="AP1" s="134">
        <v>46600</v>
      </c>
      <c r="AQ1" s="134">
        <v>46631</v>
      </c>
      <c r="AR1" s="134">
        <v>46661</v>
      </c>
      <c r="AS1" s="108"/>
    </row>
    <row r="2" spans="1:45" s="103" customFormat="1" ht="15" thickBot="1" x14ac:dyDescent="0.4">
      <c r="A2" s="91" t="s">
        <v>173</v>
      </c>
      <c r="B2" s="92">
        <v>0</v>
      </c>
      <c r="C2" s="92">
        <v>863.8</v>
      </c>
      <c r="D2" s="92">
        <v>1179.8</v>
      </c>
      <c r="E2" s="92">
        <v>1072.5</v>
      </c>
      <c r="F2" s="92">
        <v>1179.8</v>
      </c>
      <c r="G2" s="92">
        <v>1233.4000000000001</v>
      </c>
      <c r="H2" s="92">
        <v>1126.2</v>
      </c>
      <c r="I2" s="92">
        <v>1126.2</v>
      </c>
      <c r="J2" s="92">
        <v>1126.2</v>
      </c>
      <c r="K2" s="92">
        <v>1018.9</v>
      </c>
      <c r="L2" s="92">
        <v>750.8</v>
      </c>
      <c r="M2" s="92">
        <v>1018.9</v>
      </c>
      <c r="N2" s="92">
        <v>1072.5</v>
      </c>
      <c r="O2" s="92">
        <v>1233.4000000000001</v>
      </c>
      <c r="P2" s="92">
        <v>1179.8</v>
      </c>
      <c r="Q2" s="92">
        <v>1126.2</v>
      </c>
      <c r="R2" s="92">
        <v>1179.8</v>
      </c>
      <c r="S2" s="92">
        <v>880.9</v>
      </c>
      <c r="T2" s="92">
        <v>0</v>
      </c>
      <c r="U2" s="92">
        <v>0</v>
      </c>
      <c r="V2" s="92">
        <v>0</v>
      </c>
      <c r="W2" s="104"/>
      <c r="X2" s="104"/>
      <c r="Y2" s="105"/>
      <c r="Z2" s="106"/>
      <c r="AA2" s="106"/>
      <c r="AB2" s="106"/>
      <c r="AC2" s="133">
        <v>46234</v>
      </c>
      <c r="AD2" s="133">
        <v>46265</v>
      </c>
      <c r="AE2" s="133">
        <v>46295</v>
      </c>
      <c r="AF2" s="133">
        <v>46326</v>
      </c>
      <c r="AG2" s="133">
        <v>46356</v>
      </c>
      <c r="AH2" s="133">
        <v>46375</v>
      </c>
      <c r="AI2" s="133">
        <v>46418</v>
      </c>
      <c r="AJ2" s="133">
        <v>46446</v>
      </c>
      <c r="AK2" s="133">
        <v>46477</v>
      </c>
      <c r="AL2" s="133">
        <v>46507</v>
      </c>
      <c r="AM2" s="133">
        <v>46538</v>
      </c>
      <c r="AN2" s="133">
        <v>46568</v>
      </c>
      <c r="AO2" s="133">
        <v>46599</v>
      </c>
      <c r="AP2" s="133">
        <v>46630</v>
      </c>
      <c r="AQ2" s="133">
        <v>46660</v>
      </c>
      <c r="AR2" s="133">
        <v>46691</v>
      </c>
      <c r="AS2" s="105"/>
    </row>
    <row r="3" spans="1:45" s="103" customFormat="1" ht="15" thickBot="1" x14ac:dyDescent="0.4">
      <c r="A3" s="98" t="s">
        <v>183</v>
      </c>
      <c r="B3" s="97">
        <v>0</v>
      </c>
      <c r="C3" s="97">
        <v>20</v>
      </c>
      <c r="D3" s="97">
        <v>26</v>
      </c>
      <c r="E3" s="97">
        <v>26</v>
      </c>
      <c r="F3" s="97">
        <v>26</v>
      </c>
      <c r="G3" s="97">
        <v>27</v>
      </c>
      <c r="H3" s="97">
        <v>26</v>
      </c>
      <c r="I3" s="97">
        <v>26</v>
      </c>
      <c r="J3" s="97">
        <v>27</v>
      </c>
      <c r="K3" s="97">
        <v>25</v>
      </c>
      <c r="L3" s="97">
        <v>17</v>
      </c>
      <c r="M3" s="97">
        <v>24</v>
      </c>
      <c r="N3" s="97">
        <v>24</v>
      </c>
      <c r="O3" s="97">
        <v>27</v>
      </c>
      <c r="P3" s="97">
        <v>26</v>
      </c>
      <c r="Q3" s="97">
        <v>26</v>
      </c>
      <c r="R3" s="97">
        <v>0</v>
      </c>
      <c r="S3" s="97">
        <v>0</v>
      </c>
      <c r="T3" s="97">
        <v>0</v>
      </c>
      <c r="U3" s="97">
        <v>0</v>
      </c>
      <c r="V3" s="97">
        <v>0</v>
      </c>
      <c r="Y3" s="107"/>
      <c r="Z3" s="107"/>
      <c r="AA3" s="107"/>
      <c r="AB3" s="107"/>
      <c r="AC3" s="107"/>
      <c r="AD3" s="107"/>
      <c r="AE3" s="107"/>
      <c r="AF3" s="107"/>
      <c r="AG3" s="107"/>
      <c r="AH3" s="107"/>
      <c r="AI3" s="107"/>
      <c r="AJ3" s="107"/>
      <c r="AK3" s="107"/>
      <c r="AL3" s="107"/>
    </row>
    <row r="4" spans="1:45" s="103" customFormat="1" ht="15" thickBot="1" x14ac:dyDescent="0.4">
      <c r="A4" s="98" t="s">
        <v>184</v>
      </c>
      <c r="B4" s="97">
        <f>IFERROR(B2/B3,0)</f>
        <v>0</v>
      </c>
      <c r="C4" s="97">
        <f t="shared" ref="C4:V4" si="0">IFERROR(C2/C3,0)</f>
        <v>43.19</v>
      </c>
      <c r="D4" s="97">
        <f t="shared" si="0"/>
        <v>45.376923076923077</v>
      </c>
      <c r="E4" s="97">
        <f t="shared" si="0"/>
        <v>41.25</v>
      </c>
      <c r="F4" s="97">
        <f t="shared" si="0"/>
        <v>45.376923076923077</v>
      </c>
      <c r="G4" s="97">
        <f t="shared" si="0"/>
        <v>45.681481481481484</v>
      </c>
      <c r="H4" s="97">
        <f t="shared" si="0"/>
        <v>43.315384615384616</v>
      </c>
      <c r="I4" s="97">
        <f t="shared" si="0"/>
        <v>43.315384615384616</v>
      </c>
      <c r="J4" s="97">
        <f t="shared" si="0"/>
        <v>41.711111111111116</v>
      </c>
      <c r="K4" s="97">
        <f t="shared" si="0"/>
        <v>40.756</v>
      </c>
      <c r="L4" s="97">
        <f t="shared" si="0"/>
        <v>44.164705882352941</v>
      </c>
      <c r="M4" s="97">
        <f t="shared" si="0"/>
        <v>42.454166666666666</v>
      </c>
      <c r="N4" s="97">
        <f t="shared" si="0"/>
        <v>44.6875</v>
      </c>
      <c r="O4" s="97">
        <f t="shared" si="0"/>
        <v>45.681481481481484</v>
      </c>
      <c r="P4" s="97">
        <f t="shared" si="0"/>
        <v>45.376923076923077</v>
      </c>
      <c r="Q4" s="97">
        <f t="shared" si="0"/>
        <v>43.315384615384616</v>
      </c>
      <c r="R4" s="97">
        <f t="shared" si="0"/>
        <v>0</v>
      </c>
      <c r="S4" s="97">
        <f t="shared" si="0"/>
        <v>0</v>
      </c>
      <c r="T4" s="97">
        <f t="shared" si="0"/>
        <v>0</v>
      </c>
      <c r="U4" s="97">
        <f t="shared" si="0"/>
        <v>0</v>
      </c>
      <c r="V4" s="97">
        <f t="shared" si="0"/>
        <v>0</v>
      </c>
      <c r="Y4" s="107"/>
      <c r="Z4" s="107"/>
      <c r="AA4" s="107"/>
      <c r="AB4" s="107"/>
      <c r="AC4" s="107">
        <f>NETWORKDAYS.INTL(AC1,AC2,11)</f>
        <v>27</v>
      </c>
      <c r="AD4" s="107">
        <f t="shared" ref="AD4:AR4" si="1">NETWORKDAYS.INTL(AD1,AD2,11)</f>
        <v>26</v>
      </c>
      <c r="AE4" s="107">
        <f t="shared" si="1"/>
        <v>26</v>
      </c>
      <c r="AF4" s="107">
        <f t="shared" si="1"/>
        <v>27</v>
      </c>
      <c r="AG4" s="107">
        <f t="shared" si="1"/>
        <v>25</v>
      </c>
      <c r="AH4" s="107">
        <f t="shared" si="1"/>
        <v>17</v>
      </c>
      <c r="AI4" s="107">
        <f t="shared" si="1"/>
        <v>24</v>
      </c>
      <c r="AJ4" s="107">
        <f t="shared" si="1"/>
        <v>24</v>
      </c>
      <c r="AK4" s="107">
        <f t="shared" si="1"/>
        <v>27</v>
      </c>
      <c r="AL4" s="107">
        <f t="shared" si="1"/>
        <v>26</v>
      </c>
      <c r="AM4" s="107">
        <f t="shared" si="1"/>
        <v>26</v>
      </c>
      <c r="AN4" s="107">
        <f t="shared" si="1"/>
        <v>26</v>
      </c>
      <c r="AO4" s="107">
        <f t="shared" si="1"/>
        <v>27</v>
      </c>
      <c r="AP4" s="107">
        <f t="shared" si="1"/>
        <v>26</v>
      </c>
      <c r="AQ4" s="107">
        <f t="shared" si="1"/>
        <v>26</v>
      </c>
      <c r="AR4" s="107">
        <f t="shared" si="1"/>
        <v>26</v>
      </c>
    </row>
    <row r="5" spans="1:45" s="103" customFormat="1" ht="15" thickBot="1" x14ac:dyDescent="0.4">
      <c r="A5" s="93" t="s">
        <v>174</v>
      </c>
      <c r="B5" s="94">
        <v>0</v>
      </c>
      <c r="C5" s="94">
        <v>6</v>
      </c>
      <c r="D5" s="94">
        <v>335</v>
      </c>
      <c r="E5" s="94">
        <v>626</v>
      </c>
      <c r="F5" s="94">
        <v>828</v>
      </c>
      <c r="G5" s="94">
        <v>888</v>
      </c>
      <c r="H5" s="94"/>
      <c r="I5" s="94"/>
      <c r="J5" s="94"/>
      <c r="K5" s="94"/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X5" s="104"/>
      <c r="Y5" s="107"/>
      <c r="Z5" s="107"/>
      <c r="AA5" s="107"/>
      <c r="AB5" s="107"/>
      <c r="AC5" s="107"/>
      <c r="AD5" s="107"/>
      <c r="AE5" s="107"/>
      <c r="AF5" s="107"/>
      <c r="AG5" s="107"/>
      <c r="AH5" s="107"/>
      <c r="AI5" s="107"/>
      <c r="AJ5" s="107"/>
      <c r="AK5" s="107"/>
      <c r="AL5" s="107"/>
    </row>
    <row r="6" spans="1:45" s="103" customFormat="1" ht="15" thickBot="1" x14ac:dyDescent="0.4">
      <c r="A6" s="98" t="s">
        <v>183</v>
      </c>
      <c r="B6" s="97">
        <v>0</v>
      </c>
      <c r="C6" s="97">
        <v>1</v>
      </c>
      <c r="D6" s="97">
        <v>15</v>
      </c>
      <c r="E6" s="97">
        <v>20</v>
      </c>
      <c r="F6" s="97">
        <v>19</v>
      </c>
      <c r="G6" s="97">
        <v>10</v>
      </c>
      <c r="H6" s="97"/>
      <c r="I6" s="97"/>
      <c r="J6" s="97"/>
      <c r="K6" s="97"/>
      <c r="L6" s="97"/>
      <c r="M6" s="97"/>
      <c r="N6" s="97"/>
      <c r="O6" s="97"/>
      <c r="P6" s="97"/>
      <c r="Q6" s="97"/>
      <c r="R6" s="97"/>
      <c r="S6" s="97"/>
      <c r="T6" s="97"/>
      <c r="U6" s="97"/>
      <c r="V6" s="97"/>
    </row>
    <row r="7" spans="1:45" s="103" customFormat="1" ht="15" thickBot="1" x14ac:dyDescent="0.4">
      <c r="A7" s="98" t="s">
        <v>184</v>
      </c>
      <c r="B7" s="97">
        <f>IFERROR(B5/B6,0)</f>
        <v>0</v>
      </c>
      <c r="C7" s="97">
        <f t="shared" ref="C7" si="2">IFERROR(C5/C6,0)</f>
        <v>6</v>
      </c>
      <c r="D7" s="97">
        <f t="shared" ref="D7" si="3">IFERROR(D5/D6,0)</f>
        <v>22.333333333333332</v>
      </c>
      <c r="E7" s="97">
        <f t="shared" ref="E7" si="4">IFERROR(E5/E6,0)</f>
        <v>31.3</v>
      </c>
      <c r="F7" s="97">
        <f t="shared" ref="F7:G7" si="5">IFERROR(F5/F6,0)</f>
        <v>43.578947368421055</v>
      </c>
      <c r="G7" s="97">
        <f t="shared" si="5"/>
        <v>88.8</v>
      </c>
      <c r="H7" s="97"/>
      <c r="I7" s="97"/>
      <c r="J7" s="97"/>
      <c r="K7" s="97"/>
      <c r="L7" s="97"/>
      <c r="M7" s="97"/>
      <c r="N7" s="97"/>
      <c r="O7" s="97"/>
      <c r="P7" s="97"/>
      <c r="Q7" s="97"/>
      <c r="R7" s="97"/>
      <c r="S7" s="97"/>
      <c r="T7" s="97"/>
      <c r="U7" s="97"/>
      <c r="V7" s="97"/>
      <c r="AD7" s="106"/>
      <c r="AE7" s="106"/>
      <c r="AF7" s="106"/>
      <c r="AG7" s="106"/>
      <c r="AH7" s="106"/>
      <c r="AI7" s="106"/>
      <c r="AJ7" s="106"/>
      <c r="AK7" s="106"/>
      <c r="AL7" s="106"/>
      <c r="AM7" s="106"/>
      <c r="AN7" s="106"/>
      <c r="AO7" s="106"/>
      <c r="AP7" s="106"/>
      <c r="AQ7" s="106"/>
      <c r="AR7" s="106"/>
      <c r="AS7" s="106"/>
    </row>
    <row r="8" spans="1:45" s="103" customFormat="1" ht="15" thickBot="1" x14ac:dyDescent="0.4">
      <c r="A8" s="95" t="s">
        <v>175</v>
      </c>
      <c r="B8" s="96"/>
      <c r="C8" s="96"/>
      <c r="D8" s="96"/>
      <c r="E8" s="96"/>
      <c r="F8" s="96"/>
      <c r="G8" s="96">
        <v>1490.9</v>
      </c>
      <c r="H8" s="96">
        <v>1331.2999999999997</v>
      </c>
      <c r="I8" s="96">
        <v>1331.3000000000002</v>
      </c>
      <c r="J8" s="96">
        <v>1331.3000000000002</v>
      </c>
      <c r="K8" s="96">
        <v>1204.4999999999991</v>
      </c>
      <c r="L8" s="96">
        <v>887.5</v>
      </c>
      <c r="M8" s="96">
        <v>1204.5</v>
      </c>
      <c r="N8" s="96">
        <v>1267.8999999999996</v>
      </c>
      <c r="O8" s="96">
        <v>1458</v>
      </c>
      <c r="P8" s="96">
        <v>1394.7000000000007</v>
      </c>
      <c r="Q8" s="96">
        <v>1331.2999999999993</v>
      </c>
      <c r="R8" s="96">
        <v>1394.6999999999989</v>
      </c>
      <c r="S8" s="96">
        <v>946.40000000000146</v>
      </c>
      <c r="T8" s="96">
        <v>0</v>
      </c>
      <c r="U8" s="96">
        <v>0</v>
      </c>
      <c r="V8" s="96">
        <v>0</v>
      </c>
      <c r="X8" s="104"/>
      <c r="Y8" s="106"/>
      <c r="Z8" s="106"/>
      <c r="AA8" s="106"/>
      <c r="AB8" s="106"/>
      <c r="AC8" s="106"/>
      <c r="AD8" s="105"/>
      <c r="AE8" s="105"/>
      <c r="AF8" s="105"/>
      <c r="AG8" s="105"/>
      <c r="AH8" s="105"/>
      <c r="AI8" s="105"/>
      <c r="AJ8" s="105"/>
      <c r="AK8" s="105"/>
      <c r="AL8" s="105"/>
      <c r="AM8" s="105"/>
      <c r="AN8" s="105"/>
      <c r="AO8" s="105"/>
      <c r="AP8" s="105"/>
      <c r="AQ8" s="105"/>
      <c r="AR8" s="105"/>
      <c r="AS8" s="105"/>
    </row>
    <row r="9" spans="1:45" s="103" customFormat="1" ht="15" thickBot="1" x14ac:dyDescent="0.4">
      <c r="A9" s="98" t="s">
        <v>183</v>
      </c>
      <c r="B9" s="97"/>
      <c r="C9" s="97"/>
      <c r="D9" s="97"/>
      <c r="E9" s="97"/>
      <c r="F9" s="97"/>
      <c r="G9" s="135">
        <v>27</v>
      </c>
      <c r="H9" s="135">
        <v>26</v>
      </c>
      <c r="I9" s="135">
        <v>26</v>
      </c>
      <c r="J9" s="135">
        <v>27</v>
      </c>
      <c r="K9" s="135">
        <v>25</v>
      </c>
      <c r="L9" s="135">
        <v>17</v>
      </c>
      <c r="M9" s="135">
        <v>24</v>
      </c>
      <c r="N9" s="135">
        <v>24</v>
      </c>
      <c r="O9" s="135">
        <v>27</v>
      </c>
      <c r="P9" s="135">
        <v>26</v>
      </c>
      <c r="Q9" s="135">
        <v>26</v>
      </c>
      <c r="R9" s="135">
        <v>26</v>
      </c>
      <c r="S9" s="135">
        <v>27</v>
      </c>
      <c r="T9" s="135">
        <v>0</v>
      </c>
      <c r="U9" s="135">
        <v>0</v>
      </c>
      <c r="V9" s="135">
        <v>0</v>
      </c>
    </row>
    <row r="10" spans="1:45" s="103" customFormat="1" ht="15" thickBot="1" x14ac:dyDescent="0.4">
      <c r="A10" s="98" t="s">
        <v>184</v>
      </c>
      <c r="B10" s="97"/>
      <c r="C10" s="97"/>
      <c r="D10" s="97"/>
      <c r="E10" s="97"/>
      <c r="F10" s="97"/>
      <c r="G10" s="97">
        <f t="shared" ref="G10:U10" si="6">IFERROR(G8/G9,0)</f>
        <v>55.218518518518522</v>
      </c>
      <c r="H10" s="97">
        <f t="shared" si="6"/>
        <v>51.203846153846143</v>
      </c>
      <c r="I10" s="97">
        <f t="shared" si="6"/>
        <v>51.203846153846158</v>
      </c>
      <c r="J10" s="97">
        <f t="shared" si="6"/>
        <v>49.307407407407418</v>
      </c>
      <c r="K10" s="97">
        <f t="shared" si="6"/>
        <v>48.179999999999964</v>
      </c>
      <c r="L10" s="97">
        <f t="shared" si="6"/>
        <v>52.205882352941174</v>
      </c>
      <c r="M10" s="97">
        <f t="shared" si="6"/>
        <v>50.1875</v>
      </c>
      <c r="N10" s="97">
        <f t="shared" si="6"/>
        <v>52.829166666666652</v>
      </c>
      <c r="O10" s="97">
        <f t="shared" si="6"/>
        <v>54</v>
      </c>
      <c r="P10" s="97">
        <f t="shared" si="6"/>
        <v>53.642307692307718</v>
      </c>
      <c r="Q10" s="97">
        <f t="shared" si="6"/>
        <v>51.203846153846129</v>
      </c>
      <c r="R10" s="97">
        <f t="shared" si="6"/>
        <v>53.642307692307654</v>
      </c>
      <c r="S10" s="97">
        <f t="shared" si="6"/>
        <v>35.051851851851907</v>
      </c>
      <c r="T10" s="97">
        <f t="shared" si="6"/>
        <v>0</v>
      </c>
      <c r="U10" s="97">
        <f t="shared" si="6"/>
        <v>0</v>
      </c>
      <c r="V10" s="135">
        <v>0</v>
      </c>
      <c r="Y10" s="106"/>
      <c r="Z10" s="106"/>
      <c r="AA10" s="106"/>
      <c r="AB10" s="106"/>
      <c r="AC10" s="106"/>
      <c r="AD10" s="106"/>
      <c r="AE10" s="106"/>
      <c r="AF10" s="106"/>
      <c r="AG10" s="106"/>
      <c r="AH10" s="106"/>
      <c r="AI10" s="106"/>
      <c r="AJ10" s="106"/>
      <c r="AK10" s="106"/>
      <c r="AL10" s="106"/>
      <c r="AM10" s="106"/>
      <c r="AN10" s="106"/>
      <c r="AO10" s="106"/>
      <c r="AP10" s="106"/>
      <c r="AQ10" s="106"/>
      <c r="AR10" s="106"/>
      <c r="AS10" s="106"/>
    </row>
    <row r="11" spans="1:45" s="103" customFormat="1" ht="15" thickBot="1" x14ac:dyDescent="0.4">
      <c r="Y11" s="106"/>
      <c r="Z11" s="106"/>
      <c r="AA11" s="106"/>
      <c r="AB11" s="106"/>
      <c r="AC11" s="106"/>
      <c r="AD11" s="106"/>
      <c r="AE11" s="106"/>
      <c r="AF11" s="106"/>
      <c r="AG11" s="106"/>
      <c r="AH11" s="106"/>
      <c r="AI11" s="106"/>
      <c r="AJ11" s="106"/>
      <c r="AK11" s="106"/>
      <c r="AL11" s="106"/>
      <c r="AM11" s="106"/>
      <c r="AN11" s="106"/>
      <c r="AO11" s="106"/>
      <c r="AP11" s="106"/>
      <c r="AQ11" s="106"/>
      <c r="AR11" s="106"/>
      <c r="AS11" s="106"/>
    </row>
    <row r="12" spans="1:45" s="103" customFormat="1" ht="15" thickBot="1" x14ac:dyDescent="0.4">
      <c r="A12" s="89" t="s">
        <v>7</v>
      </c>
      <c r="B12" s="90" t="s">
        <v>191</v>
      </c>
      <c r="C12" s="90" t="s">
        <v>192</v>
      </c>
      <c r="D12" s="90" t="s">
        <v>193</v>
      </c>
      <c r="E12" s="90" t="s">
        <v>194</v>
      </c>
      <c r="F12" s="90" t="s">
        <v>195</v>
      </c>
      <c r="G12" s="90" t="s">
        <v>196</v>
      </c>
      <c r="H12" s="90" t="s">
        <v>197</v>
      </c>
      <c r="I12" s="90" t="s">
        <v>198</v>
      </c>
      <c r="J12" s="90" t="s">
        <v>199</v>
      </c>
      <c r="K12" s="90" t="s">
        <v>200</v>
      </c>
      <c r="L12" s="90" t="s">
        <v>201</v>
      </c>
      <c r="M12" s="90" t="s">
        <v>202</v>
      </c>
      <c r="N12" s="90" t="s">
        <v>203</v>
      </c>
      <c r="O12" s="90" t="s">
        <v>204</v>
      </c>
      <c r="P12" s="90" t="s">
        <v>205</v>
      </c>
      <c r="Q12" s="90" t="s">
        <v>206</v>
      </c>
      <c r="R12" s="90" t="s">
        <v>207</v>
      </c>
      <c r="S12" s="90" t="s">
        <v>208</v>
      </c>
      <c r="T12" s="90" t="s">
        <v>209</v>
      </c>
      <c r="U12" s="90" t="s">
        <v>210</v>
      </c>
      <c r="V12" s="90" t="s">
        <v>211</v>
      </c>
    </row>
    <row r="13" spans="1:45" s="103" customFormat="1" ht="15" thickBot="1" x14ac:dyDescent="0.4">
      <c r="A13" s="91" t="s">
        <v>170</v>
      </c>
      <c r="B13" s="92">
        <v>525</v>
      </c>
      <c r="C13" s="92">
        <v>20834.099999999999</v>
      </c>
      <c r="D13" s="92">
        <v>22670.6</v>
      </c>
      <c r="E13" s="92">
        <v>17825.7</v>
      </c>
      <c r="F13" s="92">
        <v>18975.599999999999</v>
      </c>
      <c r="G13" s="92">
        <v>18324.7</v>
      </c>
      <c r="H13" s="92">
        <v>19666.2</v>
      </c>
      <c r="I13" s="92">
        <v>16423</v>
      </c>
      <c r="J13" s="92">
        <v>9932.7999999999993</v>
      </c>
      <c r="K13" s="92">
        <v>16219.3</v>
      </c>
      <c r="L13" s="92">
        <v>13428.8</v>
      </c>
      <c r="M13" s="92">
        <v>15756.9</v>
      </c>
      <c r="N13" s="92">
        <v>16586.2</v>
      </c>
      <c r="O13" s="92">
        <v>18720.2</v>
      </c>
      <c r="P13" s="92">
        <v>18506.400000000001</v>
      </c>
      <c r="Q13" s="92">
        <v>18061.8</v>
      </c>
      <c r="R13" s="92">
        <v>18436.3</v>
      </c>
      <c r="S13" s="92">
        <v>18436.3</v>
      </c>
      <c r="T13" s="92">
        <v>6927.6</v>
      </c>
      <c r="U13" s="92">
        <v>0</v>
      </c>
      <c r="V13" s="92">
        <v>0</v>
      </c>
      <c r="X13" s="104"/>
      <c r="Y13" s="104"/>
      <c r="AE13" s="104"/>
    </row>
    <row r="14" spans="1:45" s="103" customFormat="1" ht="15" thickBot="1" x14ac:dyDescent="0.4">
      <c r="A14" s="98" t="s">
        <v>183</v>
      </c>
      <c r="B14" s="97">
        <v>5</v>
      </c>
      <c r="C14" s="97">
        <v>26</v>
      </c>
      <c r="D14" s="97">
        <v>26</v>
      </c>
      <c r="E14" s="97">
        <v>26</v>
      </c>
      <c r="F14" s="97">
        <v>26</v>
      </c>
      <c r="G14" s="97">
        <v>27</v>
      </c>
      <c r="H14" s="97">
        <v>26</v>
      </c>
      <c r="I14" s="97">
        <v>12</v>
      </c>
      <c r="J14" s="97">
        <v>0</v>
      </c>
      <c r="K14" s="97">
        <v>0</v>
      </c>
      <c r="L14" s="97">
        <v>0</v>
      </c>
      <c r="M14" s="97">
        <v>0</v>
      </c>
      <c r="N14" s="97">
        <v>0</v>
      </c>
      <c r="O14" s="97">
        <v>0</v>
      </c>
      <c r="P14" s="97">
        <v>0</v>
      </c>
      <c r="Q14" s="97">
        <v>0</v>
      </c>
      <c r="R14" s="97">
        <v>0</v>
      </c>
      <c r="S14" s="97">
        <v>0</v>
      </c>
      <c r="T14" s="97">
        <v>0</v>
      </c>
      <c r="U14" s="97">
        <v>0</v>
      </c>
      <c r="V14" s="97">
        <v>0</v>
      </c>
      <c r="Y14" s="104"/>
    </row>
    <row r="15" spans="1:45" s="103" customFormat="1" ht="15" thickBot="1" x14ac:dyDescent="0.4">
      <c r="A15" s="98" t="s">
        <v>184</v>
      </c>
      <c r="B15" s="97">
        <f>IFERROR(B13/B14,0)</f>
        <v>105</v>
      </c>
      <c r="C15" s="97">
        <f t="shared" ref="C15" si="7">IFERROR(C13/C14,0)</f>
        <v>801.31153846153836</v>
      </c>
      <c r="D15" s="97">
        <f t="shared" ref="D15" si="8">IFERROR(D13/D14,0)</f>
        <v>871.94615384615383</v>
      </c>
      <c r="E15" s="97">
        <f t="shared" ref="E15" si="9">IFERROR(E13/E14,0)</f>
        <v>685.60384615384623</v>
      </c>
      <c r="F15" s="97">
        <f t="shared" ref="F15" si="10">IFERROR(F13/F14,0)</f>
        <v>729.83076923076919</v>
      </c>
      <c r="G15" s="97">
        <f t="shared" ref="G15" si="11">IFERROR(G13/G14,0)</f>
        <v>678.69259259259263</v>
      </c>
      <c r="H15" s="97">
        <f t="shared" ref="H15" si="12">IFERROR(H13/H14,0)</f>
        <v>756.39230769230767</v>
      </c>
      <c r="I15" s="97">
        <f t="shared" ref="I15" si="13">IFERROR(I13/I14,0)</f>
        <v>1368.5833333333333</v>
      </c>
      <c r="J15" s="97">
        <f t="shared" ref="J15" si="14">IFERROR(J13/J14,0)</f>
        <v>0</v>
      </c>
      <c r="K15" s="97">
        <f t="shared" ref="K15" si="15">IFERROR(K13/K14,0)</f>
        <v>0</v>
      </c>
      <c r="L15" s="97">
        <f t="shared" ref="L15" si="16">IFERROR(L13/L14,0)</f>
        <v>0</v>
      </c>
      <c r="M15" s="97">
        <f t="shared" ref="M15" si="17">IFERROR(M13/M14,0)</f>
        <v>0</v>
      </c>
      <c r="N15" s="97">
        <f t="shared" ref="N15" si="18">IFERROR(N13/N14,0)</f>
        <v>0</v>
      </c>
      <c r="O15" s="97">
        <f t="shared" ref="O15" si="19">IFERROR(O13/O14,0)</f>
        <v>0</v>
      </c>
      <c r="P15" s="97">
        <f t="shared" ref="P15" si="20">IFERROR(P13/P14,0)</f>
        <v>0</v>
      </c>
      <c r="Q15" s="97">
        <f t="shared" ref="Q15" si="21">IFERROR(Q13/Q14,0)</f>
        <v>0</v>
      </c>
      <c r="R15" s="97">
        <f t="shared" ref="R15" si="22">IFERROR(R13/R14,0)</f>
        <v>0</v>
      </c>
      <c r="S15" s="97">
        <f t="shared" ref="S15" si="23">IFERROR(S13/S14,0)</f>
        <v>0</v>
      </c>
      <c r="T15" s="97">
        <f t="shared" ref="T15" si="24">IFERROR(T13/T14,0)</f>
        <v>0</v>
      </c>
      <c r="U15" s="97">
        <f t="shared" ref="U15" si="25">IFERROR(U13/U14,0)</f>
        <v>0</v>
      </c>
      <c r="V15" s="97">
        <f t="shared" ref="V15" si="26">IFERROR(V13/V14,0)</f>
        <v>0</v>
      </c>
    </row>
    <row r="16" spans="1:45" s="103" customFormat="1" ht="15" thickBot="1" x14ac:dyDescent="0.4">
      <c r="A16" s="93" t="s">
        <v>171</v>
      </c>
      <c r="B16" s="94">
        <v>451</v>
      </c>
      <c r="C16" s="94">
        <v>7717</v>
      </c>
      <c r="D16" s="94">
        <v>7760</v>
      </c>
      <c r="E16" s="94">
        <v>12900</v>
      </c>
      <c r="F16" s="94">
        <v>20505</v>
      </c>
      <c r="G16" s="94">
        <v>7784</v>
      </c>
      <c r="H16" s="94"/>
      <c r="I16" s="94"/>
      <c r="J16" s="94"/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X16" s="104"/>
    </row>
    <row r="17" spans="1:24" s="103" customFormat="1" ht="15" thickBot="1" x14ac:dyDescent="0.4">
      <c r="A17" s="98" t="s">
        <v>183</v>
      </c>
      <c r="B17" s="97">
        <v>3</v>
      </c>
      <c r="C17" s="97">
        <v>14</v>
      </c>
      <c r="D17" s="97">
        <v>10</v>
      </c>
      <c r="E17" s="97">
        <v>16</v>
      </c>
      <c r="F17" s="97">
        <v>18</v>
      </c>
      <c r="G17" s="97">
        <v>6</v>
      </c>
      <c r="H17" s="97"/>
      <c r="I17" s="97"/>
      <c r="J17" s="97"/>
      <c r="K17" s="97"/>
      <c r="L17" s="97"/>
      <c r="M17" s="97"/>
      <c r="N17" s="97"/>
      <c r="O17" s="97"/>
      <c r="P17" s="97"/>
      <c r="Q17" s="97"/>
      <c r="R17" s="97"/>
      <c r="S17" s="97"/>
      <c r="T17" s="97"/>
      <c r="U17" s="97"/>
      <c r="V17" s="97"/>
    </row>
    <row r="18" spans="1:24" s="103" customFormat="1" ht="15" thickBot="1" x14ac:dyDescent="0.4">
      <c r="A18" s="98" t="s">
        <v>184</v>
      </c>
      <c r="B18" s="97">
        <f>IFERROR(B16/B17,0)</f>
        <v>150.33333333333334</v>
      </c>
      <c r="C18" s="97">
        <f t="shared" ref="C18" si="27">IFERROR(C16/C17,0)</f>
        <v>551.21428571428567</v>
      </c>
      <c r="D18" s="97">
        <f t="shared" ref="D18" si="28">IFERROR(D16/D17,0)</f>
        <v>776</v>
      </c>
      <c r="E18" s="97">
        <f t="shared" ref="E18" si="29">IFERROR(E16/E17,0)</f>
        <v>806.25</v>
      </c>
      <c r="F18" s="97">
        <f t="shared" ref="F18:G18" si="30">IFERROR(F16/F17,0)</f>
        <v>1139.1666666666667</v>
      </c>
      <c r="G18" s="97">
        <f t="shared" si="30"/>
        <v>1297.3333333333333</v>
      </c>
      <c r="H18" s="97"/>
      <c r="I18" s="97"/>
      <c r="J18" s="97"/>
      <c r="K18" s="97"/>
      <c r="L18" s="97"/>
      <c r="M18" s="97"/>
      <c r="N18" s="97"/>
      <c r="O18" s="97"/>
      <c r="P18" s="97"/>
      <c r="Q18" s="97"/>
      <c r="R18" s="97"/>
      <c r="S18" s="97"/>
      <c r="T18" s="97"/>
      <c r="U18" s="97"/>
      <c r="V18" s="97"/>
    </row>
    <row r="19" spans="1:24" s="103" customFormat="1" ht="15" thickBot="1" x14ac:dyDescent="0.4">
      <c r="A19" s="95" t="s">
        <v>172</v>
      </c>
      <c r="B19" s="96"/>
      <c r="C19" s="96"/>
      <c r="D19" s="96"/>
      <c r="E19" s="96"/>
      <c r="F19" s="96"/>
      <c r="G19" s="96">
        <v>23930.899999999994</v>
      </c>
      <c r="H19" s="96">
        <v>17019.300000000003</v>
      </c>
      <c r="I19" s="96">
        <v>21088.599999999991</v>
      </c>
      <c r="J19" s="96">
        <v>18909.800000000003</v>
      </c>
      <c r="K19" s="96">
        <v>10305.999999999985</v>
      </c>
      <c r="L19" s="96">
        <v>9806.2000000000116</v>
      </c>
      <c r="M19" s="96">
        <v>17328.899999999994</v>
      </c>
      <c r="N19" s="96">
        <v>17331.700000000012</v>
      </c>
      <c r="O19" s="96">
        <v>19074.200000000012</v>
      </c>
      <c r="P19" s="96">
        <v>18869</v>
      </c>
      <c r="Q19" s="96">
        <v>19500.899999999994</v>
      </c>
      <c r="R19" s="96">
        <v>21784.299999999988</v>
      </c>
      <c r="S19" s="96">
        <v>21509.099999999977</v>
      </c>
      <c r="T19" s="96">
        <v>20466.200000000012</v>
      </c>
      <c r="U19" s="96">
        <v>0</v>
      </c>
      <c r="V19" s="96">
        <v>0</v>
      </c>
      <c r="X19" s="104"/>
    </row>
    <row r="20" spans="1:24" s="103" customFormat="1" ht="15" thickBot="1" x14ac:dyDescent="0.4">
      <c r="A20" s="98" t="s">
        <v>183</v>
      </c>
      <c r="B20" s="97"/>
      <c r="C20" s="97"/>
      <c r="D20" s="97"/>
      <c r="E20" s="97"/>
      <c r="F20" s="97"/>
      <c r="G20" s="135">
        <v>27</v>
      </c>
      <c r="H20" s="135">
        <v>26</v>
      </c>
      <c r="I20" s="135">
        <v>26</v>
      </c>
      <c r="J20" s="135">
        <v>27</v>
      </c>
      <c r="K20" s="135">
        <v>25</v>
      </c>
      <c r="L20" s="135">
        <v>17</v>
      </c>
      <c r="M20" s="135">
        <v>24</v>
      </c>
      <c r="N20" s="135">
        <v>24</v>
      </c>
      <c r="O20" s="135">
        <v>27</v>
      </c>
      <c r="P20" s="135">
        <v>26</v>
      </c>
      <c r="Q20" s="135">
        <v>26</v>
      </c>
      <c r="R20" s="135">
        <v>26</v>
      </c>
      <c r="S20" s="135">
        <v>27</v>
      </c>
      <c r="T20" s="135">
        <v>26</v>
      </c>
      <c r="U20" s="135">
        <v>0</v>
      </c>
      <c r="V20" s="135">
        <v>0</v>
      </c>
    </row>
    <row r="21" spans="1:24" s="103" customFormat="1" ht="15" thickBot="1" x14ac:dyDescent="0.4">
      <c r="A21" s="98" t="s">
        <v>184</v>
      </c>
      <c r="B21" s="97"/>
      <c r="C21" s="97"/>
      <c r="D21" s="97"/>
      <c r="E21" s="97"/>
      <c r="F21" s="97"/>
      <c r="G21" s="97">
        <f t="shared" ref="G21:U21" si="31">IFERROR(G19/G20,0)</f>
        <v>886.32962962962938</v>
      </c>
      <c r="H21" s="97">
        <f t="shared" si="31"/>
        <v>654.58846153846162</v>
      </c>
      <c r="I21" s="97">
        <f t="shared" si="31"/>
        <v>811.09999999999968</v>
      </c>
      <c r="J21" s="97">
        <f t="shared" si="31"/>
        <v>700.36296296296302</v>
      </c>
      <c r="K21" s="97">
        <f t="shared" si="31"/>
        <v>412.23999999999944</v>
      </c>
      <c r="L21" s="97">
        <f t="shared" si="31"/>
        <v>576.83529411764778</v>
      </c>
      <c r="M21" s="97">
        <f t="shared" si="31"/>
        <v>722.0374999999998</v>
      </c>
      <c r="N21" s="97">
        <f t="shared" si="31"/>
        <v>722.15416666666715</v>
      </c>
      <c r="O21" s="97">
        <f t="shared" si="31"/>
        <v>706.45185185185233</v>
      </c>
      <c r="P21" s="97">
        <f t="shared" si="31"/>
        <v>725.73076923076928</v>
      </c>
      <c r="Q21" s="97">
        <f t="shared" si="31"/>
        <v>750.03461538461511</v>
      </c>
      <c r="R21" s="97">
        <f t="shared" si="31"/>
        <v>837.85769230769188</v>
      </c>
      <c r="S21" s="97">
        <f t="shared" si="31"/>
        <v>796.63333333333242</v>
      </c>
      <c r="T21" s="97">
        <f t="shared" si="31"/>
        <v>787.16153846153895</v>
      </c>
      <c r="U21" s="97">
        <f t="shared" si="31"/>
        <v>0</v>
      </c>
      <c r="V21" s="97">
        <v>0</v>
      </c>
    </row>
    <row r="22" spans="1:24" s="103" customFormat="1" ht="15" thickBot="1" x14ac:dyDescent="0.4"/>
    <row r="23" spans="1:24" s="103" customFormat="1" ht="15" thickBot="1" x14ac:dyDescent="0.4">
      <c r="A23" s="89" t="s">
        <v>177</v>
      </c>
      <c r="B23" s="90" t="s">
        <v>191</v>
      </c>
      <c r="C23" s="90" t="s">
        <v>192</v>
      </c>
      <c r="D23" s="90" t="s">
        <v>193</v>
      </c>
      <c r="E23" s="90" t="s">
        <v>194</v>
      </c>
      <c r="F23" s="90" t="s">
        <v>195</v>
      </c>
      <c r="G23" s="90" t="s">
        <v>196</v>
      </c>
      <c r="H23" s="90" t="s">
        <v>197</v>
      </c>
      <c r="I23" s="90" t="s">
        <v>198</v>
      </c>
      <c r="J23" s="90" t="s">
        <v>199</v>
      </c>
      <c r="K23" s="90" t="s">
        <v>200</v>
      </c>
      <c r="L23" s="90" t="s">
        <v>201</v>
      </c>
      <c r="M23" s="90" t="s">
        <v>202</v>
      </c>
      <c r="N23" s="90" t="s">
        <v>203</v>
      </c>
      <c r="O23" s="90" t="s">
        <v>204</v>
      </c>
      <c r="P23" s="90" t="s">
        <v>205</v>
      </c>
      <c r="Q23" s="90" t="s">
        <v>206</v>
      </c>
      <c r="R23" s="90" t="s">
        <v>207</v>
      </c>
      <c r="S23" s="90" t="s">
        <v>208</v>
      </c>
      <c r="T23" s="90" t="s">
        <v>209</v>
      </c>
      <c r="U23" s="90" t="s">
        <v>210</v>
      </c>
      <c r="V23" s="90" t="s">
        <v>211</v>
      </c>
    </row>
    <row r="24" spans="1:24" s="103" customFormat="1" ht="15" thickBot="1" x14ac:dyDescent="0.4">
      <c r="A24" s="91" t="s">
        <v>178</v>
      </c>
      <c r="B24" s="92">
        <v>0</v>
      </c>
      <c r="C24" s="92">
        <v>23790.799999999999</v>
      </c>
      <c r="D24" s="92">
        <v>40459.599999999999</v>
      </c>
      <c r="E24" s="92">
        <v>43137.2</v>
      </c>
      <c r="F24" s="92">
        <v>53698.9</v>
      </c>
      <c r="G24" s="92">
        <v>51090</v>
      </c>
      <c r="H24" s="92">
        <v>50867.3</v>
      </c>
      <c r="I24" s="92">
        <v>51443.8</v>
      </c>
      <c r="J24" s="92">
        <v>23679.5</v>
      </c>
      <c r="K24" s="92">
        <v>29834.799999999999</v>
      </c>
      <c r="L24" s="92">
        <v>32625.4</v>
      </c>
      <c r="M24" s="92">
        <v>39296.400000000001</v>
      </c>
      <c r="N24" s="92">
        <v>36347.199999999997</v>
      </c>
      <c r="O24" s="92">
        <v>47353.1</v>
      </c>
      <c r="P24" s="92">
        <v>47765.8</v>
      </c>
      <c r="Q24" s="92">
        <v>28821.3</v>
      </c>
      <c r="R24" s="92">
        <v>50085.9</v>
      </c>
      <c r="S24" s="92">
        <v>46403</v>
      </c>
      <c r="T24" s="92">
        <v>32170.6</v>
      </c>
      <c r="U24" s="92">
        <v>0</v>
      </c>
      <c r="V24" s="92">
        <v>0</v>
      </c>
      <c r="X24" s="104"/>
    </row>
    <row r="25" spans="1:24" s="103" customFormat="1" ht="15" thickBot="1" x14ac:dyDescent="0.4">
      <c r="A25" s="98" t="s">
        <v>183</v>
      </c>
      <c r="B25" s="97">
        <v>0</v>
      </c>
      <c r="C25" s="97">
        <v>16</v>
      </c>
      <c r="D25" s="97">
        <v>26</v>
      </c>
      <c r="E25" s="97">
        <v>26</v>
      </c>
      <c r="F25" s="97">
        <v>26</v>
      </c>
      <c r="G25" s="97">
        <v>27</v>
      </c>
      <c r="H25" s="97">
        <v>26</v>
      </c>
      <c r="I25" s="97">
        <v>26</v>
      </c>
      <c r="J25" s="97">
        <v>14</v>
      </c>
      <c r="K25" s="97">
        <v>0</v>
      </c>
      <c r="L25" s="97">
        <v>0</v>
      </c>
      <c r="M25" s="97">
        <v>0</v>
      </c>
      <c r="N25" s="97">
        <v>0</v>
      </c>
      <c r="O25" s="97">
        <v>0</v>
      </c>
      <c r="P25" s="97">
        <v>0</v>
      </c>
      <c r="Q25" s="97">
        <v>0</v>
      </c>
      <c r="R25" s="97">
        <v>0</v>
      </c>
      <c r="S25" s="97">
        <v>0</v>
      </c>
      <c r="T25" s="97">
        <v>0</v>
      </c>
      <c r="U25" s="97">
        <v>0</v>
      </c>
      <c r="V25" s="97">
        <v>0</v>
      </c>
    </row>
    <row r="26" spans="1:24" s="103" customFormat="1" ht="15" thickBot="1" x14ac:dyDescent="0.4">
      <c r="A26" s="98" t="s">
        <v>184</v>
      </c>
      <c r="B26" s="97">
        <f>IFERROR(B24/B25,0)</f>
        <v>0</v>
      </c>
      <c r="C26" s="97">
        <f t="shared" ref="C26" si="32">IFERROR(C24/C25,0)</f>
        <v>1486.925</v>
      </c>
      <c r="D26" s="97">
        <f t="shared" ref="D26" si="33">IFERROR(D24/D25,0)</f>
        <v>1556.1384615384616</v>
      </c>
      <c r="E26" s="97">
        <f t="shared" ref="E26" si="34">IFERROR(E24/E25,0)</f>
        <v>1659.1230769230767</v>
      </c>
      <c r="F26" s="97">
        <f t="shared" ref="F26" si="35">IFERROR(F24/F25,0)</f>
        <v>2065.3423076923077</v>
      </c>
      <c r="G26" s="97">
        <f t="shared" ref="G26" si="36">IFERROR(G24/G25,0)</f>
        <v>1892.2222222222222</v>
      </c>
      <c r="H26" s="97">
        <f t="shared" ref="H26" si="37">IFERROR(H24/H25,0)</f>
        <v>1956.4346153846154</v>
      </c>
      <c r="I26" s="97">
        <f t="shared" ref="I26" si="38">IFERROR(I24/I25,0)</f>
        <v>1978.6076923076923</v>
      </c>
      <c r="J26" s="97">
        <f t="shared" ref="J26" si="39">IFERROR(J24/J25,0)</f>
        <v>1691.3928571428571</v>
      </c>
      <c r="K26" s="97">
        <f t="shared" ref="K26" si="40">IFERROR(K24/K25,0)</f>
        <v>0</v>
      </c>
      <c r="L26" s="97">
        <f t="shared" ref="L26" si="41">IFERROR(L24/L25,0)</f>
        <v>0</v>
      </c>
      <c r="M26" s="97">
        <f t="shared" ref="M26" si="42">IFERROR(M24/M25,0)</f>
        <v>0</v>
      </c>
      <c r="N26" s="97">
        <f t="shared" ref="N26" si="43">IFERROR(N24/N25,0)</f>
        <v>0</v>
      </c>
      <c r="O26" s="97">
        <f t="shared" ref="O26" si="44">IFERROR(O24/O25,0)</f>
        <v>0</v>
      </c>
      <c r="P26" s="97">
        <f t="shared" ref="P26" si="45">IFERROR(P24/P25,0)</f>
        <v>0</v>
      </c>
      <c r="Q26" s="97">
        <f t="shared" ref="Q26" si="46">IFERROR(Q24/Q25,0)</f>
        <v>0</v>
      </c>
      <c r="R26" s="97">
        <f t="shared" ref="R26" si="47">IFERROR(R24/R25,0)</f>
        <v>0</v>
      </c>
      <c r="S26" s="97">
        <f t="shared" ref="S26" si="48">IFERROR(S24/S25,0)</f>
        <v>0</v>
      </c>
      <c r="T26" s="97">
        <f t="shared" ref="T26" si="49">IFERROR(T24/T25,0)</f>
        <v>0</v>
      </c>
      <c r="U26" s="97">
        <f t="shared" ref="U26" si="50">IFERROR(U24/U25,0)</f>
        <v>0</v>
      </c>
      <c r="V26" s="97">
        <f t="shared" ref="V26" si="51">IFERROR(V24/V25,0)</f>
        <v>0</v>
      </c>
    </row>
    <row r="27" spans="1:24" s="103" customFormat="1" ht="15" thickBot="1" x14ac:dyDescent="0.4">
      <c r="A27" s="93" t="s">
        <v>179</v>
      </c>
      <c r="B27" s="94">
        <v>0</v>
      </c>
      <c r="C27" s="94">
        <v>4183</v>
      </c>
      <c r="D27" s="94">
        <v>12512</v>
      </c>
      <c r="E27" s="94">
        <v>10962</v>
      </c>
      <c r="F27" s="94">
        <v>17136</v>
      </c>
      <c r="G27" s="94">
        <v>28161</v>
      </c>
      <c r="H27" s="94" t="s">
        <v>180</v>
      </c>
      <c r="I27" s="94" t="s">
        <v>180</v>
      </c>
      <c r="J27" s="94" t="s">
        <v>180</v>
      </c>
      <c r="K27" s="94" t="s">
        <v>180</v>
      </c>
      <c r="L27" s="94" t="s">
        <v>180</v>
      </c>
      <c r="M27" s="94" t="s">
        <v>180</v>
      </c>
      <c r="N27" s="94" t="s">
        <v>180</v>
      </c>
      <c r="O27" s="94" t="s">
        <v>180</v>
      </c>
      <c r="P27" s="94" t="s">
        <v>180</v>
      </c>
      <c r="Q27" s="94" t="s">
        <v>180</v>
      </c>
      <c r="R27" s="94" t="s">
        <v>180</v>
      </c>
      <c r="S27" s="94" t="s">
        <v>180</v>
      </c>
      <c r="T27" s="94" t="s">
        <v>180</v>
      </c>
      <c r="U27" s="94" t="s">
        <v>180</v>
      </c>
      <c r="V27" s="94" t="s">
        <v>180</v>
      </c>
      <c r="X27" s="104"/>
    </row>
    <row r="28" spans="1:24" s="103" customFormat="1" ht="15" thickBot="1" x14ac:dyDescent="0.4">
      <c r="A28" s="98" t="s">
        <v>183</v>
      </c>
      <c r="B28" s="97">
        <v>0</v>
      </c>
      <c r="C28" s="97">
        <v>4</v>
      </c>
      <c r="D28" s="97">
        <v>5</v>
      </c>
      <c r="E28" s="97">
        <v>7</v>
      </c>
      <c r="F28" s="97">
        <v>12</v>
      </c>
      <c r="G28" s="97">
        <v>9</v>
      </c>
      <c r="H28" s="97"/>
      <c r="I28" s="97"/>
      <c r="J28" s="97"/>
      <c r="K28" s="97"/>
      <c r="L28" s="97"/>
      <c r="M28" s="97"/>
      <c r="N28" s="97"/>
      <c r="O28" s="97"/>
      <c r="P28" s="97"/>
      <c r="Q28" s="97"/>
      <c r="R28" s="97"/>
      <c r="S28" s="97"/>
      <c r="T28" s="97"/>
      <c r="U28" s="97"/>
      <c r="V28" s="97"/>
    </row>
    <row r="29" spans="1:24" s="103" customFormat="1" ht="15" thickBot="1" x14ac:dyDescent="0.4">
      <c r="A29" s="98" t="s">
        <v>184</v>
      </c>
      <c r="B29" s="97">
        <f>IFERROR(B27/B28,0)</f>
        <v>0</v>
      </c>
      <c r="C29" s="97">
        <f t="shared" ref="C29" si="52">IFERROR(C27/C28,0)</f>
        <v>1045.75</v>
      </c>
      <c r="D29" s="97">
        <f t="shared" ref="D29" si="53">IFERROR(D27/D28,0)</f>
        <v>2502.4</v>
      </c>
      <c r="E29" s="97">
        <f t="shared" ref="E29" si="54">IFERROR(E27/E28,0)</f>
        <v>1566</v>
      </c>
      <c r="F29" s="97">
        <f t="shared" ref="F29:G29" si="55">IFERROR(F27/F28,0)</f>
        <v>1428</v>
      </c>
      <c r="G29" s="97">
        <f t="shared" si="55"/>
        <v>3129</v>
      </c>
      <c r="H29" s="97"/>
      <c r="I29" s="97"/>
      <c r="J29" s="97"/>
      <c r="K29" s="97"/>
      <c r="L29" s="97"/>
      <c r="M29" s="97"/>
      <c r="N29" s="97"/>
      <c r="O29" s="97"/>
      <c r="P29" s="97"/>
      <c r="Q29" s="97"/>
      <c r="R29" s="97"/>
      <c r="S29" s="97"/>
      <c r="T29" s="97"/>
      <c r="U29" s="97"/>
      <c r="V29" s="97"/>
    </row>
    <row r="30" spans="1:24" s="103" customFormat="1" ht="15" thickBot="1" x14ac:dyDescent="0.4">
      <c r="A30" s="95" t="s">
        <v>181</v>
      </c>
      <c r="B30" s="96"/>
      <c r="C30" s="96"/>
      <c r="D30" s="96"/>
      <c r="E30" s="96"/>
      <c r="F30" s="96"/>
      <c r="G30" s="96">
        <v>40443.199999999997</v>
      </c>
      <c r="H30" s="96">
        <v>55913.8</v>
      </c>
      <c r="I30" s="96">
        <v>56177.200000000012</v>
      </c>
      <c r="J30" s="96">
        <v>98513.799999999988</v>
      </c>
      <c r="K30" s="96">
        <v>37410.200000000012</v>
      </c>
      <c r="L30" s="96">
        <v>15534.200000000012</v>
      </c>
      <c r="M30" s="96">
        <v>38995.200000000012</v>
      </c>
      <c r="N30" s="96">
        <v>43842.799999999988</v>
      </c>
      <c r="O30" s="96">
        <v>39746.099999999977</v>
      </c>
      <c r="P30" s="96">
        <v>45170.400000000023</v>
      </c>
      <c r="Q30" s="96">
        <v>53192.699999999953</v>
      </c>
      <c r="R30" s="96">
        <v>29823.5</v>
      </c>
      <c r="S30" s="96">
        <v>9024</v>
      </c>
      <c r="T30" s="96">
        <v>57127.400000000023</v>
      </c>
      <c r="U30" s="96">
        <v>63163.099999999977</v>
      </c>
      <c r="V30" s="96">
        <v>0</v>
      </c>
      <c r="X30" s="104"/>
    </row>
    <row r="31" spans="1:24" s="103" customFormat="1" ht="15" thickBot="1" x14ac:dyDescent="0.4">
      <c r="A31" s="98" t="s">
        <v>183</v>
      </c>
      <c r="B31" s="97"/>
      <c r="C31" s="97"/>
      <c r="D31" s="97"/>
      <c r="E31" s="97"/>
      <c r="F31" s="97"/>
      <c r="G31" s="135">
        <v>27</v>
      </c>
      <c r="H31" s="135">
        <v>26</v>
      </c>
      <c r="I31" s="135">
        <v>26</v>
      </c>
      <c r="J31" s="135">
        <v>27</v>
      </c>
      <c r="K31" s="135">
        <v>25</v>
      </c>
      <c r="L31" s="135">
        <v>17</v>
      </c>
      <c r="M31" s="135">
        <v>24</v>
      </c>
      <c r="N31" s="135">
        <v>24</v>
      </c>
      <c r="O31" s="135">
        <v>27</v>
      </c>
      <c r="P31" s="135">
        <v>26</v>
      </c>
      <c r="Q31" s="135">
        <v>26</v>
      </c>
      <c r="R31" s="135">
        <v>26</v>
      </c>
      <c r="S31" s="135">
        <v>27</v>
      </c>
      <c r="T31" s="135">
        <v>26</v>
      </c>
      <c r="U31" s="135">
        <v>26</v>
      </c>
      <c r="V31" s="135">
        <v>0</v>
      </c>
    </row>
    <row r="32" spans="1:24" s="103" customFormat="1" ht="15" thickBot="1" x14ac:dyDescent="0.4">
      <c r="A32" s="98" t="s">
        <v>215</v>
      </c>
      <c r="B32" s="97"/>
      <c r="C32" s="97"/>
      <c r="D32" s="97"/>
      <c r="E32" s="97"/>
      <c r="F32" s="97"/>
      <c r="G32" s="97">
        <f t="shared" ref="G32:U32" si="56">IFERROR(G30/G31,0)</f>
        <v>1497.8962962962962</v>
      </c>
      <c r="H32" s="97">
        <f t="shared" si="56"/>
        <v>2150.5307692307692</v>
      </c>
      <c r="I32" s="97">
        <f t="shared" si="56"/>
        <v>2160.6615384615388</v>
      </c>
      <c r="J32" s="97">
        <f t="shared" si="56"/>
        <v>3648.6592592592588</v>
      </c>
      <c r="K32" s="97">
        <f t="shared" si="56"/>
        <v>1496.4080000000004</v>
      </c>
      <c r="L32" s="97">
        <f t="shared" si="56"/>
        <v>913.77647058823595</v>
      </c>
      <c r="M32" s="97">
        <f t="shared" si="56"/>
        <v>1624.8000000000004</v>
      </c>
      <c r="N32" s="97">
        <f t="shared" si="56"/>
        <v>1826.7833333333328</v>
      </c>
      <c r="O32" s="97">
        <f t="shared" si="56"/>
        <v>1472.0777777777769</v>
      </c>
      <c r="P32" s="97">
        <f t="shared" si="56"/>
        <v>1737.3230769230779</v>
      </c>
      <c r="Q32" s="97">
        <f t="shared" si="56"/>
        <v>2045.8730769230751</v>
      </c>
      <c r="R32" s="97">
        <f t="shared" si="56"/>
        <v>1147.0576923076924</v>
      </c>
      <c r="S32" s="97">
        <f t="shared" si="56"/>
        <v>334.22222222222223</v>
      </c>
      <c r="T32" s="97">
        <f t="shared" si="56"/>
        <v>2197.2076923076934</v>
      </c>
      <c r="U32" s="97">
        <f t="shared" si="56"/>
        <v>2429.349999999999</v>
      </c>
      <c r="V32" s="97">
        <v>0</v>
      </c>
    </row>
    <row r="33" spans="1:24" s="103" customFormat="1" ht="15" thickBot="1" x14ac:dyDescent="0.4"/>
    <row r="34" spans="1:24" s="103" customFormat="1" ht="15" thickBot="1" x14ac:dyDescent="0.4">
      <c r="A34" s="89" t="s">
        <v>16</v>
      </c>
      <c r="B34" s="90" t="s">
        <v>191</v>
      </c>
      <c r="C34" s="90" t="s">
        <v>192</v>
      </c>
      <c r="D34" s="90" t="s">
        <v>193</v>
      </c>
      <c r="E34" s="90" t="s">
        <v>194</v>
      </c>
      <c r="F34" s="90" t="s">
        <v>195</v>
      </c>
      <c r="G34" s="90" t="s">
        <v>196</v>
      </c>
      <c r="H34" s="90" t="s">
        <v>197</v>
      </c>
      <c r="I34" s="90" t="s">
        <v>198</v>
      </c>
      <c r="J34" s="90" t="s">
        <v>199</v>
      </c>
      <c r="K34" s="90" t="s">
        <v>200</v>
      </c>
      <c r="L34" s="90" t="s">
        <v>201</v>
      </c>
      <c r="M34" s="90" t="s">
        <v>202</v>
      </c>
      <c r="N34" s="90" t="s">
        <v>203</v>
      </c>
      <c r="O34" s="90" t="s">
        <v>204</v>
      </c>
      <c r="P34" s="90" t="s">
        <v>205</v>
      </c>
      <c r="Q34" s="90" t="s">
        <v>206</v>
      </c>
      <c r="R34" s="90" t="s">
        <v>207</v>
      </c>
      <c r="S34" s="90" t="s">
        <v>208</v>
      </c>
      <c r="T34" s="90" t="s">
        <v>209</v>
      </c>
      <c r="U34" s="90" t="s">
        <v>210</v>
      </c>
      <c r="V34" s="90" t="s">
        <v>211</v>
      </c>
    </row>
    <row r="35" spans="1:24" s="103" customFormat="1" ht="15" thickBot="1" x14ac:dyDescent="0.4">
      <c r="A35" s="91" t="s">
        <v>173</v>
      </c>
      <c r="B35" s="92">
        <v>0</v>
      </c>
      <c r="C35" s="92">
        <v>37.6</v>
      </c>
      <c r="D35" s="92">
        <v>182.3</v>
      </c>
      <c r="E35" s="92">
        <v>245.6</v>
      </c>
      <c r="F35" s="92">
        <v>244.6</v>
      </c>
      <c r="G35" s="92">
        <v>234.2</v>
      </c>
      <c r="H35" s="92">
        <v>208.9</v>
      </c>
      <c r="I35" s="92">
        <v>242.1</v>
      </c>
      <c r="J35" s="92">
        <v>94.8</v>
      </c>
      <c r="K35" s="92">
        <v>159.4</v>
      </c>
      <c r="L35" s="92">
        <v>144.19999999999999</v>
      </c>
      <c r="M35" s="92">
        <v>164.2</v>
      </c>
      <c r="N35" s="92">
        <v>141.80000000000001</v>
      </c>
      <c r="O35" s="92">
        <v>208.7</v>
      </c>
      <c r="P35" s="92">
        <v>206.7</v>
      </c>
      <c r="Q35" s="92">
        <v>189.5</v>
      </c>
      <c r="R35" s="92">
        <v>207.3</v>
      </c>
      <c r="S35" s="92">
        <v>214.8</v>
      </c>
      <c r="T35" s="92">
        <v>143.6</v>
      </c>
      <c r="U35" s="92">
        <v>24.7</v>
      </c>
      <c r="V35" s="92">
        <v>0</v>
      </c>
      <c r="X35" s="104"/>
    </row>
    <row r="36" spans="1:24" s="103" customFormat="1" ht="15" thickBot="1" x14ac:dyDescent="0.4">
      <c r="A36" s="98" t="s">
        <v>183</v>
      </c>
      <c r="B36" s="97">
        <v>0</v>
      </c>
      <c r="C36" s="97">
        <v>0</v>
      </c>
      <c r="D36" s="97">
        <v>19</v>
      </c>
      <c r="E36" s="97">
        <v>26</v>
      </c>
      <c r="F36" s="97">
        <v>26</v>
      </c>
      <c r="G36" s="97">
        <v>27</v>
      </c>
      <c r="H36" s="97">
        <v>26</v>
      </c>
      <c r="I36" s="97">
        <v>26</v>
      </c>
      <c r="J36" s="97">
        <v>27</v>
      </c>
      <c r="K36" s="97">
        <v>0</v>
      </c>
      <c r="L36" s="97">
        <v>0</v>
      </c>
      <c r="M36" s="97">
        <v>0</v>
      </c>
      <c r="N36" s="97">
        <v>0</v>
      </c>
      <c r="O36" s="97">
        <v>0</v>
      </c>
      <c r="P36" s="97">
        <v>0</v>
      </c>
      <c r="Q36" s="97">
        <v>0</v>
      </c>
      <c r="R36" s="97">
        <v>0</v>
      </c>
      <c r="S36" s="97">
        <v>0</v>
      </c>
      <c r="T36" s="97">
        <v>0</v>
      </c>
      <c r="U36" s="97">
        <v>0</v>
      </c>
      <c r="V36" s="97">
        <v>0</v>
      </c>
    </row>
    <row r="37" spans="1:24" s="103" customFormat="1" ht="15" thickBot="1" x14ac:dyDescent="0.4">
      <c r="A37" s="98" t="s">
        <v>184</v>
      </c>
      <c r="B37" s="97">
        <f>IFERROR(B35/B36,0)</f>
        <v>0</v>
      </c>
      <c r="C37" s="97">
        <f t="shared" ref="C37" si="57">IFERROR(C35/C36,0)</f>
        <v>0</v>
      </c>
      <c r="D37" s="97">
        <f t="shared" ref="D37" si="58">IFERROR(D35/D36,0)</f>
        <v>9.594736842105263</v>
      </c>
      <c r="E37" s="97">
        <f t="shared" ref="E37" si="59">IFERROR(E35/E36,0)</f>
        <v>9.4461538461538463</v>
      </c>
      <c r="F37" s="97">
        <f t="shared" ref="F37" si="60">IFERROR(F35/F36,0)</f>
        <v>9.407692307692308</v>
      </c>
      <c r="G37" s="97">
        <f t="shared" ref="G37" si="61">IFERROR(G35/G36,0)</f>
        <v>8.674074074074074</v>
      </c>
      <c r="H37" s="97">
        <f t="shared" ref="H37" si="62">IFERROR(H35/H36,0)</f>
        <v>8.0346153846153854</v>
      </c>
      <c r="I37" s="97">
        <f t="shared" ref="I37" si="63">IFERROR(I35/I36,0)</f>
        <v>9.3115384615384613</v>
      </c>
      <c r="J37" s="97">
        <f t="shared" ref="J37" si="64">IFERROR(J35/J36,0)</f>
        <v>3.5111111111111111</v>
      </c>
      <c r="K37" s="97">
        <f t="shared" ref="K37" si="65">IFERROR(K35/K36,0)</f>
        <v>0</v>
      </c>
      <c r="L37" s="97">
        <f t="shared" ref="L37" si="66">IFERROR(L35/L36,0)</f>
        <v>0</v>
      </c>
      <c r="M37" s="97">
        <f t="shared" ref="M37" si="67">IFERROR(M35/M36,0)</f>
        <v>0</v>
      </c>
      <c r="N37" s="97">
        <f t="shared" ref="N37" si="68">IFERROR(N35/N36,0)</f>
        <v>0</v>
      </c>
      <c r="O37" s="97">
        <f t="shared" ref="O37" si="69">IFERROR(O35/O36,0)</f>
        <v>0</v>
      </c>
      <c r="P37" s="97">
        <f t="shared" ref="P37" si="70">IFERROR(P35/P36,0)</f>
        <v>0</v>
      </c>
      <c r="Q37" s="97">
        <f t="shared" ref="Q37" si="71">IFERROR(Q35/Q36,0)</f>
        <v>0</v>
      </c>
      <c r="R37" s="97">
        <f t="shared" ref="R37" si="72">IFERROR(R35/R36,0)</f>
        <v>0</v>
      </c>
      <c r="S37" s="97">
        <f t="shared" ref="S37" si="73">IFERROR(S35/S36,0)</f>
        <v>0</v>
      </c>
      <c r="T37" s="97">
        <f t="shared" ref="T37" si="74">IFERROR(T35/T36,0)</f>
        <v>0</v>
      </c>
      <c r="U37" s="97">
        <f t="shared" ref="U37" si="75">IFERROR(U35/U36,0)</f>
        <v>0</v>
      </c>
      <c r="V37" s="97">
        <f t="shared" ref="V37" si="76">IFERROR(V35/V36,0)</f>
        <v>0</v>
      </c>
    </row>
    <row r="38" spans="1:24" s="103" customFormat="1" ht="15" thickBot="1" x14ac:dyDescent="0.4">
      <c r="A38" s="93" t="s">
        <v>174</v>
      </c>
      <c r="B38" s="94">
        <v>0</v>
      </c>
      <c r="C38" s="94">
        <v>0</v>
      </c>
      <c r="D38" s="94">
        <v>4</v>
      </c>
      <c r="E38" s="94">
        <v>69</v>
      </c>
      <c r="F38" s="94">
        <v>171</v>
      </c>
      <c r="G38" s="94">
        <v>105</v>
      </c>
      <c r="H38" s="94" t="s">
        <v>180</v>
      </c>
      <c r="I38" s="94" t="s">
        <v>180</v>
      </c>
      <c r="J38" s="94" t="s">
        <v>180</v>
      </c>
      <c r="K38" s="94" t="s">
        <v>180</v>
      </c>
      <c r="L38" s="94" t="s">
        <v>180</v>
      </c>
      <c r="M38" s="94" t="s">
        <v>180</v>
      </c>
      <c r="N38" s="94" t="s">
        <v>180</v>
      </c>
      <c r="O38" s="94" t="s">
        <v>180</v>
      </c>
      <c r="P38" s="94" t="s">
        <v>180</v>
      </c>
      <c r="Q38" s="94" t="s">
        <v>180</v>
      </c>
      <c r="R38" s="94" t="s">
        <v>180</v>
      </c>
      <c r="S38" s="94" t="s">
        <v>180</v>
      </c>
      <c r="T38" s="94" t="s">
        <v>180</v>
      </c>
      <c r="U38" s="94" t="s">
        <v>180</v>
      </c>
      <c r="V38" s="94" t="s">
        <v>180</v>
      </c>
      <c r="X38" s="104"/>
    </row>
    <row r="39" spans="1:24" s="103" customFormat="1" ht="15" thickBot="1" x14ac:dyDescent="0.4">
      <c r="A39" s="98" t="s">
        <v>183</v>
      </c>
      <c r="B39" s="97">
        <v>0</v>
      </c>
      <c r="C39" s="97">
        <v>0</v>
      </c>
      <c r="D39" s="97">
        <v>1</v>
      </c>
      <c r="E39" s="97">
        <v>12</v>
      </c>
      <c r="F39" s="97">
        <v>19</v>
      </c>
      <c r="G39" s="97">
        <v>10</v>
      </c>
      <c r="H39" s="97"/>
      <c r="I39" s="97"/>
      <c r="J39" s="97"/>
      <c r="K39" s="97"/>
      <c r="L39" s="97"/>
      <c r="M39" s="97"/>
      <c r="N39" s="97"/>
      <c r="O39" s="97"/>
      <c r="P39" s="97"/>
      <c r="Q39" s="97"/>
      <c r="R39" s="97"/>
      <c r="S39" s="97"/>
      <c r="T39" s="97"/>
      <c r="U39" s="97"/>
      <c r="V39" s="97"/>
    </row>
    <row r="40" spans="1:24" s="103" customFormat="1" ht="15" thickBot="1" x14ac:dyDescent="0.4">
      <c r="A40" s="98" t="s">
        <v>184</v>
      </c>
      <c r="B40" s="97">
        <f>IFERROR(B38/B39,0)</f>
        <v>0</v>
      </c>
      <c r="C40" s="97">
        <f t="shared" ref="C40" si="77">IFERROR(C38/C39,0)</f>
        <v>0</v>
      </c>
      <c r="D40" s="97">
        <f t="shared" ref="D40" si="78">IFERROR(D38/D39,0)</f>
        <v>4</v>
      </c>
      <c r="E40" s="97">
        <f t="shared" ref="E40" si="79">IFERROR(E38/E39,0)</f>
        <v>5.75</v>
      </c>
      <c r="F40" s="97">
        <f t="shared" ref="F40:G40" si="80">IFERROR(F38/F39,0)</f>
        <v>9</v>
      </c>
      <c r="G40" s="97">
        <f t="shared" si="80"/>
        <v>10.5</v>
      </c>
      <c r="H40" s="97"/>
      <c r="I40" s="97"/>
      <c r="J40" s="97"/>
      <c r="K40" s="97"/>
      <c r="L40" s="97"/>
      <c r="M40" s="97"/>
      <c r="N40" s="97"/>
      <c r="O40" s="97"/>
      <c r="P40" s="97"/>
      <c r="Q40" s="97"/>
      <c r="R40" s="97"/>
      <c r="S40" s="97"/>
      <c r="T40" s="97"/>
      <c r="U40" s="97"/>
      <c r="V40" s="97"/>
    </row>
    <row r="41" spans="1:24" s="103" customFormat="1" ht="15" thickBot="1" x14ac:dyDescent="0.4">
      <c r="A41" s="95" t="s">
        <v>175</v>
      </c>
      <c r="B41" s="96"/>
      <c r="C41" s="96"/>
      <c r="D41" s="96"/>
      <c r="E41" s="96"/>
      <c r="F41" s="96"/>
      <c r="G41" s="96">
        <v>198.8</v>
      </c>
      <c r="H41" s="96">
        <v>253.3</v>
      </c>
      <c r="I41" s="96">
        <v>234.89999999999998</v>
      </c>
      <c r="J41" s="96">
        <v>334.29999999999995</v>
      </c>
      <c r="K41" s="96">
        <v>171.70000000000005</v>
      </c>
      <c r="L41" s="96">
        <v>137.40000000000009</v>
      </c>
      <c r="M41" s="96">
        <v>156.59999999999991</v>
      </c>
      <c r="N41" s="96">
        <v>147.90000000000009</v>
      </c>
      <c r="O41" s="96">
        <v>220.80000000000018</v>
      </c>
      <c r="P41" s="96">
        <v>238.59999999999991</v>
      </c>
      <c r="Q41" s="96">
        <v>222.59999999999991</v>
      </c>
      <c r="R41" s="96">
        <v>204.90000000000009</v>
      </c>
      <c r="S41" s="96">
        <v>203</v>
      </c>
      <c r="T41" s="96">
        <v>248.30000000000018</v>
      </c>
      <c r="U41" s="96">
        <v>77.800000000000182</v>
      </c>
      <c r="V41" s="96">
        <v>0</v>
      </c>
      <c r="X41" s="104"/>
    </row>
    <row r="42" spans="1:24" s="103" customFormat="1" ht="15" thickBot="1" x14ac:dyDescent="0.4">
      <c r="A42" s="98" t="s">
        <v>183</v>
      </c>
      <c r="B42" s="97"/>
      <c r="C42" s="97"/>
      <c r="D42" s="97"/>
      <c r="E42" s="97"/>
      <c r="F42" s="97"/>
      <c r="G42" s="135">
        <v>27</v>
      </c>
      <c r="H42" s="135">
        <v>26</v>
      </c>
      <c r="I42" s="135">
        <v>26</v>
      </c>
      <c r="J42" s="135">
        <v>27</v>
      </c>
      <c r="K42" s="135">
        <v>25</v>
      </c>
      <c r="L42" s="135">
        <v>17</v>
      </c>
      <c r="M42" s="135">
        <v>24</v>
      </c>
      <c r="N42" s="135">
        <v>24</v>
      </c>
      <c r="O42" s="135">
        <v>27</v>
      </c>
      <c r="P42" s="135">
        <v>26</v>
      </c>
      <c r="Q42" s="135">
        <v>26</v>
      </c>
      <c r="R42" s="135">
        <v>26</v>
      </c>
      <c r="S42" s="135">
        <v>27</v>
      </c>
      <c r="T42" s="135">
        <v>26</v>
      </c>
      <c r="U42" s="135">
        <v>26</v>
      </c>
      <c r="V42" s="135">
        <v>0</v>
      </c>
    </row>
    <row r="43" spans="1:24" s="103" customFormat="1" ht="15" thickBot="1" x14ac:dyDescent="0.4">
      <c r="A43" s="98" t="s">
        <v>184</v>
      </c>
      <c r="B43" s="97"/>
      <c r="C43" s="97"/>
      <c r="D43" s="97"/>
      <c r="E43" s="97"/>
      <c r="F43" s="97"/>
      <c r="G43" s="97">
        <f t="shared" ref="G43:U43" si="81">IFERROR(G41/G42,0)</f>
        <v>7.3629629629629632</v>
      </c>
      <c r="H43" s="97">
        <f t="shared" si="81"/>
        <v>9.7423076923076923</v>
      </c>
      <c r="I43" s="97">
        <f t="shared" si="81"/>
        <v>9.0346153846153836</v>
      </c>
      <c r="J43" s="97">
        <f t="shared" si="81"/>
        <v>12.38148148148148</v>
      </c>
      <c r="K43" s="97">
        <f t="shared" si="81"/>
        <v>6.8680000000000021</v>
      </c>
      <c r="L43" s="97">
        <f t="shared" si="81"/>
        <v>8.0823529411764756</v>
      </c>
      <c r="M43" s="97">
        <f t="shared" si="81"/>
        <v>6.5249999999999959</v>
      </c>
      <c r="N43" s="97">
        <f t="shared" si="81"/>
        <v>6.1625000000000041</v>
      </c>
      <c r="O43" s="97">
        <f t="shared" si="81"/>
        <v>8.1777777777777843</v>
      </c>
      <c r="P43" s="97">
        <f t="shared" si="81"/>
        <v>9.1769230769230727</v>
      </c>
      <c r="Q43" s="97">
        <f t="shared" si="81"/>
        <v>8.5615384615384578</v>
      </c>
      <c r="R43" s="97">
        <f t="shared" si="81"/>
        <v>7.8807692307692339</v>
      </c>
      <c r="S43" s="97">
        <f t="shared" si="81"/>
        <v>7.5185185185185182</v>
      </c>
      <c r="T43" s="97">
        <f t="shared" si="81"/>
        <v>9.5500000000000078</v>
      </c>
      <c r="U43" s="97">
        <f t="shared" si="81"/>
        <v>2.9923076923076994</v>
      </c>
      <c r="V43" s="97">
        <v>0</v>
      </c>
    </row>
    <row r="44" spans="1:24" s="103" customFormat="1" ht="15" thickBot="1" x14ac:dyDescent="0.4"/>
    <row r="45" spans="1:24" s="103" customFormat="1" ht="15" thickBot="1" x14ac:dyDescent="0.4">
      <c r="A45" s="89" t="s">
        <v>182</v>
      </c>
      <c r="B45" s="90" t="s">
        <v>191</v>
      </c>
      <c r="C45" s="90" t="s">
        <v>192</v>
      </c>
      <c r="D45" s="90" t="s">
        <v>193</v>
      </c>
      <c r="E45" s="90" t="s">
        <v>194</v>
      </c>
      <c r="F45" s="90" t="s">
        <v>195</v>
      </c>
      <c r="G45" s="90" t="s">
        <v>196</v>
      </c>
      <c r="H45" s="90" t="s">
        <v>197</v>
      </c>
      <c r="I45" s="90" t="s">
        <v>198</v>
      </c>
      <c r="J45" s="90" t="s">
        <v>199</v>
      </c>
      <c r="K45" s="90" t="s">
        <v>200</v>
      </c>
      <c r="L45" s="90" t="s">
        <v>201</v>
      </c>
      <c r="M45" s="90" t="s">
        <v>202</v>
      </c>
      <c r="N45" s="90" t="s">
        <v>203</v>
      </c>
      <c r="O45" s="90" t="s">
        <v>204</v>
      </c>
      <c r="P45" s="90" t="s">
        <v>205</v>
      </c>
      <c r="Q45" s="90" t="s">
        <v>206</v>
      </c>
      <c r="R45" s="90" t="s">
        <v>207</v>
      </c>
      <c r="S45" s="90" t="s">
        <v>208</v>
      </c>
      <c r="T45" s="90" t="s">
        <v>209</v>
      </c>
      <c r="U45" s="90" t="s">
        <v>210</v>
      </c>
      <c r="V45" s="90" t="s">
        <v>211</v>
      </c>
    </row>
    <row r="46" spans="1:24" s="103" customFormat="1" ht="15" thickBot="1" x14ac:dyDescent="0.4">
      <c r="A46" s="91" t="s">
        <v>170</v>
      </c>
      <c r="B46" s="92">
        <v>0</v>
      </c>
      <c r="C46" s="92">
        <v>3214.2</v>
      </c>
      <c r="D46" s="92">
        <v>13023</v>
      </c>
      <c r="E46" s="92">
        <v>16802.400000000001</v>
      </c>
      <c r="F46" s="92">
        <v>21570.9</v>
      </c>
      <c r="G46" s="92">
        <v>25302.6</v>
      </c>
      <c r="H46" s="92">
        <v>23404.3</v>
      </c>
      <c r="I46" s="92">
        <v>25758.799999999999</v>
      </c>
      <c r="J46" s="92">
        <v>5050.5</v>
      </c>
      <c r="K46" s="92">
        <v>14292</v>
      </c>
      <c r="L46" s="92">
        <v>13072.2</v>
      </c>
      <c r="M46" s="92">
        <v>17125.599999999999</v>
      </c>
      <c r="N46" s="92">
        <v>16719.900000000001</v>
      </c>
      <c r="O46" s="92">
        <v>19231.099999999999</v>
      </c>
      <c r="P46" s="92">
        <v>18713.3</v>
      </c>
      <c r="Q46" s="92">
        <v>16253.7</v>
      </c>
      <c r="R46" s="92">
        <v>20606.2</v>
      </c>
      <c r="S46" s="92">
        <v>19408.2</v>
      </c>
      <c r="T46" s="92">
        <v>16708.7</v>
      </c>
      <c r="U46" s="92">
        <v>0</v>
      </c>
      <c r="V46" s="92">
        <v>0</v>
      </c>
      <c r="X46" s="104"/>
    </row>
    <row r="47" spans="1:24" s="103" customFormat="1" ht="15" thickBot="1" x14ac:dyDescent="0.4">
      <c r="A47" s="98" t="s">
        <v>183</v>
      </c>
      <c r="B47" s="97">
        <v>0</v>
      </c>
      <c r="C47" s="97">
        <v>0</v>
      </c>
      <c r="D47" s="97">
        <v>19</v>
      </c>
      <c r="E47" s="97">
        <v>26</v>
      </c>
      <c r="F47" s="97">
        <v>26</v>
      </c>
      <c r="G47" s="97">
        <v>27</v>
      </c>
      <c r="H47" s="97">
        <v>26</v>
      </c>
      <c r="I47" s="97">
        <v>26</v>
      </c>
      <c r="J47" s="97">
        <v>18</v>
      </c>
      <c r="K47" s="97">
        <v>0</v>
      </c>
      <c r="L47" s="97">
        <v>0</v>
      </c>
      <c r="M47" s="97">
        <v>0</v>
      </c>
      <c r="N47" s="97">
        <v>0</v>
      </c>
      <c r="O47" s="97">
        <v>0</v>
      </c>
      <c r="P47" s="97">
        <v>0</v>
      </c>
      <c r="Q47" s="97">
        <v>0</v>
      </c>
      <c r="R47" s="97">
        <v>0</v>
      </c>
      <c r="S47" s="97">
        <v>0</v>
      </c>
      <c r="T47" s="97">
        <v>0</v>
      </c>
      <c r="U47" s="97">
        <v>0</v>
      </c>
      <c r="V47" s="97">
        <v>0</v>
      </c>
    </row>
    <row r="48" spans="1:24" s="103" customFormat="1" ht="15" thickBot="1" x14ac:dyDescent="0.4">
      <c r="A48" s="98" t="s">
        <v>184</v>
      </c>
      <c r="B48" s="97">
        <f>IFERROR(B46/B47,0)</f>
        <v>0</v>
      </c>
      <c r="C48" s="97">
        <f t="shared" ref="C48" si="82">IFERROR(C46/C47,0)</f>
        <v>0</v>
      </c>
      <c r="D48" s="97">
        <f t="shared" ref="D48" si="83">IFERROR(D46/D47,0)</f>
        <v>685.42105263157896</v>
      </c>
      <c r="E48" s="97">
        <f t="shared" ref="E48" si="84">IFERROR(E46/E47,0)</f>
        <v>646.2461538461539</v>
      </c>
      <c r="F48" s="97">
        <f t="shared" ref="F48" si="85">IFERROR(F46/F47,0)</f>
        <v>829.65000000000009</v>
      </c>
      <c r="G48" s="97">
        <f t="shared" ref="G48" si="86">IFERROR(G46/G47,0)</f>
        <v>937.13333333333333</v>
      </c>
      <c r="H48" s="97">
        <f t="shared" ref="H48" si="87">IFERROR(H46/H47,0)</f>
        <v>900.1653846153846</v>
      </c>
      <c r="I48" s="97">
        <f t="shared" ref="I48" si="88">IFERROR(I46/I47,0)</f>
        <v>990.72307692307686</v>
      </c>
      <c r="J48" s="97">
        <f t="shared" ref="J48" si="89">IFERROR(J46/J47,0)</f>
        <v>280.58333333333331</v>
      </c>
      <c r="K48" s="97">
        <f t="shared" ref="K48" si="90">IFERROR(K46/K47,0)</f>
        <v>0</v>
      </c>
      <c r="L48" s="97">
        <f t="shared" ref="L48" si="91">IFERROR(L46/L47,0)</f>
        <v>0</v>
      </c>
      <c r="M48" s="97">
        <f t="shared" ref="M48" si="92">IFERROR(M46/M47,0)</f>
        <v>0</v>
      </c>
      <c r="N48" s="97">
        <f t="shared" ref="N48" si="93">IFERROR(N46/N47,0)</f>
        <v>0</v>
      </c>
      <c r="O48" s="97">
        <f t="shared" ref="O48" si="94">IFERROR(O46/O47,0)</f>
        <v>0</v>
      </c>
      <c r="P48" s="97">
        <f t="shared" ref="P48" si="95">IFERROR(P46/P47,0)</f>
        <v>0</v>
      </c>
      <c r="Q48" s="97">
        <f t="shared" ref="Q48" si="96">IFERROR(Q46/Q47,0)</f>
        <v>0</v>
      </c>
      <c r="R48" s="97">
        <f t="shared" ref="R48" si="97">IFERROR(R46/R47,0)</f>
        <v>0</v>
      </c>
      <c r="S48" s="97">
        <f t="shared" ref="S48" si="98">IFERROR(S46/S47,0)</f>
        <v>0</v>
      </c>
      <c r="T48" s="97">
        <f t="shared" ref="T48" si="99">IFERROR(T46/T47,0)</f>
        <v>0</v>
      </c>
      <c r="U48" s="97">
        <f t="shared" ref="U48" si="100">IFERROR(U46/U47,0)</f>
        <v>0</v>
      </c>
      <c r="V48" s="97">
        <f t="shared" ref="V48" si="101">IFERROR(V46/V47,0)</f>
        <v>0</v>
      </c>
    </row>
    <row r="49" spans="1:24" s="103" customFormat="1" ht="15" thickBot="1" x14ac:dyDescent="0.4">
      <c r="A49" s="93" t="s">
        <v>171</v>
      </c>
      <c r="B49" s="94">
        <v>0</v>
      </c>
      <c r="C49" s="94">
        <v>0</v>
      </c>
      <c r="D49" s="94">
        <v>2640</v>
      </c>
      <c r="E49" s="94">
        <v>5934</v>
      </c>
      <c r="F49" s="94">
        <v>7364</v>
      </c>
      <c r="G49" s="94">
        <v>13476</v>
      </c>
      <c r="H49" s="94" t="s">
        <v>180</v>
      </c>
      <c r="I49" s="94" t="s">
        <v>180</v>
      </c>
      <c r="J49" s="94" t="s">
        <v>180</v>
      </c>
      <c r="K49" s="94" t="s">
        <v>180</v>
      </c>
      <c r="L49" s="94" t="s">
        <v>180</v>
      </c>
      <c r="M49" s="94" t="s">
        <v>180</v>
      </c>
      <c r="N49" s="94" t="s">
        <v>180</v>
      </c>
      <c r="O49" s="94" t="s">
        <v>180</v>
      </c>
      <c r="P49" s="94" t="s">
        <v>180</v>
      </c>
      <c r="Q49" s="94" t="s">
        <v>180</v>
      </c>
      <c r="R49" s="94" t="s">
        <v>180</v>
      </c>
      <c r="S49" s="94" t="s">
        <v>180</v>
      </c>
      <c r="T49" s="94" t="s">
        <v>180</v>
      </c>
      <c r="U49" s="94" t="s">
        <v>180</v>
      </c>
      <c r="V49" s="94" t="s">
        <v>180</v>
      </c>
      <c r="X49" s="104"/>
    </row>
    <row r="50" spans="1:24" s="103" customFormat="1" ht="15" thickBot="1" x14ac:dyDescent="0.4">
      <c r="A50" s="98" t="s">
        <v>183</v>
      </c>
      <c r="B50" s="97">
        <v>0</v>
      </c>
      <c r="C50" s="97">
        <v>0</v>
      </c>
      <c r="D50" s="97">
        <v>9</v>
      </c>
      <c r="E50" s="97">
        <v>17</v>
      </c>
      <c r="F50" s="97">
        <v>12</v>
      </c>
      <c r="G50" s="97">
        <v>8</v>
      </c>
      <c r="H50" s="97"/>
      <c r="I50" s="97"/>
      <c r="J50" s="97"/>
      <c r="K50" s="97"/>
      <c r="L50" s="97"/>
      <c r="M50" s="97"/>
      <c r="N50" s="97"/>
      <c r="O50" s="97"/>
      <c r="P50" s="97"/>
      <c r="Q50" s="97"/>
      <c r="R50" s="97"/>
      <c r="S50" s="97"/>
      <c r="T50" s="97"/>
      <c r="U50" s="97"/>
      <c r="V50" s="97"/>
    </row>
    <row r="51" spans="1:24" s="103" customFormat="1" ht="15" thickBot="1" x14ac:dyDescent="0.4">
      <c r="A51" s="98" t="s">
        <v>184</v>
      </c>
      <c r="B51" s="97">
        <f>IFERROR(B49/B50,0)</f>
        <v>0</v>
      </c>
      <c r="C51" s="97">
        <f t="shared" ref="C51" si="102">IFERROR(C49/C50,0)</f>
        <v>0</v>
      </c>
      <c r="D51" s="97">
        <f t="shared" ref="D51" si="103">IFERROR(D49/D50,0)</f>
        <v>293.33333333333331</v>
      </c>
      <c r="E51" s="97">
        <f t="shared" ref="E51" si="104">IFERROR(E49/E50,0)</f>
        <v>349.05882352941177</v>
      </c>
      <c r="F51" s="97">
        <f t="shared" ref="F51:G51" si="105">IFERROR(F49/F50,0)</f>
        <v>613.66666666666663</v>
      </c>
      <c r="G51" s="97">
        <f t="shared" si="105"/>
        <v>1684.5</v>
      </c>
      <c r="H51" s="97"/>
      <c r="I51" s="97"/>
      <c r="J51" s="97"/>
      <c r="K51" s="97"/>
      <c r="L51" s="97"/>
      <c r="M51" s="97"/>
      <c r="N51" s="97"/>
      <c r="O51" s="97"/>
      <c r="P51" s="97"/>
      <c r="Q51" s="97"/>
      <c r="R51" s="97"/>
      <c r="S51" s="97"/>
      <c r="T51" s="97"/>
      <c r="U51" s="97"/>
      <c r="V51" s="97"/>
    </row>
    <row r="52" spans="1:24" s="103" customFormat="1" ht="15" thickBot="1" x14ac:dyDescent="0.4">
      <c r="A52" s="95" t="s">
        <v>172</v>
      </c>
      <c r="B52" s="96"/>
      <c r="C52" s="96"/>
      <c r="D52" s="96"/>
      <c r="E52" s="96"/>
      <c r="F52" s="96"/>
      <c r="G52" s="96">
        <v>14673.599999999999</v>
      </c>
      <c r="H52" s="96">
        <v>16529.400000000001</v>
      </c>
      <c r="I52" s="96">
        <v>27357</v>
      </c>
      <c r="J52" s="96">
        <v>32248</v>
      </c>
      <c r="K52" s="96">
        <v>27381.200000000012</v>
      </c>
      <c r="L52" s="96">
        <v>8738.7000000000116</v>
      </c>
      <c r="M52" s="96">
        <v>17364.799999999988</v>
      </c>
      <c r="N52" s="96">
        <v>19010.5</v>
      </c>
      <c r="O52" s="96">
        <v>19227.899999999994</v>
      </c>
      <c r="P52" s="96">
        <v>16677.299999999988</v>
      </c>
      <c r="Q52" s="96">
        <v>17862.700000000012</v>
      </c>
      <c r="R52" s="96">
        <v>18365.200000000012</v>
      </c>
      <c r="S52" s="96">
        <v>4094.5</v>
      </c>
      <c r="T52" s="96">
        <v>28737.699999999983</v>
      </c>
      <c r="U52" s="96">
        <v>22051.5</v>
      </c>
      <c r="V52" s="96">
        <v>0</v>
      </c>
      <c r="X52" s="104"/>
    </row>
    <row r="53" spans="1:24" s="103" customFormat="1" ht="15" thickBot="1" x14ac:dyDescent="0.4">
      <c r="A53" s="98" t="s">
        <v>183</v>
      </c>
      <c r="B53" s="97"/>
      <c r="C53" s="97"/>
      <c r="D53" s="97"/>
      <c r="E53" s="97"/>
      <c r="F53" s="97"/>
      <c r="G53" s="135">
        <v>27</v>
      </c>
      <c r="H53" s="135">
        <v>26</v>
      </c>
      <c r="I53" s="135">
        <v>26</v>
      </c>
      <c r="J53" s="135">
        <v>27</v>
      </c>
      <c r="K53" s="135">
        <v>25</v>
      </c>
      <c r="L53" s="135">
        <v>17</v>
      </c>
      <c r="M53" s="135">
        <v>24</v>
      </c>
      <c r="N53" s="135">
        <v>24</v>
      </c>
      <c r="O53" s="135">
        <v>27</v>
      </c>
      <c r="P53" s="135">
        <v>26</v>
      </c>
      <c r="Q53" s="135">
        <v>26</v>
      </c>
      <c r="R53" s="135">
        <v>26</v>
      </c>
      <c r="S53" s="135">
        <v>27</v>
      </c>
      <c r="T53" s="135">
        <v>26</v>
      </c>
      <c r="U53" s="135">
        <v>26</v>
      </c>
      <c r="V53" s="135">
        <v>0</v>
      </c>
    </row>
    <row r="54" spans="1:24" s="103" customFormat="1" ht="15" thickBot="1" x14ac:dyDescent="0.4">
      <c r="A54" s="98" t="s">
        <v>184</v>
      </c>
      <c r="B54" s="97"/>
      <c r="C54" s="97"/>
      <c r="D54" s="97"/>
      <c r="E54" s="97"/>
      <c r="F54" s="97"/>
      <c r="G54" s="97">
        <f t="shared" ref="G54:U54" si="106">IFERROR(G52/G53,0)</f>
        <v>543.46666666666658</v>
      </c>
      <c r="H54" s="97">
        <f t="shared" si="106"/>
        <v>635.7461538461539</v>
      </c>
      <c r="I54" s="97">
        <f t="shared" si="106"/>
        <v>1052.1923076923076</v>
      </c>
      <c r="J54" s="97">
        <f t="shared" si="106"/>
        <v>1194.3703703703704</v>
      </c>
      <c r="K54" s="97">
        <f t="shared" si="106"/>
        <v>1095.2480000000005</v>
      </c>
      <c r="L54" s="97">
        <f t="shared" si="106"/>
        <v>514.04117647058888</v>
      </c>
      <c r="M54" s="97">
        <f t="shared" si="106"/>
        <v>723.53333333333285</v>
      </c>
      <c r="N54" s="97">
        <f t="shared" si="106"/>
        <v>792.10416666666663</v>
      </c>
      <c r="O54" s="97">
        <f t="shared" si="106"/>
        <v>712.14444444444428</v>
      </c>
      <c r="P54" s="97">
        <f t="shared" si="106"/>
        <v>641.43461538461497</v>
      </c>
      <c r="Q54" s="97">
        <f t="shared" si="106"/>
        <v>687.02692307692348</v>
      </c>
      <c r="R54" s="97">
        <f t="shared" si="106"/>
        <v>706.35384615384658</v>
      </c>
      <c r="S54" s="97">
        <f t="shared" si="106"/>
        <v>151.64814814814815</v>
      </c>
      <c r="T54" s="97">
        <f t="shared" si="106"/>
        <v>1105.2961538461532</v>
      </c>
      <c r="U54" s="97">
        <f t="shared" si="106"/>
        <v>848.13461538461536</v>
      </c>
      <c r="V54" s="97">
        <f t="shared" ref="V54" si="107">IFERROR(V52/V53,0)</f>
        <v>0</v>
      </c>
    </row>
    <row r="55" spans="1:24" s="103" customFormat="1" ht="15" thickBot="1" x14ac:dyDescent="0.4"/>
    <row r="56" spans="1:24" s="103" customFormat="1" ht="15" thickBot="1" x14ac:dyDescent="0.4">
      <c r="A56" s="89" t="s">
        <v>15</v>
      </c>
      <c r="B56" s="90" t="s">
        <v>191</v>
      </c>
      <c r="C56" s="90" t="s">
        <v>192</v>
      </c>
      <c r="D56" s="90" t="s">
        <v>193</v>
      </c>
      <c r="E56" s="90" t="s">
        <v>194</v>
      </c>
      <c r="F56" s="90" t="s">
        <v>195</v>
      </c>
      <c r="G56" s="90" t="s">
        <v>196</v>
      </c>
      <c r="H56" s="90" t="s">
        <v>197</v>
      </c>
      <c r="I56" s="90" t="s">
        <v>198</v>
      </c>
      <c r="J56" s="90" t="s">
        <v>199</v>
      </c>
      <c r="K56" s="90" t="s">
        <v>200</v>
      </c>
      <c r="L56" s="90" t="s">
        <v>201</v>
      </c>
      <c r="M56" s="90" t="s">
        <v>202</v>
      </c>
      <c r="N56" s="90" t="s">
        <v>203</v>
      </c>
      <c r="O56" s="90" t="s">
        <v>204</v>
      </c>
      <c r="P56" s="90" t="s">
        <v>205</v>
      </c>
      <c r="Q56" s="90" t="s">
        <v>206</v>
      </c>
      <c r="R56" s="90" t="s">
        <v>207</v>
      </c>
      <c r="S56" s="90" t="s">
        <v>208</v>
      </c>
      <c r="T56" s="90" t="s">
        <v>209</v>
      </c>
      <c r="U56" s="90" t="s">
        <v>210</v>
      </c>
      <c r="V56" s="90" t="s">
        <v>211</v>
      </c>
    </row>
    <row r="57" spans="1:24" s="103" customFormat="1" ht="15" thickBot="1" x14ac:dyDescent="0.4">
      <c r="A57" s="91" t="s">
        <v>170</v>
      </c>
      <c r="B57" s="92">
        <v>0</v>
      </c>
      <c r="C57" s="92">
        <v>0</v>
      </c>
      <c r="D57" s="92">
        <v>1569.7</v>
      </c>
      <c r="E57" s="92">
        <v>41547.599999999999</v>
      </c>
      <c r="F57" s="92">
        <v>40555.9</v>
      </c>
      <c r="G57" s="92">
        <v>53509.1</v>
      </c>
      <c r="H57" s="92">
        <v>48395.4</v>
      </c>
      <c r="I57" s="92">
        <v>63752.2</v>
      </c>
      <c r="J57" s="92">
        <v>30682.5</v>
      </c>
      <c r="K57" s="92">
        <v>21647.599999999999</v>
      </c>
      <c r="L57" s="92">
        <v>21868.400000000001</v>
      </c>
      <c r="M57" s="92">
        <v>21901.200000000001</v>
      </c>
      <c r="N57" s="92">
        <v>17880.3</v>
      </c>
      <c r="O57" s="92">
        <v>33443.599999999999</v>
      </c>
      <c r="P57" s="92">
        <v>38221.300000000003</v>
      </c>
      <c r="Q57" s="92">
        <v>41178.199999999997</v>
      </c>
      <c r="R57" s="92">
        <v>42703.199999999997</v>
      </c>
      <c r="S57" s="92">
        <v>46178.5</v>
      </c>
      <c r="T57" s="92">
        <v>46178.5</v>
      </c>
      <c r="U57" s="92">
        <v>20318.5</v>
      </c>
      <c r="V57" s="92">
        <v>0</v>
      </c>
      <c r="X57" s="104"/>
    </row>
    <row r="58" spans="1:24" s="103" customFormat="1" ht="15" thickBot="1" x14ac:dyDescent="0.4">
      <c r="A58" s="98" t="s">
        <v>183</v>
      </c>
      <c r="B58" s="97">
        <v>0</v>
      </c>
      <c r="C58" s="97">
        <v>0</v>
      </c>
      <c r="D58" s="97">
        <v>19</v>
      </c>
      <c r="E58" s="97">
        <v>26</v>
      </c>
      <c r="F58" s="97">
        <v>26</v>
      </c>
      <c r="G58" s="97">
        <v>27</v>
      </c>
      <c r="H58" s="97">
        <v>26</v>
      </c>
      <c r="I58" s="97">
        <v>26</v>
      </c>
      <c r="J58" s="97">
        <v>27</v>
      </c>
      <c r="K58" s="97">
        <v>0</v>
      </c>
      <c r="L58" s="97">
        <v>0</v>
      </c>
      <c r="M58" s="97">
        <v>0</v>
      </c>
      <c r="N58" s="97">
        <v>0</v>
      </c>
      <c r="O58" s="97">
        <v>0</v>
      </c>
      <c r="P58" s="97">
        <v>0</v>
      </c>
      <c r="Q58" s="97">
        <v>0</v>
      </c>
      <c r="R58" s="97">
        <v>0</v>
      </c>
      <c r="S58" s="97">
        <v>0</v>
      </c>
      <c r="T58" s="97">
        <v>0</v>
      </c>
      <c r="U58" s="97">
        <v>0</v>
      </c>
      <c r="V58" s="97">
        <v>0</v>
      </c>
    </row>
    <row r="59" spans="1:24" s="103" customFormat="1" ht="15" thickBot="1" x14ac:dyDescent="0.4">
      <c r="A59" s="98" t="s">
        <v>184</v>
      </c>
      <c r="B59" s="97">
        <f>IFERROR(B57/B58,0)</f>
        <v>0</v>
      </c>
      <c r="C59" s="97">
        <f t="shared" ref="C59" si="108">IFERROR(C57/C58,0)</f>
        <v>0</v>
      </c>
      <c r="D59" s="97">
        <f t="shared" ref="D59" si="109">IFERROR(D57/D58,0)</f>
        <v>82.615789473684217</v>
      </c>
      <c r="E59" s="97">
        <f t="shared" ref="E59" si="110">IFERROR(E57/E58,0)</f>
        <v>1597.9846153846154</v>
      </c>
      <c r="F59" s="97">
        <f t="shared" ref="F59" si="111">IFERROR(F57/F58,0)</f>
        <v>1559.8423076923077</v>
      </c>
      <c r="G59" s="97">
        <f t="shared" ref="G59" si="112">IFERROR(G57/G58,0)</f>
        <v>1981.8185185185184</v>
      </c>
      <c r="H59" s="97">
        <f t="shared" ref="H59" si="113">IFERROR(H57/H58,0)</f>
        <v>1861.3615384615384</v>
      </c>
      <c r="I59" s="97">
        <f t="shared" ref="I59" si="114">IFERROR(I57/I58,0)</f>
        <v>2452.0076923076922</v>
      </c>
      <c r="J59" s="97">
        <f t="shared" ref="J59" si="115">IFERROR(J57/J58,0)</f>
        <v>1136.3888888888889</v>
      </c>
      <c r="K59" s="97">
        <f t="shared" ref="K59" si="116">IFERROR(K57/K58,0)</f>
        <v>0</v>
      </c>
      <c r="L59" s="97">
        <f t="shared" ref="L59" si="117">IFERROR(L57/L58,0)</f>
        <v>0</v>
      </c>
      <c r="M59" s="97">
        <f t="shared" ref="M59" si="118">IFERROR(M57/M58,0)</f>
        <v>0</v>
      </c>
      <c r="N59" s="97">
        <f t="shared" ref="N59" si="119">IFERROR(N57/N58,0)</f>
        <v>0</v>
      </c>
      <c r="O59" s="97">
        <f t="shared" ref="O59" si="120">IFERROR(O57/O58,0)</f>
        <v>0</v>
      </c>
      <c r="P59" s="97">
        <f t="shared" ref="P59" si="121">IFERROR(P57/P58,0)</f>
        <v>0</v>
      </c>
      <c r="Q59" s="97">
        <f t="shared" ref="Q59" si="122">IFERROR(Q57/Q58,0)</f>
        <v>0</v>
      </c>
      <c r="R59" s="97">
        <f t="shared" ref="R59" si="123">IFERROR(R57/R58,0)</f>
        <v>0</v>
      </c>
      <c r="S59" s="97">
        <f t="shared" ref="S59" si="124">IFERROR(S57/S58,0)</f>
        <v>0</v>
      </c>
      <c r="T59" s="97">
        <f t="shared" ref="T59" si="125">IFERROR(T57/T58,0)</f>
        <v>0</v>
      </c>
      <c r="U59" s="97">
        <f t="shared" ref="U59" si="126">IFERROR(U57/U58,0)</f>
        <v>0</v>
      </c>
      <c r="V59" s="97">
        <f t="shared" ref="V59" si="127">IFERROR(V57/V58,0)</f>
        <v>0</v>
      </c>
    </row>
    <row r="60" spans="1:24" s="103" customFormat="1" ht="15" thickBot="1" x14ac:dyDescent="0.4">
      <c r="A60" s="93" t="s">
        <v>171</v>
      </c>
      <c r="B60" s="94">
        <v>0</v>
      </c>
      <c r="C60" s="94">
        <v>0</v>
      </c>
      <c r="D60" s="94">
        <v>0</v>
      </c>
      <c r="E60" s="94">
        <v>0</v>
      </c>
      <c r="F60" s="94">
        <v>0</v>
      </c>
      <c r="G60" s="94">
        <v>0</v>
      </c>
      <c r="H60" s="94" t="s">
        <v>180</v>
      </c>
      <c r="I60" s="94" t="s">
        <v>180</v>
      </c>
      <c r="J60" s="94" t="s">
        <v>180</v>
      </c>
      <c r="K60" s="94" t="s">
        <v>180</v>
      </c>
      <c r="L60" s="94" t="s">
        <v>180</v>
      </c>
      <c r="M60" s="94" t="s">
        <v>180</v>
      </c>
      <c r="N60" s="94" t="s">
        <v>180</v>
      </c>
      <c r="O60" s="94" t="s">
        <v>180</v>
      </c>
      <c r="P60" s="94" t="s">
        <v>180</v>
      </c>
      <c r="Q60" s="94" t="s">
        <v>180</v>
      </c>
      <c r="R60" s="94" t="s">
        <v>180</v>
      </c>
      <c r="S60" s="94" t="s">
        <v>180</v>
      </c>
      <c r="T60" s="94" t="s">
        <v>180</v>
      </c>
      <c r="U60" s="94" t="s">
        <v>180</v>
      </c>
      <c r="V60" s="94" t="s">
        <v>180</v>
      </c>
      <c r="X60" s="104"/>
    </row>
    <row r="61" spans="1:24" s="103" customFormat="1" ht="15" thickBot="1" x14ac:dyDescent="0.4">
      <c r="A61" s="98" t="s">
        <v>183</v>
      </c>
      <c r="B61" s="97">
        <v>0</v>
      </c>
      <c r="C61" s="97">
        <v>0</v>
      </c>
      <c r="D61" s="97">
        <v>0</v>
      </c>
      <c r="E61" s="97">
        <v>0</v>
      </c>
      <c r="F61" s="97">
        <v>0</v>
      </c>
      <c r="G61" s="97">
        <v>0</v>
      </c>
      <c r="H61" s="97"/>
      <c r="I61" s="97"/>
      <c r="J61" s="97"/>
      <c r="K61" s="97"/>
      <c r="L61" s="97"/>
      <c r="M61" s="97"/>
      <c r="N61" s="97"/>
      <c r="O61" s="97"/>
      <c r="P61" s="97"/>
      <c r="Q61" s="97"/>
      <c r="R61" s="97"/>
      <c r="S61" s="97"/>
      <c r="T61" s="97"/>
      <c r="U61" s="97"/>
      <c r="V61" s="97"/>
    </row>
    <row r="62" spans="1:24" s="103" customFormat="1" ht="15" thickBot="1" x14ac:dyDescent="0.4">
      <c r="A62" s="98" t="s">
        <v>184</v>
      </c>
      <c r="B62" s="97">
        <f>IFERROR(B60/B61,0)</f>
        <v>0</v>
      </c>
      <c r="C62" s="97">
        <f t="shared" ref="C62" si="128">IFERROR(C60/C61,0)</f>
        <v>0</v>
      </c>
      <c r="D62" s="97">
        <f t="shared" ref="D62" si="129">IFERROR(D60/D61,0)</f>
        <v>0</v>
      </c>
      <c r="E62" s="97">
        <f t="shared" ref="E62" si="130">IFERROR(E60/E61,0)</f>
        <v>0</v>
      </c>
      <c r="F62" s="97">
        <f t="shared" ref="F62" si="131">IFERROR(F60/F61,0)</f>
        <v>0</v>
      </c>
      <c r="G62" s="97">
        <v>0</v>
      </c>
      <c r="H62" s="97"/>
      <c r="I62" s="97"/>
      <c r="J62" s="97"/>
      <c r="K62" s="97"/>
      <c r="L62" s="97"/>
      <c r="M62" s="97"/>
      <c r="N62" s="97"/>
      <c r="O62" s="97"/>
      <c r="P62" s="97"/>
      <c r="Q62" s="97"/>
      <c r="R62" s="97"/>
      <c r="S62" s="97"/>
      <c r="T62" s="97"/>
      <c r="U62" s="97"/>
      <c r="V62" s="97"/>
    </row>
    <row r="63" spans="1:24" s="103" customFormat="1" ht="15" thickBot="1" x14ac:dyDescent="0.4">
      <c r="A63" s="95" t="s">
        <v>175</v>
      </c>
      <c r="B63" s="96"/>
      <c r="C63" s="96"/>
      <c r="D63" s="96"/>
      <c r="E63" s="96"/>
      <c r="F63" s="96"/>
      <c r="G63" s="96">
        <v>4709</v>
      </c>
      <c r="H63" s="96">
        <v>50282.2</v>
      </c>
      <c r="I63" s="96">
        <v>46936</v>
      </c>
      <c r="J63" s="96">
        <v>85497.39999999998</v>
      </c>
      <c r="K63" s="96">
        <v>92587.700000000012</v>
      </c>
      <c r="L63" s="96">
        <v>13892.700000000012</v>
      </c>
      <c r="M63" s="96">
        <v>31358.900000000023</v>
      </c>
      <c r="N63" s="96">
        <v>20165.599999999977</v>
      </c>
      <c r="O63" s="96">
        <v>30047.400000000023</v>
      </c>
      <c r="P63" s="96">
        <v>41279</v>
      </c>
      <c r="Q63" s="96">
        <v>45010.799999999988</v>
      </c>
      <c r="R63" s="96">
        <v>54705.299999999988</v>
      </c>
      <c r="S63" s="96">
        <v>2384.0999999999767</v>
      </c>
      <c r="T63" s="96">
        <v>78872.800000000047</v>
      </c>
      <c r="U63" s="96">
        <v>33802.599999999977</v>
      </c>
      <c r="V63" s="96">
        <v>0</v>
      </c>
      <c r="X63" s="104"/>
    </row>
    <row r="64" spans="1:24" s="103" customFormat="1" ht="15" thickBot="1" x14ac:dyDescent="0.4">
      <c r="A64" s="98" t="s">
        <v>183</v>
      </c>
      <c r="B64" s="97"/>
      <c r="C64" s="97"/>
      <c r="D64" s="97"/>
      <c r="E64" s="97"/>
      <c r="F64" s="97"/>
      <c r="G64" s="135">
        <v>27</v>
      </c>
      <c r="H64" s="135">
        <v>26</v>
      </c>
      <c r="I64" s="135">
        <v>26</v>
      </c>
      <c r="J64" s="135">
        <v>27</v>
      </c>
      <c r="K64" s="135">
        <v>25</v>
      </c>
      <c r="L64" s="135">
        <v>17</v>
      </c>
      <c r="M64" s="135">
        <v>24</v>
      </c>
      <c r="N64" s="135">
        <v>24</v>
      </c>
      <c r="O64" s="135">
        <v>27</v>
      </c>
      <c r="P64" s="135">
        <v>26</v>
      </c>
      <c r="Q64" s="135">
        <v>26</v>
      </c>
      <c r="R64" s="135">
        <v>26</v>
      </c>
      <c r="S64" s="135">
        <v>27</v>
      </c>
      <c r="T64" s="135">
        <v>26</v>
      </c>
      <c r="U64" s="135">
        <v>26</v>
      </c>
      <c r="V64" s="135">
        <v>0</v>
      </c>
    </row>
    <row r="65" spans="1:22" s="103" customFormat="1" ht="15" thickBot="1" x14ac:dyDescent="0.4">
      <c r="A65" s="98" t="s">
        <v>184</v>
      </c>
      <c r="B65" s="97"/>
      <c r="C65" s="97"/>
      <c r="D65" s="97"/>
      <c r="E65" s="97"/>
      <c r="F65" s="97"/>
      <c r="G65" s="97">
        <f t="shared" ref="G65:U65" si="132">IFERROR(G63/G64,0)</f>
        <v>174.40740740740742</v>
      </c>
      <c r="H65" s="97">
        <f t="shared" si="132"/>
        <v>1933.9307692307691</v>
      </c>
      <c r="I65" s="97">
        <f t="shared" si="132"/>
        <v>1805.2307692307693</v>
      </c>
      <c r="J65" s="97">
        <f t="shared" si="132"/>
        <v>3166.5703703703698</v>
      </c>
      <c r="K65" s="97">
        <f t="shared" si="132"/>
        <v>3703.5080000000003</v>
      </c>
      <c r="L65" s="97">
        <f t="shared" si="132"/>
        <v>817.21764705882424</v>
      </c>
      <c r="M65" s="97">
        <f t="shared" si="132"/>
        <v>1306.6208333333343</v>
      </c>
      <c r="N65" s="97">
        <f t="shared" si="132"/>
        <v>840.23333333333233</v>
      </c>
      <c r="O65" s="97">
        <f t="shared" si="132"/>
        <v>1112.8666666666675</v>
      </c>
      <c r="P65" s="97">
        <f t="shared" si="132"/>
        <v>1587.6538461538462</v>
      </c>
      <c r="Q65" s="97">
        <f t="shared" si="132"/>
        <v>1731.184615384615</v>
      </c>
      <c r="R65" s="97">
        <f t="shared" si="132"/>
        <v>2104.0499999999997</v>
      </c>
      <c r="S65" s="97">
        <f t="shared" si="132"/>
        <v>88.299999999999145</v>
      </c>
      <c r="T65" s="97">
        <f t="shared" si="132"/>
        <v>3033.5692307692325</v>
      </c>
      <c r="U65" s="97">
        <f t="shared" si="132"/>
        <v>1300.099999999999</v>
      </c>
      <c r="V65" s="97">
        <v>0</v>
      </c>
    </row>
    <row r="68" spans="1:22" x14ac:dyDescent="0.35">
      <c r="G68" s="136"/>
    </row>
    <row r="69" spans="1:22" x14ac:dyDescent="0.35">
      <c r="G69" s="136"/>
    </row>
  </sheetData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CE8E34-4917-42A4-B0BF-CA5C73AF8E70}">
  <dimension ref="A1:AA788"/>
  <sheetViews>
    <sheetView workbookViewId="0">
      <selection activeCell="G197" sqref="G197:G204"/>
    </sheetView>
  </sheetViews>
  <sheetFormatPr defaultRowHeight="14.5" x14ac:dyDescent="0.35"/>
  <cols>
    <col min="1" max="1" width="10.08984375" bestFit="1" customWidth="1"/>
    <col min="3" max="3" width="15.90625" style="101" bestFit="1" customWidth="1"/>
    <col min="4" max="4" width="15.90625" style="100" bestFit="1" customWidth="1"/>
    <col min="5" max="5" width="15.90625" style="100" customWidth="1"/>
    <col min="6" max="7" width="15.90625" style="100" bestFit="1" customWidth="1"/>
    <col min="8" max="8" width="15.90625" style="100" customWidth="1"/>
    <col min="9" max="13" width="15.90625" style="100" bestFit="1" customWidth="1"/>
    <col min="14" max="14" width="0.6328125" customWidth="1"/>
    <col min="15" max="15" width="11.26953125" customWidth="1"/>
    <col min="16" max="16" width="14.453125" customWidth="1"/>
  </cols>
  <sheetData>
    <row r="1" spans="1:27" x14ac:dyDescent="0.35">
      <c r="A1" s="120"/>
      <c r="B1" s="121"/>
      <c r="C1" s="155" t="s">
        <v>185</v>
      </c>
      <c r="D1" s="157"/>
      <c r="E1" s="156"/>
      <c r="F1" s="155" t="s">
        <v>186</v>
      </c>
      <c r="G1" s="157"/>
      <c r="H1" s="156"/>
      <c r="I1" s="155" t="s">
        <v>190</v>
      </c>
      <c r="J1" s="157"/>
      <c r="K1" s="156"/>
      <c r="L1" s="155" t="s">
        <v>213</v>
      </c>
      <c r="M1" s="156"/>
      <c r="N1" s="109"/>
      <c r="P1" s="99"/>
    </row>
    <row r="2" spans="1:27" x14ac:dyDescent="0.35">
      <c r="A2" s="122"/>
      <c r="B2" s="123"/>
      <c r="C2" s="110" t="e">
        <f>SUM(C4:C733)</f>
        <v>#VALUE!</v>
      </c>
      <c r="D2" s="111" t="e">
        <f t="shared" ref="D2:M2" si="0">SUM(D4:D733)</f>
        <v>#VALUE!</v>
      </c>
      <c r="E2" s="112">
        <f t="shared" si="0"/>
        <v>56240</v>
      </c>
      <c r="F2" s="110" t="e">
        <f t="shared" si="0"/>
        <v>#VALUE!</v>
      </c>
      <c r="G2" s="111" t="e">
        <f t="shared" si="0"/>
        <v>#VALUE!</v>
      </c>
      <c r="H2" s="112">
        <f t="shared" si="0"/>
        <v>72000</v>
      </c>
      <c r="I2" s="110">
        <f t="shared" si="0"/>
        <v>0</v>
      </c>
      <c r="J2" s="111">
        <f t="shared" si="0"/>
        <v>0</v>
      </c>
      <c r="K2" s="112">
        <f t="shared" si="0"/>
        <v>699999.99999999639</v>
      </c>
      <c r="L2" s="110">
        <f t="shared" si="0"/>
        <v>134641.94000000003</v>
      </c>
      <c r="M2" s="112">
        <f t="shared" si="0"/>
        <v>932691.01145969867</v>
      </c>
      <c r="N2" s="99"/>
    </row>
    <row r="3" spans="1:27" s="11" customFormat="1" ht="15" thickBot="1" x14ac:dyDescent="0.4">
      <c r="A3" s="124" t="s">
        <v>48</v>
      </c>
      <c r="B3" s="125" t="s">
        <v>187</v>
      </c>
      <c r="C3" s="113" t="s">
        <v>188</v>
      </c>
      <c r="D3" s="102" t="s">
        <v>189</v>
      </c>
      <c r="E3" s="114" t="s">
        <v>212</v>
      </c>
      <c r="F3" s="113" t="s">
        <v>188</v>
      </c>
      <c r="G3" s="102" t="s">
        <v>189</v>
      </c>
      <c r="H3" s="114" t="s">
        <v>212</v>
      </c>
      <c r="I3" s="113" t="s">
        <v>188</v>
      </c>
      <c r="J3" s="102" t="s">
        <v>189</v>
      </c>
      <c r="K3" s="114" t="s">
        <v>212</v>
      </c>
      <c r="L3" s="113" t="s">
        <v>214</v>
      </c>
      <c r="M3" s="114" t="s">
        <v>212</v>
      </c>
      <c r="P3" s="128"/>
      <c r="Q3" s="128"/>
      <c r="R3" s="128"/>
      <c r="S3" s="128"/>
      <c r="T3" s="128"/>
      <c r="U3" s="128"/>
      <c r="V3" s="128"/>
      <c r="W3" s="128"/>
      <c r="X3" s="128"/>
      <c r="Y3" s="128"/>
      <c r="Z3" s="128"/>
      <c r="AA3" s="128"/>
    </row>
    <row r="4" spans="1:27" x14ac:dyDescent="0.35">
      <c r="A4" s="126">
        <v>46023</v>
      </c>
      <c r="B4" s="118" t="str">
        <f>TEXT(A4,"MMM/AA")</f>
        <v>jan/26</v>
      </c>
      <c r="C4" s="115" t="e">
        <f>SUMIFS([1]PRODUÇÃO!$F:$F,[1]PRODUÇÃO!$A:$A,$A4,[1]PRODUÇÃO!$H:$H,C$1)-SUMIFS('[1]Lastro infra'!$G:$G,'[1]Lastro infra'!$A:$A,$A4)</f>
        <v>#VALUE!</v>
      </c>
      <c r="D4" s="116" t="e">
        <f>SUMIFS([1]ENTREGA!$H:$H,[1]ENTREGA!$A:$A,$A4,[1]ENTREGA!$C:$C,C$1)</f>
        <v>#VALUE!</v>
      </c>
      <c r="E4" s="117"/>
      <c r="F4" s="115" t="e">
        <f>SUMIFS([1]PRODUÇÃO!$F:$F,[1]PRODUÇÃO!$A:$A,$A4,[1]PRODUÇÃO!$H:$H,F$1)-SUMIFS('[1]Lastro infra'!$G:$G,'[1]Lastro infra'!$A:$A,$A4)</f>
        <v>#VALUE!</v>
      </c>
      <c r="G4" s="116" t="e">
        <f>SUMIFS([1]ENTREGA!$H:$H,[1]ENTREGA!$A:$A,$A4,[1]ENTREGA!$C:$C,F$1)</f>
        <v>#VALUE!</v>
      </c>
      <c r="H4" s="117"/>
      <c r="I4" s="115">
        <v>0</v>
      </c>
      <c r="J4" s="116">
        <v>0</v>
      </c>
      <c r="K4" s="117"/>
      <c r="L4" s="127">
        <v>0</v>
      </c>
      <c r="M4" s="117"/>
      <c r="O4" s="99"/>
      <c r="P4" s="10"/>
      <c r="Q4" s="10"/>
      <c r="R4" s="10"/>
      <c r="S4" s="10"/>
      <c r="T4" s="10"/>
      <c r="U4" s="10"/>
      <c r="V4" s="10"/>
      <c r="W4" s="10"/>
      <c r="X4" s="10"/>
      <c r="Y4" s="10"/>
      <c r="Z4" s="10"/>
      <c r="AA4" s="10"/>
    </row>
    <row r="5" spans="1:27" x14ac:dyDescent="0.35">
      <c r="A5" s="126">
        <f>A4+1</f>
        <v>46024</v>
      </c>
      <c r="B5" s="118" t="str">
        <f t="shared" ref="B5:B68" si="1">TEXT(A5,"MMM/AA")</f>
        <v>jan/26</v>
      </c>
      <c r="C5" s="115" t="e">
        <f>SUMIFS([1]PRODUÇÃO!$F:$F,[1]PRODUÇÃO!$A:$A,$A5,[1]PRODUÇÃO!$H:$H,C$1)-SUMIFS('[1]Lastro infra'!$G:$G,'[1]Lastro infra'!$A:$A,$A5)</f>
        <v>#VALUE!</v>
      </c>
      <c r="D5" s="116" t="e">
        <f>SUMIFS([1]ENTREGA!$H:$H,[1]ENTREGA!$A:$A,$A5,[1]ENTREGA!$C:$C,C$1)</f>
        <v>#VALUE!</v>
      </c>
      <c r="E5" s="117"/>
      <c r="F5" s="115" t="e">
        <f>SUMIFS([1]PRODUÇÃO!$F:$F,[1]PRODUÇÃO!$A:$A,$A5,[1]PRODUÇÃO!$H:$H,F$1)-SUMIFS('[1]Lastro infra'!$G:$G,'[1]Lastro infra'!$A:$A,$A5)</f>
        <v>#VALUE!</v>
      </c>
      <c r="G5" s="116" t="e">
        <f>SUMIFS([1]ENTREGA!$H:$H,[1]ENTREGA!$A:$A,$A5,[1]ENTREGA!$C:$C,F$1)</f>
        <v>#VALUE!</v>
      </c>
      <c r="H5" s="117"/>
      <c r="I5" s="115">
        <v>0</v>
      </c>
      <c r="J5" s="116">
        <v>0</v>
      </c>
      <c r="K5" s="117"/>
      <c r="L5" s="127">
        <v>0</v>
      </c>
      <c r="M5" s="117"/>
      <c r="O5" s="99"/>
      <c r="P5" s="10"/>
      <c r="Q5" s="10"/>
      <c r="R5" s="10"/>
      <c r="S5" s="10"/>
      <c r="T5" s="10"/>
      <c r="U5" s="10"/>
      <c r="V5" s="10"/>
      <c r="W5" s="10"/>
      <c r="X5" s="10"/>
      <c r="Y5" s="10"/>
      <c r="Z5" s="10"/>
      <c r="AA5" s="10"/>
    </row>
    <row r="6" spans="1:27" x14ac:dyDescent="0.35">
      <c r="A6" s="126">
        <f t="shared" ref="A6:A69" si="2">A5+1</f>
        <v>46025</v>
      </c>
      <c r="B6" s="118" t="str">
        <f t="shared" si="1"/>
        <v>jan/26</v>
      </c>
      <c r="C6" s="115" t="e">
        <f>SUMIFS([1]PRODUÇÃO!$F:$F,[1]PRODUÇÃO!$A:$A,$A6,[1]PRODUÇÃO!$H:$H,C$1)-SUMIFS('[1]Lastro infra'!$G:$G,'[1]Lastro infra'!$A:$A,$A6)</f>
        <v>#VALUE!</v>
      </c>
      <c r="D6" s="116" t="e">
        <f>SUMIFS([1]ENTREGA!$H:$H,[1]ENTREGA!$A:$A,$A6,[1]ENTREGA!$C:$C,C$1)</f>
        <v>#VALUE!</v>
      </c>
      <c r="E6" s="117"/>
      <c r="F6" s="115" t="e">
        <f>SUMIFS([1]PRODUÇÃO!$F:$F,[1]PRODUÇÃO!$A:$A,$A6,[1]PRODUÇÃO!$H:$H,F$1)-SUMIFS('[1]Lastro infra'!$G:$G,'[1]Lastro infra'!$A:$A,$A6)</f>
        <v>#VALUE!</v>
      </c>
      <c r="G6" s="116" t="e">
        <f>SUMIFS([1]ENTREGA!$H:$H,[1]ENTREGA!$A:$A,$A6,[1]ENTREGA!$C:$C,F$1)</f>
        <v>#VALUE!</v>
      </c>
      <c r="H6" s="117"/>
      <c r="I6" s="115">
        <v>0</v>
      </c>
      <c r="J6" s="116">
        <v>0</v>
      </c>
      <c r="K6" s="117"/>
      <c r="L6" s="127">
        <v>0</v>
      </c>
      <c r="M6" s="117"/>
      <c r="O6" s="99"/>
      <c r="P6" s="10"/>
      <c r="Q6" s="10"/>
      <c r="R6" s="10"/>
      <c r="S6" s="10"/>
      <c r="T6" s="10"/>
      <c r="U6" s="10"/>
      <c r="V6" s="10"/>
      <c r="W6" s="10"/>
      <c r="X6" s="10"/>
      <c r="Y6" s="10"/>
      <c r="Z6" s="10"/>
      <c r="AA6" s="10"/>
    </row>
    <row r="7" spans="1:27" x14ac:dyDescent="0.35">
      <c r="A7" s="126">
        <f t="shared" si="2"/>
        <v>46026</v>
      </c>
      <c r="B7" s="118" t="str">
        <f t="shared" si="1"/>
        <v>jan/26</v>
      </c>
      <c r="C7" s="115" t="e">
        <f>SUMIFS([1]PRODUÇÃO!$F:$F,[1]PRODUÇÃO!$A:$A,$A7,[1]PRODUÇÃO!$H:$H,C$1)-SUMIFS('[1]Lastro infra'!$G:$G,'[1]Lastro infra'!$A:$A,$A7)</f>
        <v>#VALUE!</v>
      </c>
      <c r="D7" s="116" t="e">
        <f>SUMIFS([1]ENTREGA!$H:$H,[1]ENTREGA!$A:$A,$A7,[1]ENTREGA!$C:$C,C$1)</f>
        <v>#VALUE!</v>
      </c>
      <c r="E7" s="117"/>
      <c r="F7" s="115" t="e">
        <f>SUMIFS([1]PRODUÇÃO!$F:$F,[1]PRODUÇÃO!$A:$A,$A7,[1]PRODUÇÃO!$H:$H,F$1)-SUMIFS('[1]Lastro infra'!$G:$G,'[1]Lastro infra'!$A:$A,$A7)</f>
        <v>#VALUE!</v>
      </c>
      <c r="G7" s="116" t="e">
        <f>SUMIFS([1]ENTREGA!$H:$H,[1]ENTREGA!$A:$A,$A7,[1]ENTREGA!$C:$C,F$1)</f>
        <v>#VALUE!</v>
      </c>
      <c r="H7" s="117"/>
      <c r="I7" s="115">
        <v>0</v>
      </c>
      <c r="J7" s="116">
        <v>0</v>
      </c>
      <c r="K7" s="117"/>
      <c r="L7" s="127">
        <v>0</v>
      </c>
      <c r="M7" s="117"/>
      <c r="O7" s="99"/>
      <c r="P7" s="10"/>
      <c r="R7" s="10"/>
      <c r="S7" s="10"/>
      <c r="U7" s="10"/>
    </row>
    <row r="8" spans="1:27" x14ac:dyDescent="0.35">
      <c r="A8" s="126">
        <f t="shared" si="2"/>
        <v>46027</v>
      </c>
      <c r="B8" s="118" t="str">
        <f t="shared" si="1"/>
        <v>jan/26</v>
      </c>
      <c r="C8" s="115" t="e">
        <f>SUMIFS([1]PRODUÇÃO!$F:$F,[1]PRODUÇÃO!$A:$A,$A8,[1]PRODUÇÃO!$H:$H,C$1)-SUMIFS('[1]Lastro infra'!$G:$G,'[1]Lastro infra'!$A:$A,$A8)</f>
        <v>#VALUE!</v>
      </c>
      <c r="D8" s="116" t="e">
        <f>SUMIFS([1]ENTREGA!$H:$H,[1]ENTREGA!$A:$A,$A8,[1]ENTREGA!$C:$C,C$1)</f>
        <v>#VALUE!</v>
      </c>
      <c r="E8" s="117"/>
      <c r="F8" s="115" t="e">
        <f>SUMIFS([1]PRODUÇÃO!$F:$F,[1]PRODUÇÃO!$A:$A,$A8,[1]PRODUÇÃO!$H:$H,F$1)-SUMIFS('[1]Lastro infra'!$G:$G,'[1]Lastro infra'!$A:$A,$A8)</f>
        <v>#VALUE!</v>
      </c>
      <c r="G8" s="116" t="e">
        <f>SUMIFS([1]ENTREGA!$H:$H,[1]ENTREGA!$A:$A,$A8,[1]ENTREGA!$C:$C,F$1)</f>
        <v>#VALUE!</v>
      </c>
      <c r="H8" s="117"/>
      <c r="I8" s="115">
        <v>0</v>
      </c>
      <c r="J8" s="116">
        <v>0</v>
      </c>
      <c r="K8" s="117"/>
      <c r="L8" s="127">
        <v>0</v>
      </c>
      <c r="M8" s="117"/>
      <c r="O8" s="99"/>
      <c r="P8" s="10"/>
      <c r="R8" s="10"/>
      <c r="S8" s="10"/>
      <c r="U8" s="10"/>
    </row>
    <row r="9" spans="1:27" x14ac:dyDescent="0.35">
      <c r="A9" s="126">
        <f t="shared" si="2"/>
        <v>46028</v>
      </c>
      <c r="B9" s="118" t="str">
        <f t="shared" si="1"/>
        <v>jan/26</v>
      </c>
      <c r="C9" s="115" t="e">
        <f>SUMIFS([1]PRODUÇÃO!$F:$F,[1]PRODUÇÃO!$A:$A,$A9,[1]PRODUÇÃO!$H:$H,C$1)-SUMIFS('[1]Lastro infra'!$G:$G,'[1]Lastro infra'!$A:$A,$A9)</f>
        <v>#VALUE!</v>
      </c>
      <c r="D9" s="116" t="e">
        <f>SUMIFS([1]ENTREGA!$H:$H,[1]ENTREGA!$A:$A,$A9,[1]ENTREGA!$C:$C,C$1)</f>
        <v>#VALUE!</v>
      </c>
      <c r="E9" s="117"/>
      <c r="F9" s="115" t="e">
        <f>SUMIFS([1]PRODUÇÃO!$F:$F,[1]PRODUÇÃO!$A:$A,$A9,[1]PRODUÇÃO!$H:$H,F$1)-SUMIFS('[1]Lastro infra'!$G:$G,'[1]Lastro infra'!$A:$A,$A9)</f>
        <v>#VALUE!</v>
      </c>
      <c r="G9" s="116" t="e">
        <f>SUMIFS([1]ENTREGA!$H:$H,[1]ENTREGA!$A:$A,$A9,[1]ENTREGA!$C:$C,F$1)</f>
        <v>#VALUE!</v>
      </c>
      <c r="H9" s="117"/>
      <c r="I9" s="115">
        <v>0</v>
      </c>
      <c r="J9" s="116">
        <v>0</v>
      </c>
      <c r="K9" s="117"/>
      <c r="L9" s="127">
        <v>0</v>
      </c>
      <c r="M9" s="117"/>
      <c r="O9" s="99"/>
      <c r="P9" s="10"/>
      <c r="R9" s="10"/>
      <c r="S9" s="10"/>
      <c r="U9" s="10"/>
    </row>
    <row r="10" spans="1:27" x14ac:dyDescent="0.35">
      <c r="A10" s="126">
        <f t="shared" si="2"/>
        <v>46029</v>
      </c>
      <c r="B10" s="118" t="str">
        <f t="shared" si="1"/>
        <v>jan/26</v>
      </c>
      <c r="C10" s="115" t="e">
        <f>SUMIFS([1]PRODUÇÃO!$F:$F,[1]PRODUÇÃO!$A:$A,$A10,[1]PRODUÇÃO!$H:$H,C$1)-SUMIFS('[1]Lastro infra'!$G:$G,'[1]Lastro infra'!$A:$A,$A10)</f>
        <v>#VALUE!</v>
      </c>
      <c r="D10" s="116" t="e">
        <f>SUMIFS([1]ENTREGA!$H:$H,[1]ENTREGA!$A:$A,$A10,[1]ENTREGA!$C:$C,C$1)</f>
        <v>#VALUE!</v>
      </c>
      <c r="E10" s="117"/>
      <c r="F10" s="115" t="e">
        <f>SUMIFS([1]PRODUÇÃO!$F:$F,[1]PRODUÇÃO!$A:$A,$A10,[1]PRODUÇÃO!$H:$H,F$1)-SUMIFS('[1]Lastro infra'!$G:$G,'[1]Lastro infra'!$A:$A,$A10)</f>
        <v>#VALUE!</v>
      </c>
      <c r="G10" s="116" t="e">
        <f>SUMIFS([1]ENTREGA!$H:$H,[1]ENTREGA!$A:$A,$A10,[1]ENTREGA!$C:$C,F$1)</f>
        <v>#VALUE!</v>
      </c>
      <c r="H10" s="117"/>
      <c r="I10" s="115">
        <v>0</v>
      </c>
      <c r="J10" s="116">
        <v>0</v>
      </c>
      <c r="K10" s="117"/>
      <c r="L10" s="127">
        <v>0</v>
      </c>
      <c r="M10" s="117"/>
      <c r="O10" s="99"/>
      <c r="P10" s="10"/>
      <c r="R10" s="10"/>
      <c r="S10" s="10"/>
      <c r="U10" s="10"/>
    </row>
    <row r="11" spans="1:27" x14ac:dyDescent="0.35">
      <c r="A11" s="126">
        <f t="shared" si="2"/>
        <v>46030</v>
      </c>
      <c r="B11" s="118" t="str">
        <f t="shared" si="1"/>
        <v>jan/26</v>
      </c>
      <c r="C11" s="115" t="e">
        <f>SUMIFS([1]PRODUÇÃO!$F:$F,[1]PRODUÇÃO!$A:$A,$A11,[1]PRODUÇÃO!$H:$H,C$1)-SUMIFS('[1]Lastro infra'!$G:$G,'[1]Lastro infra'!$A:$A,$A11)</f>
        <v>#VALUE!</v>
      </c>
      <c r="D11" s="116" t="e">
        <f>SUMIFS([1]ENTREGA!$H:$H,[1]ENTREGA!$A:$A,$A11,[1]ENTREGA!$C:$C,C$1)</f>
        <v>#VALUE!</v>
      </c>
      <c r="E11" s="117"/>
      <c r="F11" s="115" t="e">
        <f>SUMIFS([1]PRODUÇÃO!$F:$F,[1]PRODUÇÃO!$A:$A,$A11,[1]PRODUÇÃO!$H:$H,F$1)-SUMIFS('[1]Lastro infra'!$G:$G,'[1]Lastro infra'!$A:$A,$A11)</f>
        <v>#VALUE!</v>
      </c>
      <c r="G11" s="116" t="e">
        <f>SUMIFS([1]ENTREGA!$H:$H,[1]ENTREGA!$A:$A,$A11,[1]ENTREGA!$C:$C,F$1)</f>
        <v>#VALUE!</v>
      </c>
      <c r="H11" s="117"/>
      <c r="I11" s="115">
        <v>0</v>
      </c>
      <c r="J11" s="116">
        <v>0</v>
      </c>
      <c r="K11" s="117"/>
      <c r="L11" s="127">
        <v>0</v>
      </c>
      <c r="M11" s="117"/>
      <c r="O11" s="99"/>
      <c r="P11" s="151"/>
      <c r="R11" s="10"/>
      <c r="S11" s="10"/>
      <c r="U11" s="10"/>
    </row>
    <row r="12" spans="1:27" x14ac:dyDescent="0.35">
      <c r="A12" s="126">
        <f t="shared" si="2"/>
        <v>46031</v>
      </c>
      <c r="B12" s="118" t="str">
        <f t="shared" si="1"/>
        <v>jan/26</v>
      </c>
      <c r="C12" s="115" t="e">
        <f>SUMIFS([1]PRODUÇÃO!$F:$F,[1]PRODUÇÃO!$A:$A,$A12,[1]PRODUÇÃO!$H:$H,C$1)-SUMIFS('[1]Lastro infra'!$G:$G,'[1]Lastro infra'!$A:$A,$A12)</f>
        <v>#VALUE!</v>
      </c>
      <c r="D12" s="116" t="e">
        <f>SUMIFS([1]ENTREGA!$H:$H,[1]ENTREGA!$A:$A,$A12,[1]ENTREGA!$C:$C,C$1)</f>
        <v>#VALUE!</v>
      </c>
      <c r="E12" s="117"/>
      <c r="F12" s="115" t="e">
        <f>SUMIFS([1]PRODUÇÃO!$F:$F,[1]PRODUÇÃO!$A:$A,$A12,[1]PRODUÇÃO!$H:$H,F$1)-SUMIFS('[1]Lastro infra'!$G:$G,'[1]Lastro infra'!$A:$A,$A12)</f>
        <v>#VALUE!</v>
      </c>
      <c r="G12" s="116" t="e">
        <f>SUMIFS([1]ENTREGA!$H:$H,[1]ENTREGA!$A:$A,$A12,[1]ENTREGA!$C:$C,F$1)</f>
        <v>#VALUE!</v>
      </c>
      <c r="H12" s="117"/>
      <c r="I12" s="115">
        <v>0</v>
      </c>
      <c r="J12" s="116">
        <v>0</v>
      </c>
      <c r="K12" s="117"/>
      <c r="L12" s="127">
        <v>0</v>
      </c>
      <c r="M12" s="117"/>
      <c r="O12" s="99"/>
      <c r="P12" s="151"/>
      <c r="R12" s="10"/>
      <c r="S12" s="10"/>
      <c r="U12" s="10"/>
    </row>
    <row r="13" spans="1:27" x14ac:dyDescent="0.35">
      <c r="A13" s="126">
        <f t="shared" si="2"/>
        <v>46032</v>
      </c>
      <c r="B13" s="118" t="str">
        <f t="shared" si="1"/>
        <v>jan/26</v>
      </c>
      <c r="C13" s="115" t="e">
        <f>SUMIFS([1]PRODUÇÃO!$F:$F,[1]PRODUÇÃO!$A:$A,$A13,[1]PRODUÇÃO!$H:$H,C$1)-SUMIFS('[1]Lastro infra'!$G:$G,'[1]Lastro infra'!$A:$A,$A13)</f>
        <v>#VALUE!</v>
      </c>
      <c r="D13" s="116" t="e">
        <f>SUMIFS([1]ENTREGA!$H:$H,[1]ENTREGA!$A:$A,$A13,[1]ENTREGA!$C:$C,C$1)</f>
        <v>#VALUE!</v>
      </c>
      <c r="E13" s="117"/>
      <c r="F13" s="115" t="e">
        <f>SUMIFS([1]PRODUÇÃO!$F:$F,[1]PRODUÇÃO!$A:$A,$A13,[1]PRODUÇÃO!$H:$H,F$1)-SUMIFS('[1]Lastro infra'!$G:$G,'[1]Lastro infra'!$A:$A,$A13)</f>
        <v>#VALUE!</v>
      </c>
      <c r="G13" s="116" t="e">
        <f>SUMIFS([1]ENTREGA!$H:$H,[1]ENTREGA!$A:$A,$A13,[1]ENTREGA!$C:$C,F$1)</f>
        <v>#VALUE!</v>
      </c>
      <c r="H13" s="117"/>
      <c r="I13" s="115">
        <v>0</v>
      </c>
      <c r="J13" s="116">
        <v>0</v>
      </c>
      <c r="K13" s="117"/>
      <c r="L13" s="127">
        <v>0</v>
      </c>
      <c r="M13" s="117"/>
      <c r="O13" s="99"/>
      <c r="P13" s="10"/>
      <c r="R13" s="10"/>
      <c r="S13" s="10"/>
      <c r="U13" s="10"/>
    </row>
    <row r="14" spans="1:27" x14ac:dyDescent="0.35">
      <c r="A14" s="126">
        <f t="shared" si="2"/>
        <v>46033</v>
      </c>
      <c r="B14" s="118" t="str">
        <f t="shared" si="1"/>
        <v>jan/26</v>
      </c>
      <c r="C14" s="115" t="e">
        <f>SUMIFS([1]PRODUÇÃO!$F:$F,[1]PRODUÇÃO!$A:$A,$A14,[1]PRODUÇÃO!$H:$H,C$1)-SUMIFS('[1]Lastro infra'!$G:$G,'[1]Lastro infra'!$A:$A,$A14)</f>
        <v>#VALUE!</v>
      </c>
      <c r="D14" s="116" t="e">
        <f>SUMIFS([1]ENTREGA!$H:$H,[1]ENTREGA!$A:$A,$A14,[1]ENTREGA!$C:$C,C$1)</f>
        <v>#VALUE!</v>
      </c>
      <c r="E14" s="117"/>
      <c r="F14" s="115" t="e">
        <f>SUMIFS([1]PRODUÇÃO!$F:$F,[1]PRODUÇÃO!$A:$A,$A14,[1]PRODUÇÃO!$H:$H,F$1)-SUMIFS('[1]Lastro infra'!$G:$G,'[1]Lastro infra'!$A:$A,$A14)</f>
        <v>#VALUE!</v>
      </c>
      <c r="G14" s="116" t="e">
        <f>SUMIFS([1]ENTREGA!$H:$H,[1]ENTREGA!$A:$A,$A14,[1]ENTREGA!$C:$C,F$1)</f>
        <v>#VALUE!</v>
      </c>
      <c r="H14" s="117"/>
      <c r="I14" s="115">
        <v>0</v>
      </c>
      <c r="J14" s="116">
        <v>0</v>
      </c>
      <c r="K14" s="117"/>
      <c r="L14" s="127">
        <v>0</v>
      </c>
      <c r="M14" s="117"/>
      <c r="O14" s="99"/>
      <c r="P14" s="10"/>
      <c r="R14" s="10"/>
      <c r="S14" s="10"/>
      <c r="U14" s="10"/>
    </row>
    <row r="15" spans="1:27" x14ac:dyDescent="0.35">
      <c r="A15" s="126">
        <f t="shared" si="2"/>
        <v>46034</v>
      </c>
      <c r="B15" s="118" t="str">
        <f t="shared" si="1"/>
        <v>jan/26</v>
      </c>
      <c r="C15" s="115" t="e">
        <f>SUMIFS([1]PRODUÇÃO!$F:$F,[1]PRODUÇÃO!$A:$A,$A15,[1]PRODUÇÃO!$H:$H,C$1)-SUMIFS('[1]Lastro infra'!$G:$G,'[1]Lastro infra'!$A:$A,$A15)</f>
        <v>#VALUE!</v>
      </c>
      <c r="D15" s="116" t="e">
        <f>SUMIFS([1]ENTREGA!$H:$H,[1]ENTREGA!$A:$A,$A15,[1]ENTREGA!$C:$C,C$1)</f>
        <v>#VALUE!</v>
      </c>
      <c r="E15" s="117"/>
      <c r="F15" s="115" t="e">
        <f>SUMIFS([1]PRODUÇÃO!$F:$F,[1]PRODUÇÃO!$A:$A,$A15,[1]PRODUÇÃO!$H:$H,F$1)-SUMIFS('[1]Lastro infra'!$G:$G,'[1]Lastro infra'!$A:$A,$A15)</f>
        <v>#VALUE!</v>
      </c>
      <c r="G15" s="116" t="e">
        <f>SUMIFS([1]ENTREGA!$H:$H,[1]ENTREGA!$A:$A,$A15,[1]ENTREGA!$C:$C,F$1)</f>
        <v>#VALUE!</v>
      </c>
      <c r="H15" s="117"/>
      <c r="I15" s="115">
        <v>0</v>
      </c>
      <c r="J15" s="116">
        <v>0</v>
      </c>
      <c r="K15" s="117"/>
      <c r="L15" s="127">
        <v>0</v>
      </c>
      <c r="M15" s="117"/>
      <c r="O15" s="99"/>
      <c r="P15" s="10"/>
      <c r="R15" s="10"/>
      <c r="S15" s="10"/>
      <c r="U15" s="10"/>
    </row>
    <row r="16" spans="1:27" x14ac:dyDescent="0.35">
      <c r="A16" s="126">
        <f t="shared" si="2"/>
        <v>46035</v>
      </c>
      <c r="B16" s="118" t="str">
        <f t="shared" si="1"/>
        <v>jan/26</v>
      </c>
      <c r="C16" s="115" t="e">
        <f>SUMIFS([1]PRODUÇÃO!$F:$F,[1]PRODUÇÃO!$A:$A,$A16,[1]PRODUÇÃO!$H:$H,C$1)-SUMIFS('[1]Lastro infra'!$G:$G,'[1]Lastro infra'!$A:$A,$A16)</f>
        <v>#VALUE!</v>
      </c>
      <c r="D16" s="116" t="e">
        <f>SUMIFS([1]ENTREGA!$H:$H,[1]ENTREGA!$A:$A,$A16,[1]ENTREGA!$C:$C,C$1)</f>
        <v>#VALUE!</v>
      </c>
      <c r="E16" s="117"/>
      <c r="F16" s="115" t="e">
        <f>SUMIFS([1]PRODUÇÃO!$F:$F,[1]PRODUÇÃO!$A:$A,$A16,[1]PRODUÇÃO!$H:$H,F$1)-SUMIFS('[1]Lastro infra'!$G:$G,'[1]Lastro infra'!$A:$A,$A16)</f>
        <v>#VALUE!</v>
      </c>
      <c r="G16" s="116" t="e">
        <f>SUMIFS([1]ENTREGA!$H:$H,[1]ENTREGA!$A:$A,$A16,[1]ENTREGA!$C:$C,F$1)</f>
        <v>#VALUE!</v>
      </c>
      <c r="H16" s="117"/>
      <c r="I16" s="115">
        <v>0</v>
      </c>
      <c r="J16" s="116">
        <v>0</v>
      </c>
      <c r="K16" s="117"/>
      <c r="L16" s="127">
        <v>0</v>
      </c>
      <c r="M16" s="117"/>
      <c r="O16" s="99"/>
      <c r="P16" s="10"/>
      <c r="R16" s="10"/>
      <c r="S16" s="10"/>
      <c r="U16" s="10"/>
    </row>
    <row r="17" spans="1:21" x14ac:dyDescent="0.35">
      <c r="A17" s="126">
        <f t="shared" si="2"/>
        <v>46036</v>
      </c>
      <c r="B17" s="118" t="str">
        <f t="shared" si="1"/>
        <v>jan/26</v>
      </c>
      <c r="C17" s="115" t="e">
        <f>SUMIFS([1]PRODUÇÃO!$F:$F,[1]PRODUÇÃO!$A:$A,$A17,[1]PRODUÇÃO!$H:$H,C$1)-SUMIFS('[1]Lastro infra'!$G:$G,'[1]Lastro infra'!$A:$A,$A17)</f>
        <v>#VALUE!</v>
      </c>
      <c r="D17" s="116" t="e">
        <f>SUMIFS([1]ENTREGA!$H:$H,[1]ENTREGA!$A:$A,$A17,[1]ENTREGA!$C:$C,C$1)</f>
        <v>#VALUE!</v>
      </c>
      <c r="E17" s="117"/>
      <c r="F17" s="115" t="e">
        <f>SUMIFS([1]PRODUÇÃO!$F:$F,[1]PRODUÇÃO!$A:$A,$A17,[1]PRODUÇÃO!$H:$H,F$1)-SUMIFS('[1]Lastro infra'!$G:$G,'[1]Lastro infra'!$A:$A,$A17)</f>
        <v>#VALUE!</v>
      </c>
      <c r="G17" s="116" t="e">
        <f>SUMIFS([1]ENTREGA!$H:$H,[1]ENTREGA!$A:$A,$A17,[1]ENTREGA!$C:$C,F$1)</f>
        <v>#VALUE!</v>
      </c>
      <c r="H17" s="117"/>
      <c r="I17" s="115">
        <v>0</v>
      </c>
      <c r="J17" s="116">
        <v>0</v>
      </c>
      <c r="K17" s="117"/>
      <c r="L17" s="127">
        <v>0</v>
      </c>
      <c r="M17" s="117"/>
      <c r="O17" s="99"/>
      <c r="P17" s="10"/>
      <c r="R17" s="10"/>
      <c r="S17" s="10"/>
      <c r="U17" s="10"/>
    </row>
    <row r="18" spans="1:21" x14ac:dyDescent="0.35">
      <c r="A18" s="126">
        <f t="shared" si="2"/>
        <v>46037</v>
      </c>
      <c r="B18" s="118" t="str">
        <f t="shared" si="1"/>
        <v>jan/26</v>
      </c>
      <c r="C18" s="115" t="e">
        <f>SUMIFS([1]PRODUÇÃO!$F:$F,[1]PRODUÇÃO!$A:$A,$A18,[1]PRODUÇÃO!$H:$H,C$1)-SUMIFS('[1]Lastro infra'!$G:$G,'[1]Lastro infra'!$A:$A,$A18)</f>
        <v>#VALUE!</v>
      </c>
      <c r="D18" s="116" t="e">
        <f>SUMIFS([1]ENTREGA!$H:$H,[1]ENTREGA!$A:$A,$A18,[1]ENTREGA!$C:$C,C$1)</f>
        <v>#VALUE!</v>
      </c>
      <c r="E18" s="117"/>
      <c r="F18" s="115" t="e">
        <f>SUMIFS([1]PRODUÇÃO!$F:$F,[1]PRODUÇÃO!$A:$A,$A18,[1]PRODUÇÃO!$H:$H,F$1)-SUMIFS('[1]Lastro infra'!$G:$G,'[1]Lastro infra'!$A:$A,$A18)</f>
        <v>#VALUE!</v>
      </c>
      <c r="G18" s="116" t="e">
        <f>SUMIFS([1]ENTREGA!$H:$H,[1]ENTREGA!$A:$A,$A18,[1]ENTREGA!$C:$C,F$1)</f>
        <v>#VALUE!</v>
      </c>
      <c r="H18" s="117"/>
      <c r="I18" s="115">
        <v>0</v>
      </c>
      <c r="J18" s="116">
        <v>0</v>
      </c>
      <c r="K18" s="117"/>
      <c r="L18" s="127">
        <v>0</v>
      </c>
      <c r="M18" s="117"/>
      <c r="O18" s="99"/>
      <c r="P18" s="10"/>
      <c r="R18" s="10"/>
      <c r="S18" s="10"/>
      <c r="U18" s="10"/>
    </row>
    <row r="19" spans="1:21" x14ac:dyDescent="0.35">
      <c r="A19" s="126">
        <f t="shared" si="2"/>
        <v>46038</v>
      </c>
      <c r="B19" s="118" t="str">
        <f t="shared" si="1"/>
        <v>jan/26</v>
      </c>
      <c r="C19" s="115" t="e">
        <f>SUMIFS([1]PRODUÇÃO!$F:$F,[1]PRODUÇÃO!$A:$A,$A19,[1]PRODUÇÃO!$H:$H,C$1)-SUMIFS('[1]Lastro infra'!$G:$G,'[1]Lastro infra'!$A:$A,$A19)</f>
        <v>#VALUE!</v>
      </c>
      <c r="D19" s="116" t="e">
        <f>SUMIFS([1]ENTREGA!$H:$H,[1]ENTREGA!$A:$A,$A19,[1]ENTREGA!$C:$C,C$1)</f>
        <v>#VALUE!</v>
      </c>
      <c r="E19" s="117"/>
      <c r="F19" s="115" t="e">
        <f>SUMIFS([1]PRODUÇÃO!$F:$F,[1]PRODUÇÃO!$A:$A,$A19,[1]PRODUÇÃO!$H:$H,F$1)-SUMIFS('[1]Lastro infra'!$G:$G,'[1]Lastro infra'!$A:$A,$A19)</f>
        <v>#VALUE!</v>
      </c>
      <c r="G19" s="116" t="e">
        <f>SUMIFS([1]ENTREGA!$H:$H,[1]ENTREGA!$A:$A,$A19,[1]ENTREGA!$C:$C,F$1)</f>
        <v>#VALUE!</v>
      </c>
      <c r="H19" s="117"/>
      <c r="I19" s="115">
        <v>0</v>
      </c>
      <c r="J19" s="116">
        <v>0</v>
      </c>
      <c r="K19" s="117"/>
      <c r="L19" s="127">
        <v>0</v>
      </c>
      <c r="M19" s="117"/>
      <c r="O19" s="99"/>
      <c r="P19" s="10"/>
      <c r="R19" s="10"/>
      <c r="S19" s="10"/>
      <c r="U19" s="10"/>
    </row>
    <row r="20" spans="1:21" x14ac:dyDescent="0.35">
      <c r="A20" s="126">
        <f t="shared" si="2"/>
        <v>46039</v>
      </c>
      <c r="B20" s="118" t="str">
        <f t="shared" si="1"/>
        <v>jan/26</v>
      </c>
      <c r="C20" s="115" t="e">
        <f>SUMIFS([1]PRODUÇÃO!$F:$F,[1]PRODUÇÃO!$A:$A,$A20,[1]PRODUÇÃO!$H:$H,C$1)-SUMIFS('[1]Lastro infra'!$G:$G,'[1]Lastro infra'!$A:$A,$A20)</f>
        <v>#VALUE!</v>
      </c>
      <c r="D20" s="116" t="e">
        <f>SUMIFS([1]ENTREGA!$H:$H,[1]ENTREGA!$A:$A,$A20,[1]ENTREGA!$C:$C,C$1)</f>
        <v>#VALUE!</v>
      </c>
      <c r="E20" s="117"/>
      <c r="F20" s="115" t="e">
        <f>SUMIFS([1]PRODUÇÃO!$F:$F,[1]PRODUÇÃO!$A:$A,$A20,[1]PRODUÇÃO!$H:$H,F$1)-SUMIFS('[1]Lastro infra'!$G:$G,'[1]Lastro infra'!$A:$A,$A20)</f>
        <v>#VALUE!</v>
      </c>
      <c r="G20" s="116" t="e">
        <f>SUMIFS([1]ENTREGA!$H:$H,[1]ENTREGA!$A:$A,$A20,[1]ENTREGA!$C:$C,F$1)</f>
        <v>#VALUE!</v>
      </c>
      <c r="H20" s="117"/>
      <c r="I20" s="115">
        <v>0</v>
      </c>
      <c r="J20" s="116">
        <v>0</v>
      </c>
      <c r="K20" s="117"/>
      <c r="L20" s="127">
        <v>0</v>
      </c>
      <c r="M20" s="117"/>
      <c r="O20" s="99"/>
      <c r="P20" s="10"/>
      <c r="R20" s="10"/>
      <c r="S20" s="10"/>
      <c r="U20" s="10"/>
    </row>
    <row r="21" spans="1:21" x14ac:dyDescent="0.35">
      <c r="A21" s="126">
        <f t="shared" si="2"/>
        <v>46040</v>
      </c>
      <c r="B21" s="118" t="str">
        <f t="shared" si="1"/>
        <v>jan/26</v>
      </c>
      <c r="C21" s="115" t="e">
        <f>SUMIFS([1]PRODUÇÃO!$F:$F,[1]PRODUÇÃO!$A:$A,$A21,[1]PRODUÇÃO!$H:$H,C$1)-SUMIFS('[1]Lastro infra'!$G:$G,'[1]Lastro infra'!$A:$A,$A21)</f>
        <v>#VALUE!</v>
      </c>
      <c r="D21" s="116" t="e">
        <f>SUMIFS([1]ENTREGA!$H:$H,[1]ENTREGA!$A:$A,$A21,[1]ENTREGA!$C:$C,C$1)</f>
        <v>#VALUE!</v>
      </c>
      <c r="E21" s="117"/>
      <c r="F21" s="115" t="e">
        <f>SUMIFS([1]PRODUÇÃO!$F:$F,[1]PRODUÇÃO!$A:$A,$A21,[1]PRODUÇÃO!$H:$H,F$1)-SUMIFS('[1]Lastro infra'!$G:$G,'[1]Lastro infra'!$A:$A,$A21)</f>
        <v>#VALUE!</v>
      </c>
      <c r="G21" s="116" t="e">
        <f>SUMIFS([1]ENTREGA!$H:$H,[1]ENTREGA!$A:$A,$A21,[1]ENTREGA!$C:$C,F$1)</f>
        <v>#VALUE!</v>
      </c>
      <c r="H21" s="117"/>
      <c r="I21" s="115">
        <v>0</v>
      </c>
      <c r="J21" s="116">
        <v>0</v>
      </c>
      <c r="K21" s="117"/>
      <c r="L21" s="127">
        <v>0</v>
      </c>
      <c r="M21" s="117"/>
      <c r="O21" s="99"/>
      <c r="P21" s="10"/>
      <c r="R21" s="10"/>
      <c r="S21" s="10"/>
      <c r="U21" s="10"/>
    </row>
    <row r="22" spans="1:21" x14ac:dyDescent="0.35">
      <c r="A22" s="126">
        <f t="shared" si="2"/>
        <v>46041</v>
      </c>
      <c r="B22" s="118" t="str">
        <f t="shared" si="1"/>
        <v>jan/26</v>
      </c>
      <c r="C22" s="115" t="e">
        <f>SUMIFS([1]PRODUÇÃO!$F:$F,[1]PRODUÇÃO!$A:$A,$A22,[1]PRODUÇÃO!$H:$H,C$1)-SUMIFS('[1]Lastro infra'!$G:$G,'[1]Lastro infra'!$A:$A,$A22)</f>
        <v>#VALUE!</v>
      </c>
      <c r="D22" s="116" t="e">
        <f>SUMIFS([1]ENTREGA!$H:$H,[1]ENTREGA!$A:$A,$A22,[1]ENTREGA!$C:$C,C$1)</f>
        <v>#VALUE!</v>
      </c>
      <c r="E22" s="117"/>
      <c r="F22" s="115" t="e">
        <f>SUMIFS([1]PRODUÇÃO!$F:$F,[1]PRODUÇÃO!$A:$A,$A22,[1]PRODUÇÃO!$H:$H,F$1)-SUMIFS('[1]Lastro infra'!$G:$G,'[1]Lastro infra'!$A:$A,$A22)</f>
        <v>#VALUE!</v>
      </c>
      <c r="G22" s="116" t="e">
        <f>SUMIFS([1]ENTREGA!$H:$H,[1]ENTREGA!$A:$A,$A22,[1]ENTREGA!$C:$C,F$1)</f>
        <v>#VALUE!</v>
      </c>
      <c r="H22" s="117"/>
      <c r="I22" s="115">
        <v>0</v>
      </c>
      <c r="J22" s="116">
        <v>0</v>
      </c>
      <c r="K22" s="117"/>
      <c r="L22" s="127">
        <v>0</v>
      </c>
      <c r="M22" s="117"/>
      <c r="O22" s="99"/>
      <c r="P22" s="10"/>
      <c r="R22" s="10"/>
      <c r="S22" s="10"/>
      <c r="U22" s="10"/>
    </row>
    <row r="23" spans="1:21" x14ac:dyDescent="0.35">
      <c r="A23" s="126">
        <f t="shared" si="2"/>
        <v>46042</v>
      </c>
      <c r="B23" s="118" t="str">
        <f t="shared" si="1"/>
        <v>jan/26</v>
      </c>
      <c r="C23" s="115" t="e">
        <f>SUMIFS([1]PRODUÇÃO!$F:$F,[1]PRODUÇÃO!$A:$A,$A23,[1]PRODUÇÃO!$H:$H,C$1)-SUMIFS('[1]Lastro infra'!$G:$G,'[1]Lastro infra'!$A:$A,$A23)</f>
        <v>#VALUE!</v>
      </c>
      <c r="D23" s="116" t="e">
        <f>SUMIFS([1]ENTREGA!$H:$H,[1]ENTREGA!$A:$A,$A23,[1]ENTREGA!$C:$C,C$1)</f>
        <v>#VALUE!</v>
      </c>
      <c r="E23" s="117"/>
      <c r="F23" s="115" t="e">
        <f>SUMIFS([1]PRODUÇÃO!$F:$F,[1]PRODUÇÃO!$A:$A,$A23,[1]PRODUÇÃO!$H:$H,F$1)-SUMIFS('[1]Lastro infra'!$G:$G,'[1]Lastro infra'!$A:$A,$A23)</f>
        <v>#VALUE!</v>
      </c>
      <c r="G23" s="116" t="e">
        <f>SUMIFS([1]ENTREGA!$H:$H,[1]ENTREGA!$A:$A,$A23,[1]ENTREGA!$C:$C,F$1)</f>
        <v>#VALUE!</v>
      </c>
      <c r="H23" s="117"/>
      <c r="I23" s="115">
        <v>0</v>
      </c>
      <c r="J23" s="116">
        <v>0</v>
      </c>
      <c r="K23" s="117"/>
      <c r="L23" s="127">
        <v>0</v>
      </c>
      <c r="M23" s="117"/>
      <c r="O23" s="99"/>
      <c r="P23" s="10"/>
      <c r="R23" s="10"/>
      <c r="S23" s="10"/>
      <c r="U23" s="10"/>
    </row>
    <row r="24" spans="1:21" x14ac:dyDescent="0.35">
      <c r="A24" s="126">
        <f t="shared" si="2"/>
        <v>46043</v>
      </c>
      <c r="B24" s="118" t="str">
        <f t="shared" si="1"/>
        <v>jan/26</v>
      </c>
      <c r="C24" s="115" t="e">
        <f>SUMIFS([1]PRODUÇÃO!$F:$F,[1]PRODUÇÃO!$A:$A,$A24,[1]PRODUÇÃO!$H:$H,C$1)-SUMIFS('[1]Lastro infra'!$G:$G,'[1]Lastro infra'!$A:$A,$A24)</f>
        <v>#VALUE!</v>
      </c>
      <c r="D24" s="116" t="e">
        <f>SUMIFS([1]ENTREGA!$H:$H,[1]ENTREGA!$A:$A,$A24,[1]ENTREGA!$C:$C,C$1)</f>
        <v>#VALUE!</v>
      </c>
      <c r="E24" s="117"/>
      <c r="F24" s="115" t="e">
        <f>SUMIFS([1]PRODUÇÃO!$F:$F,[1]PRODUÇÃO!$A:$A,$A24,[1]PRODUÇÃO!$H:$H,F$1)-SUMIFS('[1]Lastro infra'!$G:$G,'[1]Lastro infra'!$A:$A,$A24)</f>
        <v>#VALUE!</v>
      </c>
      <c r="G24" s="116" t="e">
        <f>SUMIFS([1]ENTREGA!$H:$H,[1]ENTREGA!$A:$A,$A24,[1]ENTREGA!$C:$C,F$1)</f>
        <v>#VALUE!</v>
      </c>
      <c r="H24" s="117"/>
      <c r="I24" s="115">
        <v>0</v>
      </c>
      <c r="J24" s="116">
        <v>0</v>
      </c>
      <c r="K24" s="117"/>
      <c r="L24" s="127">
        <v>0</v>
      </c>
      <c r="M24" s="117"/>
      <c r="O24" s="99"/>
      <c r="P24" s="10"/>
      <c r="R24" s="10"/>
      <c r="S24" s="10"/>
      <c r="U24" s="10"/>
    </row>
    <row r="25" spans="1:21" x14ac:dyDescent="0.35">
      <c r="A25" s="126">
        <f t="shared" si="2"/>
        <v>46044</v>
      </c>
      <c r="B25" s="118" t="str">
        <f t="shared" si="1"/>
        <v>jan/26</v>
      </c>
      <c r="C25" s="115" t="e">
        <f>SUMIFS([1]PRODUÇÃO!$F:$F,[1]PRODUÇÃO!$A:$A,$A25,[1]PRODUÇÃO!$H:$H,C$1)-SUMIFS('[1]Lastro infra'!$G:$G,'[1]Lastro infra'!$A:$A,$A25)</f>
        <v>#VALUE!</v>
      </c>
      <c r="D25" s="116" t="e">
        <f>SUMIFS([1]ENTREGA!$H:$H,[1]ENTREGA!$A:$A,$A25,[1]ENTREGA!$C:$C,C$1)</f>
        <v>#VALUE!</v>
      </c>
      <c r="E25" s="117"/>
      <c r="F25" s="115" t="e">
        <f>SUMIFS([1]PRODUÇÃO!$F:$F,[1]PRODUÇÃO!$A:$A,$A25,[1]PRODUÇÃO!$H:$H,F$1)-SUMIFS('[1]Lastro infra'!$G:$G,'[1]Lastro infra'!$A:$A,$A25)</f>
        <v>#VALUE!</v>
      </c>
      <c r="G25" s="116" t="e">
        <f>SUMIFS([1]ENTREGA!$H:$H,[1]ENTREGA!$A:$A,$A25,[1]ENTREGA!$C:$C,F$1)</f>
        <v>#VALUE!</v>
      </c>
      <c r="H25" s="117"/>
      <c r="I25" s="115">
        <v>0</v>
      </c>
      <c r="J25" s="116">
        <v>0</v>
      </c>
      <c r="K25" s="117"/>
      <c r="L25" s="127">
        <v>0</v>
      </c>
      <c r="M25" s="117"/>
      <c r="O25" s="99"/>
      <c r="P25" s="10"/>
      <c r="R25" s="10"/>
      <c r="S25" s="10"/>
      <c r="U25" s="10"/>
    </row>
    <row r="26" spans="1:21" x14ac:dyDescent="0.35">
      <c r="A26" s="126">
        <f t="shared" si="2"/>
        <v>46045</v>
      </c>
      <c r="B26" s="118" t="str">
        <f t="shared" si="1"/>
        <v>jan/26</v>
      </c>
      <c r="C26" s="115" t="e">
        <f>SUMIFS([1]PRODUÇÃO!$F:$F,[1]PRODUÇÃO!$A:$A,$A26,[1]PRODUÇÃO!$H:$H,C$1)-SUMIFS('[1]Lastro infra'!$G:$G,'[1]Lastro infra'!$A:$A,$A26)</f>
        <v>#VALUE!</v>
      </c>
      <c r="D26" s="116" t="e">
        <f>SUMIFS([1]ENTREGA!$H:$H,[1]ENTREGA!$A:$A,$A26,[1]ENTREGA!$C:$C,C$1)</f>
        <v>#VALUE!</v>
      </c>
      <c r="E26" s="117"/>
      <c r="F26" s="115" t="e">
        <f>SUMIFS([1]PRODUÇÃO!$F:$F,[1]PRODUÇÃO!$A:$A,$A26,[1]PRODUÇÃO!$H:$H,F$1)-SUMIFS('[1]Lastro infra'!$G:$G,'[1]Lastro infra'!$A:$A,$A26)</f>
        <v>#VALUE!</v>
      </c>
      <c r="G26" s="116" t="e">
        <f>SUMIFS([1]ENTREGA!$H:$H,[1]ENTREGA!$A:$A,$A26,[1]ENTREGA!$C:$C,F$1)</f>
        <v>#VALUE!</v>
      </c>
      <c r="H26" s="117"/>
      <c r="I26" s="115">
        <v>0</v>
      </c>
      <c r="J26" s="116">
        <v>0</v>
      </c>
      <c r="K26" s="117"/>
      <c r="L26" s="127">
        <v>0</v>
      </c>
      <c r="M26" s="117"/>
      <c r="O26" s="99"/>
      <c r="P26" s="10"/>
      <c r="R26" s="10"/>
      <c r="S26" s="10"/>
      <c r="U26" s="10"/>
    </row>
    <row r="27" spans="1:21" x14ac:dyDescent="0.35">
      <c r="A27" s="126">
        <f t="shared" si="2"/>
        <v>46046</v>
      </c>
      <c r="B27" s="118" t="str">
        <f t="shared" si="1"/>
        <v>jan/26</v>
      </c>
      <c r="C27" s="115" t="e">
        <f>SUMIFS([1]PRODUÇÃO!$F:$F,[1]PRODUÇÃO!$A:$A,$A27,[1]PRODUÇÃO!$H:$H,C$1)-SUMIFS('[1]Lastro infra'!$G:$G,'[1]Lastro infra'!$A:$A,$A27)</f>
        <v>#VALUE!</v>
      </c>
      <c r="D27" s="116" t="e">
        <f>SUMIFS([1]ENTREGA!$H:$H,[1]ENTREGA!$A:$A,$A27,[1]ENTREGA!$C:$C,C$1)</f>
        <v>#VALUE!</v>
      </c>
      <c r="E27" s="117"/>
      <c r="F27" s="115" t="e">
        <f>SUMIFS([1]PRODUÇÃO!$F:$F,[1]PRODUÇÃO!$A:$A,$A27,[1]PRODUÇÃO!$H:$H,F$1)-SUMIFS('[1]Lastro infra'!$G:$G,'[1]Lastro infra'!$A:$A,$A27)</f>
        <v>#VALUE!</v>
      </c>
      <c r="G27" s="116" t="e">
        <f>SUMIFS([1]ENTREGA!$H:$H,[1]ENTREGA!$A:$A,$A27,[1]ENTREGA!$C:$C,F$1)</f>
        <v>#VALUE!</v>
      </c>
      <c r="H27" s="117"/>
      <c r="I27" s="115">
        <v>0</v>
      </c>
      <c r="J27" s="116">
        <v>0</v>
      </c>
      <c r="K27" s="117"/>
      <c r="L27" s="127">
        <v>0</v>
      </c>
      <c r="M27" s="117"/>
      <c r="O27" s="99"/>
      <c r="P27" s="10"/>
      <c r="R27" s="10"/>
      <c r="S27" s="10"/>
      <c r="U27" s="10"/>
    </row>
    <row r="28" spans="1:21" x14ac:dyDescent="0.35">
      <c r="A28" s="126">
        <f t="shared" si="2"/>
        <v>46047</v>
      </c>
      <c r="B28" s="118" t="str">
        <f t="shared" si="1"/>
        <v>jan/26</v>
      </c>
      <c r="C28" s="115" t="e">
        <f>SUMIFS([1]PRODUÇÃO!$F:$F,[1]PRODUÇÃO!$A:$A,$A28,[1]PRODUÇÃO!$H:$H,C$1)-SUMIFS('[1]Lastro infra'!$G:$G,'[1]Lastro infra'!$A:$A,$A28)</f>
        <v>#VALUE!</v>
      </c>
      <c r="D28" s="116" t="e">
        <f>SUMIFS([1]ENTREGA!$H:$H,[1]ENTREGA!$A:$A,$A28,[1]ENTREGA!$C:$C,C$1)</f>
        <v>#VALUE!</v>
      </c>
      <c r="E28" s="117"/>
      <c r="F28" s="115" t="e">
        <f>SUMIFS([1]PRODUÇÃO!$F:$F,[1]PRODUÇÃO!$A:$A,$A28,[1]PRODUÇÃO!$H:$H,F$1)-SUMIFS('[1]Lastro infra'!$G:$G,'[1]Lastro infra'!$A:$A,$A28)</f>
        <v>#VALUE!</v>
      </c>
      <c r="G28" s="116" t="e">
        <f>SUMIFS([1]ENTREGA!$H:$H,[1]ENTREGA!$A:$A,$A28,[1]ENTREGA!$C:$C,F$1)</f>
        <v>#VALUE!</v>
      </c>
      <c r="H28" s="117"/>
      <c r="I28" s="115">
        <v>0</v>
      </c>
      <c r="J28" s="116">
        <v>0</v>
      </c>
      <c r="K28" s="117"/>
      <c r="L28" s="127">
        <v>0</v>
      </c>
      <c r="M28" s="117"/>
      <c r="O28" s="99"/>
      <c r="P28" s="10"/>
      <c r="R28" s="10"/>
      <c r="S28" s="10"/>
      <c r="U28" s="10"/>
    </row>
    <row r="29" spans="1:21" x14ac:dyDescent="0.35">
      <c r="A29" s="126">
        <f t="shared" si="2"/>
        <v>46048</v>
      </c>
      <c r="B29" s="118" t="str">
        <f t="shared" si="1"/>
        <v>jan/26</v>
      </c>
      <c r="C29" s="115" t="e">
        <f>SUMIFS([1]PRODUÇÃO!$F:$F,[1]PRODUÇÃO!$A:$A,$A29,[1]PRODUÇÃO!$H:$H,C$1)-SUMIFS('[1]Lastro infra'!$G:$G,'[1]Lastro infra'!$A:$A,$A29)</f>
        <v>#VALUE!</v>
      </c>
      <c r="D29" s="116" t="e">
        <f>SUMIFS([1]ENTREGA!$H:$H,[1]ENTREGA!$A:$A,$A29,[1]ENTREGA!$C:$C,C$1)</f>
        <v>#VALUE!</v>
      </c>
      <c r="E29" s="117"/>
      <c r="F29" s="115" t="e">
        <f>SUMIFS([1]PRODUÇÃO!$F:$F,[1]PRODUÇÃO!$A:$A,$A29,[1]PRODUÇÃO!$H:$H,F$1)-SUMIFS('[1]Lastro infra'!$G:$G,'[1]Lastro infra'!$A:$A,$A29)</f>
        <v>#VALUE!</v>
      </c>
      <c r="G29" s="116" t="e">
        <f>SUMIFS([1]ENTREGA!$H:$H,[1]ENTREGA!$A:$A,$A29,[1]ENTREGA!$C:$C,F$1)</f>
        <v>#VALUE!</v>
      </c>
      <c r="H29" s="117"/>
      <c r="I29" s="115">
        <v>0</v>
      </c>
      <c r="J29" s="116">
        <v>0</v>
      </c>
      <c r="K29" s="117"/>
      <c r="L29" s="127">
        <v>0</v>
      </c>
      <c r="M29" s="117"/>
      <c r="O29" s="99"/>
      <c r="P29" s="10"/>
      <c r="R29" s="10"/>
      <c r="S29" s="10"/>
      <c r="U29" s="10"/>
    </row>
    <row r="30" spans="1:21" x14ac:dyDescent="0.35">
      <c r="A30" s="126">
        <f t="shared" si="2"/>
        <v>46049</v>
      </c>
      <c r="B30" s="118" t="str">
        <f t="shared" si="1"/>
        <v>jan/26</v>
      </c>
      <c r="C30" s="115" t="e">
        <f>SUMIFS([1]PRODUÇÃO!$F:$F,[1]PRODUÇÃO!$A:$A,$A30,[1]PRODUÇÃO!$H:$H,C$1)-SUMIFS('[1]Lastro infra'!$G:$G,'[1]Lastro infra'!$A:$A,$A30)</f>
        <v>#VALUE!</v>
      </c>
      <c r="D30" s="116" t="e">
        <f>SUMIFS([1]ENTREGA!$H:$H,[1]ENTREGA!$A:$A,$A30,[1]ENTREGA!$C:$C,C$1)</f>
        <v>#VALUE!</v>
      </c>
      <c r="E30" s="117"/>
      <c r="F30" s="115" t="e">
        <f>SUMIFS([1]PRODUÇÃO!$F:$F,[1]PRODUÇÃO!$A:$A,$A30,[1]PRODUÇÃO!$H:$H,F$1)-SUMIFS('[1]Lastro infra'!$G:$G,'[1]Lastro infra'!$A:$A,$A30)</f>
        <v>#VALUE!</v>
      </c>
      <c r="G30" s="116" t="e">
        <f>SUMIFS([1]ENTREGA!$H:$H,[1]ENTREGA!$A:$A,$A30,[1]ENTREGA!$C:$C,F$1)</f>
        <v>#VALUE!</v>
      </c>
      <c r="H30" s="117"/>
      <c r="I30" s="115">
        <v>0</v>
      </c>
      <c r="J30" s="116">
        <v>0</v>
      </c>
      <c r="K30" s="117"/>
      <c r="L30" s="127">
        <v>0</v>
      </c>
      <c r="M30" s="117"/>
      <c r="O30" s="99"/>
      <c r="P30" s="10"/>
      <c r="R30" s="10"/>
      <c r="S30" s="10"/>
      <c r="U30" s="10"/>
    </row>
    <row r="31" spans="1:21" x14ac:dyDescent="0.35">
      <c r="A31" s="126">
        <f t="shared" si="2"/>
        <v>46050</v>
      </c>
      <c r="B31" s="118" t="str">
        <f t="shared" si="1"/>
        <v>jan/26</v>
      </c>
      <c r="C31" s="115" t="e">
        <f>SUMIFS([1]PRODUÇÃO!$F:$F,[1]PRODUÇÃO!$A:$A,$A31,[1]PRODUÇÃO!$H:$H,C$1)-SUMIFS('[1]Lastro infra'!$G:$G,'[1]Lastro infra'!$A:$A,$A31)</f>
        <v>#VALUE!</v>
      </c>
      <c r="D31" s="116" t="e">
        <f>SUMIFS([1]ENTREGA!$H:$H,[1]ENTREGA!$A:$A,$A31,[1]ENTREGA!$C:$C,C$1)</f>
        <v>#VALUE!</v>
      </c>
      <c r="E31" s="117"/>
      <c r="F31" s="115" t="e">
        <f>SUMIFS([1]PRODUÇÃO!$F:$F,[1]PRODUÇÃO!$A:$A,$A31,[1]PRODUÇÃO!$H:$H,F$1)-SUMIFS('[1]Lastro infra'!$G:$G,'[1]Lastro infra'!$A:$A,$A31)</f>
        <v>#VALUE!</v>
      </c>
      <c r="G31" s="116" t="e">
        <f>SUMIFS([1]ENTREGA!$H:$H,[1]ENTREGA!$A:$A,$A31,[1]ENTREGA!$C:$C,F$1)</f>
        <v>#VALUE!</v>
      </c>
      <c r="H31" s="117"/>
      <c r="I31" s="115">
        <v>0</v>
      </c>
      <c r="J31" s="116">
        <v>0</v>
      </c>
      <c r="K31" s="117"/>
      <c r="L31" s="127">
        <v>0</v>
      </c>
      <c r="M31" s="117"/>
      <c r="O31" s="99"/>
      <c r="P31" s="10"/>
      <c r="R31" s="10"/>
      <c r="S31" s="10"/>
      <c r="U31" s="10"/>
    </row>
    <row r="32" spans="1:21" x14ac:dyDescent="0.35">
      <c r="A32" s="126">
        <f t="shared" si="2"/>
        <v>46051</v>
      </c>
      <c r="B32" s="118" t="str">
        <f t="shared" si="1"/>
        <v>jan/26</v>
      </c>
      <c r="C32" s="115" t="e">
        <f>SUMIFS([1]PRODUÇÃO!$F:$F,[1]PRODUÇÃO!$A:$A,$A32,[1]PRODUÇÃO!$H:$H,C$1)-SUMIFS('[1]Lastro infra'!$G:$G,'[1]Lastro infra'!$A:$A,$A32)</f>
        <v>#VALUE!</v>
      </c>
      <c r="D32" s="116" t="e">
        <f>SUMIFS([1]ENTREGA!$H:$H,[1]ENTREGA!$A:$A,$A32,[1]ENTREGA!$C:$C,C$1)</f>
        <v>#VALUE!</v>
      </c>
      <c r="E32" s="117"/>
      <c r="F32" s="115" t="e">
        <f>SUMIFS([1]PRODUÇÃO!$F:$F,[1]PRODUÇÃO!$A:$A,$A32,[1]PRODUÇÃO!$H:$H,F$1)-SUMIFS('[1]Lastro infra'!$G:$G,'[1]Lastro infra'!$A:$A,$A32)</f>
        <v>#VALUE!</v>
      </c>
      <c r="G32" s="116" t="e">
        <f>SUMIFS([1]ENTREGA!$H:$H,[1]ENTREGA!$A:$A,$A32,[1]ENTREGA!$C:$C,F$1)</f>
        <v>#VALUE!</v>
      </c>
      <c r="H32" s="117"/>
      <c r="I32" s="115">
        <v>0</v>
      </c>
      <c r="J32" s="116">
        <v>0</v>
      </c>
      <c r="K32" s="117"/>
      <c r="L32" s="127">
        <v>0</v>
      </c>
      <c r="M32" s="117"/>
      <c r="O32" s="99"/>
      <c r="P32" s="10"/>
      <c r="R32" s="10"/>
      <c r="S32" s="10"/>
      <c r="U32" s="10"/>
    </row>
    <row r="33" spans="1:21" x14ac:dyDescent="0.35">
      <c r="A33" s="126">
        <f t="shared" si="2"/>
        <v>46052</v>
      </c>
      <c r="B33" s="118" t="str">
        <f t="shared" si="1"/>
        <v>jan/26</v>
      </c>
      <c r="C33" s="115" t="e">
        <f>SUMIFS([1]PRODUÇÃO!$F:$F,[1]PRODUÇÃO!$A:$A,$A33,[1]PRODUÇÃO!$H:$H,C$1)-SUMIFS('[1]Lastro infra'!$G:$G,'[1]Lastro infra'!$A:$A,$A33)</f>
        <v>#VALUE!</v>
      </c>
      <c r="D33" s="116" t="e">
        <f>SUMIFS([1]ENTREGA!$H:$H,[1]ENTREGA!$A:$A,$A33,[1]ENTREGA!$C:$C,C$1)</f>
        <v>#VALUE!</v>
      </c>
      <c r="E33" s="117"/>
      <c r="F33" s="115" t="e">
        <f>SUMIFS([1]PRODUÇÃO!$F:$F,[1]PRODUÇÃO!$A:$A,$A33,[1]PRODUÇÃO!$H:$H,F$1)-SUMIFS('[1]Lastro infra'!$G:$G,'[1]Lastro infra'!$A:$A,$A33)</f>
        <v>#VALUE!</v>
      </c>
      <c r="G33" s="116" t="e">
        <f>SUMIFS([1]ENTREGA!$H:$H,[1]ENTREGA!$A:$A,$A33,[1]ENTREGA!$C:$C,F$1)</f>
        <v>#VALUE!</v>
      </c>
      <c r="H33" s="117"/>
      <c r="I33" s="115">
        <v>0</v>
      </c>
      <c r="J33" s="116">
        <v>0</v>
      </c>
      <c r="K33" s="117"/>
      <c r="L33" s="127">
        <v>0</v>
      </c>
      <c r="M33" s="117"/>
      <c r="O33" s="99"/>
      <c r="P33" s="10"/>
      <c r="R33" s="10"/>
      <c r="S33" s="10"/>
      <c r="U33" s="10"/>
    </row>
    <row r="34" spans="1:21" x14ac:dyDescent="0.35">
      <c r="A34" s="126">
        <f t="shared" si="2"/>
        <v>46053</v>
      </c>
      <c r="B34" s="118" t="str">
        <f t="shared" si="1"/>
        <v>jan/26</v>
      </c>
      <c r="C34" s="115" t="e">
        <f>SUMIFS([1]PRODUÇÃO!$F:$F,[1]PRODUÇÃO!$A:$A,$A34,[1]PRODUÇÃO!$H:$H,C$1)-SUMIFS('[1]Lastro infra'!$G:$G,'[1]Lastro infra'!$A:$A,$A34)</f>
        <v>#VALUE!</v>
      </c>
      <c r="D34" s="116" t="e">
        <f>SUMIFS([1]ENTREGA!$H:$H,[1]ENTREGA!$A:$A,$A34,[1]ENTREGA!$C:$C,C$1)</f>
        <v>#VALUE!</v>
      </c>
      <c r="E34" s="117"/>
      <c r="F34" s="115" t="e">
        <f>SUMIFS([1]PRODUÇÃO!$F:$F,[1]PRODUÇÃO!$A:$A,$A34,[1]PRODUÇÃO!$H:$H,F$1)-SUMIFS('[1]Lastro infra'!$G:$G,'[1]Lastro infra'!$A:$A,$A34)</f>
        <v>#VALUE!</v>
      </c>
      <c r="G34" s="116" t="e">
        <f>SUMIFS([1]ENTREGA!$H:$H,[1]ENTREGA!$A:$A,$A34,[1]ENTREGA!$C:$C,F$1)</f>
        <v>#VALUE!</v>
      </c>
      <c r="H34" s="117"/>
      <c r="I34" s="115">
        <v>0</v>
      </c>
      <c r="J34" s="116">
        <v>0</v>
      </c>
      <c r="K34" s="117"/>
      <c r="L34" s="127">
        <v>0</v>
      </c>
      <c r="M34" s="117"/>
      <c r="O34" s="99"/>
      <c r="P34" s="10"/>
      <c r="R34" s="10"/>
      <c r="S34" s="10"/>
      <c r="U34" s="10"/>
    </row>
    <row r="35" spans="1:21" x14ac:dyDescent="0.35">
      <c r="A35" s="126">
        <f t="shared" si="2"/>
        <v>46054</v>
      </c>
      <c r="B35" s="118" t="str">
        <f t="shared" si="1"/>
        <v>fev/26</v>
      </c>
      <c r="C35" s="115" t="e">
        <f>SUMIFS([1]PRODUÇÃO!$F:$F,[1]PRODUÇÃO!$A:$A,$A35,[1]PRODUÇÃO!$H:$H,C$1)-SUMIFS('[1]Lastro infra'!$G:$G,'[1]Lastro infra'!$A:$A,$A35)</f>
        <v>#VALUE!</v>
      </c>
      <c r="D35" s="116" t="e">
        <f>SUMIFS([1]ENTREGA!$H:$H,[1]ENTREGA!$A:$A,$A35,[1]ENTREGA!$C:$C,C$1)</f>
        <v>#VALUE!</v>
      </c>
      <c r="E35" s="117"/>
      <c r="F35" s="115" t="e">
        <f>SUMIFS([1]PRODUÇÃO!$F:$F,[1]PRODUÇÃO!$A:$A,$A35,[1]PRODUÇÃO!$H:$H,F$1)-SUMIFS('[1]Lastro infra'!$G:$G,'[1]Lastro infra'!$A:$A,$A35)</f>
        <v>#VALUE!</v>
      </c>
      <c r="G35" s="116" t="e">
        <f>SUMIFS([1]ENTREGA!$H:$H,[1]ENTREGA!$A:$A,$A35,[1]ENTREGA!$C:$C,F$1)</f>
        <v>#VALUE!</v>
      </c>
      <c r="H35" s="117"/>
      <c r="I35" s="115">
        <v>0</v>
      </c>
      <c r="J35" s="116">
        <v>0</v>
      </c>
      <c r="K35" s="117"/>
      <c r="L35" s="127">
        <v>0</v>
      </c>
      <c r="M35" s="117"/>
      <c r="O35" s="99"/>
      <c r="P35" s="10"/>
      <c r="R35" s="10"/>
      <c r="S35" s="10"/>
      <c r="U35" s="10"/>
    </row>
    <row r="36" spans="1:21" x14ac:dyDescent="0.35">
      <c r="A36" s="126">
        <f t="shared" si="2"/>
        <v>46055</v>
      </c>
      <c r="B36" s="118" t="str">
        <f t="shared" si="1"/>
        <v>fev/26</v>
      </c>
      <c r="C36" s="115" t="e">
        <f>SUMIFS([1]PRODUÇÃO!$F:$F,[1]PRODUÇÃO!$A:$A,$A36,[1]PRODUÇÃO!$H:$H,C$1)-SUMIFS('[1]Lastro infra'!$G:$G,'[1]Lastro infra'!$A:$A,$A36)</f>
        <v>#VALUE!</v>
      </c>
      <c r="D36" s="116" t="e">
        <f>SUMIFS([1]ENTREGA!$H:$H,[1]ENTREGA!$A:$A,$A36,[1]ENTREGA!$C:$C,C$1)</f>
        <v>#VALUE!</v>
      </c>
      <c r="E36" s="117"/>
      <c r="F36" s="115" t="e">
        <f>SUMIFS([1]PRODUÇÃO!$F:$F,[1]PRODUÇÃO!$A:$A,$A36,[1]PRODUÇÃO!$H:$H,F$1)-SUMIFS('[1]Lastro infra'!$G:$G,'[1]Lastro infra'!$A:$A,$A36)</f>
        <v>#VALUE!</v>
      </c>
      <c r="G36" s="116" t="e">
        <f>SUMIFS([1]ENTREGA!$H:$H,[1]ENTREGA!$A:$A,$A36,[1]ENTREGA!$C:$C,F$1)</f>
        <v>#VALUE!</v>
      </c>
      <c r="H36" s="117"/>
      <c r="I36" s="115">
        <v>0</v>
      </c>
      <c r="J36" s="116">
        <v>0</v>
      </c>
      <c r="K36" s="117"/>
      <c r="L36" s="127">
        <v>0</v>
      </c>
      <c r="M36" s="117"/>
      <c r="O36" s="99"/>
      <c r="P36" s="10"/>
      <c r="R36" s="10"/>
      <c r="S36" s="10"/>
      <c r="U36" s="10"/>
    </row>
    <row r="37" spans="1:21" x14ac:dyDescent="0.35">
      <c r="A37" s="126">
        <f t="shared" si="2"/>
        <v>46056</v>
      </c>
      <c r="B37" s="118" t="str">
        <f t="shared" si="1"/>
        <v>fev/26</v>
      </c>
      <c r="C37" s="115" t="e">
        <f>SUMIFS([1]PRODUÇÃO!$F:$F,[1]PRODUÇÃO!$A:$A,$A37,[1]PRODUÇÃO!$H:$H,C$1)-SUMIFS('[1]Lastro infra'!$G:$G,'[1]Lastro infra'!$A:$A,$A37)</f>
        <v>#VALUE!</v>
      </c>
      <c r="D37" s="116" t="e">
        <f>SUMIFS([1]ENTREGA!$H:$H,[1]ENTREGA!$A:$A,$A37,[1]ENTREGA!$C:$C,C$1)</f>
        <v>#VALUE!</v>
      </c>
      <c r="E37" s="117"/>
      <c r="F37" s="115" t="e">
        <f>SUMIFS([1]PRODUÇÃO!$F:$F,[1]PRODUÇÃO!$A:$A,$A37,[1]PRODUÇÃO!$H:$H,F$1)-SUMIFS('[1]Lastro infra'!$G:$G,'[1]Lastro infra'!$A:$A,$A37)</f>
        <v>#VALUE!</v>
      </c>
      <c r="G37" s="116" t="e">
        <f>SUMIFS([1]ENTREGA!$H:$H,[1]ENTREGA!$A:$A,$A37,[1]ENTREGA!$C:$C,F$1)</f>
        <v>#VALUE!</v>
      </c>
      <c r="H37" s="117"/>
      <c r="I37" s="115">
        <v>0</v>
      </c>
      <c r="J37" s="116">
        <v>0</v>
      </c>
      <c r="K37" s="117"/>
      <c r="L37" s="127">
        <v>0</v>
      </c>
      <c r="M37" s="117"/>
      <c r="O37" s="99"/>
      <c r="P37" s="10"/>
      <c r="R37" s="10"/>
      <c r="S37" s="10"/>
      <c r="U37" s="10"/>
    </row>
    <row r="38" spans="1:21" x14ac:dyDescent="0.35">
      <c r="A38" s="126">
        <f t="shared" si="2"/>
        <v>46057</v>
      </c>
      <c r="B38" s="118" t="str">
        <f t="shared" si="1"/>
        <v>fev/26</v>
      </c>
      <c r="C38" s="115" t="e">
        <f>SUMIFS([1]PRODUÇÃO!$F:$F,[1]PRODUÇÃO!$A:$A,$A38,[1]PRODUÇÃO!$H:$H,C$1)-SUMIFS('[1]Lastro infra'!$G:$G,'[1]Lastro infra'!$A:$A,$A38)</f>
        <v>#VALUE!</v>
      </c>
      <c r="D38" s="116" t="e">
        <f>SUMIFS([1]ENTREGA!$H:$H,[1]ENTREGA!$A:$A,$A38,[1]ENTREGA!$C:$C,C$1)</f>
        <v>#VALUE!</v>
      </c>
      <c r="E38" s="117"/>
      <c r="F38" s="115" t="e">
        <f>SUMIFS([1]PRODUÇÃO!$F:$F,[1]PRODUÇÃO!$A:$A,$A38,[1]PRODUÇÃO!$H:$H,F$1)-SUMIFS('[1]Lastro infra'!$G:$G,'[1]Lastro infra'!$A:$A,$A38)</f>
        <v>#VALUE!</v>
      </c>
      <c r="G38" s="116" t="e">
        <f>SUMIFS([1]ENTREGA!$H:$H,[1]ENTREGA!$A:$A,$A38,[1]ENTREGA!$C:$C,F$1)</f>
        <v>#VALUE!</v>
      </c>
      <c r="H38" s="117"/>
      <c r="I38" s="115">
        <v>0</v>
      </c>
      <c r="J38" s="116">
        <v>0</v>
      </c>
      <c r="K38" s="117"/>
      <c r="L38" s="127">
        <v>0</v>
      </c>
      <c r="M38" s="117"/>
      <c r="O38" s="99"/>
      <c r="P38" s="10"/>
      <c r="R38" s="10"/>
      <c r="S38" s="10"/>
      <c r="U38" s="10"/>
    </row>
    <row r="39" spans="1:21" x14ac:dyDescent="0.35">
      <c r="A39" s="126">
        <f t="shared" si="2"/>
        <v>46058</v>
      </c>
      <c r="B39" s="118" t="str">
        <f t="shared" si="1"/>
        <v>fev/26</v>
      </c>
      <c r="C39" s="115" t="e">
        <f>SUMIFS([1]PRODUÇÃO!$F:$F,[1]PRODUÇÃO!$A:$A,$A39,[1]PRODUÇÃO!$H:$H,C$1)-SUMIFS('[1]Lastro infra'!$G:$G,'[1]Lastro infra'!$A:$A,$A39)</f>
        <v>#VALUE!</v>
      </c>
      <c r="D39" s="116" t="e">
        <f>SUMIFS([1]ENTREGA!$H:$H,[1]ENTREGA!$A:$A,$A39,[1]ENTREGA!$C:$C,C$1)</f>
        <v>#VALUE!</v>
      </c>
      <c r="E39" s="117"/>
      <c r="F39" s="115" t="e">
        <f>SUMIFS([1]PRODUÇÃO!$F:$F,[1]PRODUÇÃO!$A:$A,$A39,[1]PRODUÇÃO!$H:$H,F$1)-SUMIFS('[1]Lastro infra'!$G:$G,'[1]Lastro infra'!$A:$A,$A39)</f>
        <v>#VALUE!</v>
      </c>
      <c r="G39" s="116" t="e">
        <f>SUMIFS([1]ENTREGA!$H:$H,[1]ENTREGA!$A:$A,$A39,[1]ENTREGA!$C:$C,F$1)</f>
        <v>#VALUE!</v>
      </c>
      <c r="H39" s="117"/>
      <c r="I39" s="115">
        <v>0</v>
      </c>
      <c r="J39" s="116">
        <v>0</v>
      </c>
      <c r="K39" s="117"/>
      <c r="L39" s="127">
        <v>0</v>
      </c>
      <c r="M39" s="117"/>
      <c r="O39" s="99"/>
      <c r="P39" s="10"/>
      <c r="R39" s="10"/>
      <c r="S39" s="10"/>
      <c r="U39" s="10"/>
    </row>
    <row r="40" spans="1:21" x14ac:dyDescent="0.35">
      <c r="A40" s="126">
        <f t="shared" si="2"/>
        <v>46059</v>
      </c>
      <c r="B40" s="118" t="str">
        <f t="shared" si="1"/>
        <v>fev/26</v>
      </c>
      <c r="C40" s="115" t="e">
        <f>SUMIFS([1]PRODUÇÃO!$F:$F,[1]PRODUÇÃO!$A:$A,$A40,[1]PRODUÇÃO!$H:$H,C$1)-SUMIFS('[1]Lastro infra'!$G:$G,'[1]Lastro infra'!$A:$A,$A40)</f>
        <v>#VALUE!</v>
      </c>
      <c r="D40" s="116" t="e">
        <f>SUMIFS([1]ENTREGA!$H:$H,[1]ENTREGA!$A:$A,$A40,[1]ENTREGA!$C:$C,C$1)</f>
        <v>#VALUE!</v>
      </c>
      <c r="E40" s="117"/>
      <c r="F40" s="115" t="e">
        <f>SUMIFS([1]PRODUÇÃO!$F:$F,[1]PRODUÇÃO!$A:$A,$A40,[1]PRODUÇÃO!$H:$H,F$1)-SUMIFS('[1]Lastro infra'!$G:$G,'[1]Lastro infra'!$A:$A,$A40)</f>
        <v>#VALUE!</v>
      </c>
      <c r="G40" s="116" t="e">
        <f>SUMIFS([1]ENTREGA!$H:$H,[1]ENTREGA!$A:$A,$A40,[1]ENTREGA!$C:$C,F$1)</f>
        <v>#VALUE!</v>
      </c>
      <c r="H40" s="117"/>
      <c r="I40" s="115">
        <v>0</v>
      </c>
      <c r="J40" s="116">
        <v>0</v>
      </c>
      <c r="K40" s="117"/>
      <c r="L40" s="127">
        <v>63.364999999999995</v>
      </c>
      <c r="M40" s="117"/>
      <c r="O40" s="99"/>
      <c r="P40" s="10"/>
      <c r="R40" s="10"/>
      <c r="S40" s="10"/>
      <c r="U40" s="10"/>
    </row>
    <row r="41" spans="1:21" x14ac:dyDescent="0.35">
      <c r="A41" s="126">
        <f t="shared" si="2"/>
        <v>46060</v>
      </c>
      <c r="B41" s="118" t="str">
        <f t="shared" si="1"/>
        <v>fev/26</v>
      </c>
      <c r="C41" s="115" t="e">
        <f>SUMIFS([1]PRODUÇÃO!$F:$F,[1]PRODUÇÃO!$A:$A,$A41,[1]PRODUÇÃO!$H:$H,C$1)-SUMIFS('[1]Lastro infra'!$G:$G,'[1]Lastro infra'!$A:$A,$A41)</f>
        <v>#VALUE!</v>
      </c>
      <c r="D41" s="116" t="e">
        <f>SUMIFS([1]ENTREGA!$H:$H,[1]ENTREGA!$A:$A,$A41,[1]ENTREGA!$C:$C,C$1)</f>
        <v>#VALUE!</v>
      </c>
      <c r="E41" s="117"/>
      <c r="F41" s="115" t="e">
        <f>SUMIFS([1]PRODUÇÃO!$F:$F,[1]PRODUÇÃO!$A:$A,$A41,[1]PRODUÇÃO!$H:$H,F$1)-SUMIFS('[1]Lastro infra'!$G:$G,'[1]Lastro infra'!$A:$A,$A41)</f>
        <v>#VALUE!</v>
      </c>
      <c r="G41" s="116" t="e">
        <f>SUMIFS([1]ENTREGA!$H:$H,[1]ENTREGA!$A:$A,$A41,[1]ENTREGA!$C:$C,F$1)</f>
        <v>#VALUE!</v>
      </c>
      <c r="H41" s="117"/>
      <c r="I41" s="115">
        <v>0</v>
      </c>
      <c r="J41" s="116">
        <v>0</v>
      </c>
      <c r="K41" s="117"/>
      <c r="L41" s="127">
        <v>0</v>
      </c>
      <c r="M41" s="117"/>
      <c r="O41" s="99"/>
      <c r="P41" s="10"/>
      <c r="R41" s="10"/>
      <c r="S41" s="10"/>
      <c r="U41" s="10"/>
    </row>
    <row r="42" spans="1:21" x14ac:dyDescent="0.35">
      <c r="A42" s="126">
        <f t="shared" si="2"/>
        <v>46061</v>
      </c>
      <c r="B42" s="118" t="str">
        <f t="shared" si="1"/>
        <v>fev/26</v>
      </c>
      <c r="C42" s="115" t="e">
        <f>SUMIFS([1]PRODUÇÃO!$F:$F,[1]PRODUÇÃO!$A:$A,$A42,[1]PRODUÇÃO!$H:$H,C$1)-SUMIFS('[1]Lastro infra'!$G:$G,'[1]Lastro infra'!$A:$A,$A42)</f>
        <v>#VALUE!</v>
      </c>
      <c r="D42" s="116" t="e">
        <f>SUMIFS([1]ENTREGA!$H:$H,[1]ENTREGA!$A:$A,$A42,[1]ENTREGA!$C:$C,C$1)</f>
        <v>#VALUE!</v>
      </c>
      <c r="E42" s="117"/>
      <c r="F42" s="115" t="e">
        <f>SUMIFS([1]PRODUÇÃO!$F:$F,[1]PRODUÇÃO!$A:$A,$A42,[1]PRODUÇÃO!$H:$H,F$1)-SUMIFS('[1]Lastro infra'!$G:$G,'[1]Lastro infra'!$A:$A,$A42)</f>
        <v>#VALUE!</v>
      </c>
      <c r="G42" s="116" t="e">
        <f>SUMIFS([1]ENTREGA!$H:$H,[1]ENTREGA!$A:$A,$A42,[1]ENTREGA!$C:$C,F$1)</f>
        <v>#VALUE!</v>
      </c>
      <c r="H42" s="117"/>
      <c r="I42" s="115">
        <v>0</v>
      </c>
      <c r="J42" s="116">
        <v>0</v>
      </c>
      <c r="K42" s="117"/>
      <c r="L42" s="127">
        <v>0</v>
      </c>
      <c r="M42" s="117"/>
      <c r="O42" s="99"/>
      <c r="P42" s="10"/>
      <c r="R42" s="10"/>
      <c r="S42" s="10"/>
      <c r="U42" s="10"/>
    </row>
    <row r="43" spans="1:21" x14ac:dyDescent="0.35">
      <c r="A43" s="126">
        <f t="shared" si="2"/>
        <v>46062</v>
      </c>
      <c r="B43" s="118" t="str">
        <f t="shared" si="1"/>
        <v>fev/26</v>
      </c>
      <c r="C43" s="115" t="e">
        <f>SUMIFS([1]PRODUÇÃO!$F:$F,[1]PRODUÇÃO!$A:$A,$A43,[1]PRODUÇÃO!$H:$H,C$1)-SUMIFS('[1]Lastro infra'!$G:$G,'[1]Lastro infra'!$A:$A,$A43)</f>
        <v>#VALUE!</v>
      </c>
      <c r="D43" s="116" t="e">
        <f>SUMIFS([1]ENTREGA!$H:$H,[1]ENTREGA!$A:$A,$A43,[1]ENTREGA!$C:$C,C$1)</f>
        <v>#VALUE!</v>
      </c>
      <c r="E43" s="117"/>
      <c r="F43" s="115" t="e">
        <f>SUMIFS([1]PRODUÇÃO!$F:$F,[1]PRODUÇÃO!$A:$A,$A43,[1]PRODUÇÃO!$H:$H,F$1)-SUMIFS('[1]Lastro infra'!$G:$G,'[1]Lastro infra'!$A:$A,$A43)</f>
        <v>#VALUE!</v>
      </c>
      <c r="G43" s="116" t="e">
        <f>SUMIFS([1]ENTREGA!$H:$H,[1]ENTREGA!$A:$A,$A43,[1]ENTREGA!$C:$C,F$1)</f>
        <v>#VALUE!</v>
      </c>
      <c r="H43" s="117"/>
      <c r="I43" s="115">
        <v>0</v>
      </c>
      <c r="J43" s="116">
        <v>0</v>
      </c>
      <c r="K43" s="117"/>
      <c r="L43" s="127">
        <v>200.1</v>
      </c>
      <c r="M43" s="117"/>
      <c r="O43" s="99"/>
      <c r="P43" s="10"/>
      <c r="R43" s="10"/>
      <c r="S43" s="10"/>
      <c r="U43" s="10"/>
    </row>
    <row r="44" spans="1:21" x14ac:dyDescent="0.35">
      <c r="A44" s="126">
        <f t="shared" si="2"/>
        <v>46063</v>
      </c>
      <c r="B44" s="118" t="str">
        <f t="shared" si="1"/>
        <v>fev/26</v>
      </c>
      <c r="C44" s="115" t="e">
        <f>SUMIFS([1]PRODUÇÃO!$F:$F,[1]PRODUÇÃO!$A:$A,$A44,[1]PRODUÇÃO!$H:$H,C$1)-SUMIFS('[1]Lastro infra'!$G:$G,'[1]Lastro infra'!$A:$A,$A44)</f>
        <v>#VALUE!</v>
      </c>
      <c r="D44" s="116" t="e">
        <f>SUMIFS([1]ENTREGA!$H:$H,[1]ENTREGA!$A:$A,$A44,[1]ENTREGA!$C:$C,C$1)</f>
        <v>#VALUE!</v>
      </c>
      <c r="E44" s="117"/>
      <c r="F44" s="115" t="e">
        <f>SUMIFS([1]PRODUÇÃO!$F:$F,[1]PRODUÇÃO!$A:$A,$A44,[1]PRODUÇÃO!$H:$H,F$1)-SUMIFS('[1]Lastro infra'!$G:$G,'[1]Lastro infra'!$A:$A,$A44)</f>
        <v>#VALUE!</v>
      </c>
      <c r="G44" s="116" t="e">
        <f>SUMIFS([1]ENTREGA!$H:$H,[1]ENTREGA!$A:$A,$A44,[1]ENTREGA!$C:$C,F$1)</f>
        <v>#VALUE!</v>
      </c>
      <c r="H44" s="117"/>
      <c r="I44" s="115">
        <v>0</v>
      </c>
      <c r="J44" s="116">
        <v>0</v>
      </c>
      <c r="K44" s="117"/>
      <c r="L44" s="127">
        <v>0</v>
      </c>
      <c r="M44" s="117"/>
      <c r="O44" s="99"/>
      <c r="P44" s="10"/>
      <c r="R44" s="10"/>
      <c r="S44" s="10"/>
      <c r="U44" s="10"/>
    </row>
    <row r="45" spans="1:21" x14ac:dyDescent="0.35">
      <c r="A45" s="126">
        <f t="shared" si="2"/>
        <v>46064</v>
      </c>
      <c r="B45" s="118" t="str">
        <f t="shared" si="1"/>
        <v>fev/26</v>
      </c>
      <c r="C45" s="115" t="e">
        <f>SUMIFS([1]PRODUÇÃO!$F:$F,[1]PRODUÇÃO!$A:$A,$A45,[1]PRODUÇÃO!$H:$H,C$1)-SUMIFS('[1]Lastro infra'!$G:$G,'[1]Lastro infra'!$A:$A,$A45)</f>
        <v>#VALUE!</v>
      </c>
      <c r="D45" s="116" t="e">
        <f>SUMIFS([1]ENTREGA!$H:$H,[1]ENTREGA!$A:$A,$A45,[1]ENTREGA!$C:$C,C$1)</f>
        <v>#VALUE!</v>
      </c>
      <c r="E45" s="117"/>
      <c r="F45" s="115" t="e">
        <f>SUMIFS([1]PRODUÇÃO!$F:$F,[1]PRODUÇÃO!$A:$A,$A45,[1]PRODUÇÃO!$H:$H,F$1)-SUMIFS('[1]Lastro infra'!$G:$G,'[1]Lastro infra'!$A:$A,$A45)</f>
        <v>#VALUE!</v>
      </c>
      <c r="G45" s="116" t="e">
        <f>SUMIFS([1]ENTREGA!$H:$H,[1]ENTREGA!$A:$A,$A45,[1]ENTREGA!$C:$C,F$1)</f>
        <v>#VALUE!</v>
      </c>
      <c r="H45" s="117"/>
      <c r="I45" s="115">
        <v>0</v>
      </c>
      <c r="J45" s="116">
        <v>0</v>
      </c>
      <c r="K45" s="117"/>
      <c r="L45" s="127">
        <v>100.05</v>
      </c>
      <c r="M45" s="117"/>
      <c r="O45" s="99"/>
      <c r="P45" s="10"/>
      <c r="R45" s="10"/>
      <c r="S45" s="10"/>
      <c r="U45" s="10"/>
    </row>
    <row r="46" spans="1:21" x14ac:dyDescent="0.35">
      <c r="A46" s="126">
        <f t="shared" si="2"/>
        <v>46065</v>
      </c>
      <c r="B46" s="118" t="str">
        <f t="shared" si="1"/>
        <v>fev/26</v>
      </c>
      <c r="C46" s="115" t="e">
        <f>SUMIFS([1]PRODUÇÃO!$F:$F,[1]PRODUÇÃO!$A:$A,$A46,[1]PRODUÇÃO!$H:$H,C$1)-SUMIFS('[1]Lastro infra'!$G:$G,'[1]Lastro infra'!$A:$A,$A46)</f>
        <v>#VALUE!</v>
      </c>
      <c r="D46" s="116" t="e">
        <f>SUMIFS([1]ENTREGA!$H:$H,[1]ENTREGA!$A:$A,$A46,[1]ENTREGA!$C:$C,C$1)</f>
        <v>#VALUE!</v>
      </c>
      <c r="E46" s="117"/>
      <c r="F46" s="115" t="e">
        <f>SUMIFS([1]PRODUÇÃO!$F:$F,[1]PRODUÇÃO!$A:$A,$A46,[1]PRODUÇÃO!$H:$H,F$1)-SUMIFS('[1]Lastro infra'!$G:$G,'[1]Lastro infra'!$A:$A,$A46)</f>
        <v>#VALUE!</v>
      </c>
      <c r="G46" s="116" t="e">
        <f>SUMIFS([1]ENTREGA!$H:$H,[1]ENTREGA!$A:$A,$A46,[1]ENTREGA!$C:$C,F$1)</f>
        <v>#VALUE!</v>
      </c>
      <c r="H46" s="117"/>
      <c r="I46" s="115">
        <v>0</v>
      </c>
      <c r="J46" s="116">
        <v>0</v>
      </c>
      <c r="K46" s="117"/>
      <c r="L46" s="127">
        <v>261</v>
      </c>
      <c r="M46" s="117"/>
      <c r="O46" s="99"/>
      <c r="P46" s="10"/>
      <c r="R46" s="10"/>
      <c r="S46" s="10"/>
      <c r="U46" s="10"/>
    </row>
    <row r="47" spans="1:21" x14ac:dyDescent="0.35">
      <c r="A47" s="126">
        <f t="shared" si="2"/>
        <v>46066</v>
      </c>
      <c r="B47" s="118" t="str">
        <f t="shared" si="1"/>
        <v>fev/26</v>
      </c>
      <c r="C47" s="115" t="e">
        <f>SUMIFS([1]PRODUÇÃO!$F:$F,[1]PRODUÇÃO!$A:$A,$A47,[1]PRODUÇÃO!$H:$H,C$1)-SUMIFS('[1]Lastro infra'!$G:$G,'[1]Lastro infra'!$A:$A,$A47)</f>
        <v>#VALUE!</v>
      </c>
      <c r="D47" s="116" t="e">
        <f>SUMIFS([1]ENTREGA!$H:$H,[1]ENTREGA!$A:$A,$A47,[1]ENTREGA!$C:$C,C$1)</f>
        <v>#VALUE!</v>
      </c>
      <c r="E47" s="117"/>
      <c r="F47" s="115" t="e">
        <f>SUMIFS([1]PRODUÇÃO!$F:$F,[1]PRODUÇÃO!$A:$A,$A47,[1]PRODUÇÃO!$H:$H,F$1)-SUMIFS('[1]Lastro infra'!$G:$G,'[1]Lastro infra'!$A:$A,$A47)</f>
        <v>#VALUE!</v>
      </c>
      <c r="G47" s="116" t="e">
        <f>SUMIFS([1]ENTREGA!$H:$H,[1]ENTREGA!$A:$A,$A47,[1]ENTREGA!$C:$C,F$1)</f>
        <v>#VALUE!</v>
      </c>
      <c r="H47" s="117"/>
      <c r="I47" s="115">
        <v>0</v>
      </c>
      <c r="J47" s="116">
        <v>0</v>
      </c>
      <c r="K47" s="117"/>
      <c r="L47" s="127">
        <v>208.79999999999998</v>
      </c>
      <c r="M47" s="117"/>
      <c r="O47" s="99"/>
      <c r="P47" s="10"/>
      <c r="R47" s="10"/>
      <c r="S47" s="10"/>
      <c r="U47" s="10"/>
    </row>
    <row r="48" spans="1:21" x14ac:dyDescent="0.35">
      <c r="A48" s="126">
        <f t="shared" si="2"/>
        <v>46067</v>
      </c>
      <c r="B48" s="118" t="str">
        <f t="shared" si="1"/>
        <v>fev/26</v>
      </c>
      <c r="C48" s="115" t="e">
        <f>SUMIFS([1]PRODUÇÃO!$F:$F,[1]PRODUÇÃO!$A:$A,$A48,[1]PRODUÇÃO!$H:$H,C$1)-SUMIFS('[1]Lastro infra'!$G:$G,'[1]Lastro infra'!$A:$A,$A48)</f>
        <v>#VALUE!</v>
      </c>
      <c r="D48" s="116" t="e">
        <f>SUMIFS([1]ENTREGA!$H:$H,[1]ENTREGA!$A:$A,$A48,[1]ENTREGA!$C:$C,C$1)</f>
        <v>#VALUE!</v>
      </c>
      <c r="E48" s="117"/>
      <c r="F48" s="115" t="e">
        <f>SUMIFS([1]PRODUÇÃO!$F:$F,[1]PRODUÇÃO!$A:$A,$A48,[1]PRODUÇÃO!$H:$H,F$1)-SUMIFS('[1]Lastro infra'!$G:$G,'[1]Lastro infra'!$A:$A,$A48)</f>
        <v>#VALUE!</v>
      </c>
      <c r="G48" s="116" t="e">
        <f>SUMIFS([1]ENTREGA!$H:$H,[1]ENTREGA!$A:$A,$A48,[1]ENTREGA!$C:$C,F$1)</f>
        <v>#VALUE!</v>
      </c>
      <c r="H48" s="117"/>
      <c r="I48" s="115">
        <v>0</v>
      </c>
      <c r="J48" s="116">
        <v>0</v>
      </c>
      <c r="K48" s="117"/>
      <c r="L48" s="127">
        <v>313.2</v>
      </c>
      <c r="M48" s="117"/>
      <c r="O48" s="99"/>
      <c r="P48" s="10"/>
      <c r="R48" s="10"/>
      <c r="S48" s="10"/>
      <c r="U48" s="10"/>
    </row>
    <row r="49" spans="1:21" x14ac:dyDescent="0.35">
      <c r="A49" s="126">
        <f t="shared" si="2"/>
        <v>46068</v>
      </c>
      <c r="B49" s="118" t="str">
        <f t="shared" si="1"/>
        <v>fev/26</v>
      </c>
      <c r="C49" s="115" t="e">
        <f>SUMIFS([1]PRODUÇÃO!$F:$F,[1]PRODUÇÃO!$A:$A,$A49,[1]PRODUÇÃO!$H:$H,C$1)-SUMIFS('[1]Lastro infra'!$G:$G,'[1]Lastro infra'!$A:$A,$A49)</f>
        <v>#VALUE!</v>
      </c>
      <c r="D49" s="116" t="e">
        <f>SUMIFS([1]ENTREGA!$H:$H,[1]ENTREGA!$A:$A,$A49,[1]ENTREGA!$C:$C,C$1)</f>
        <v>#VALUE!</v>
      </c>
      <c r="E49" s="117"/>
      <c r="F49" s="115" t="e">
        <f>SUMIFS([1]PRODUÇÃO!$F:$F,[1]PRODUÇÃO!$A:$A,$A49,[1]PRODUÇÃO!$H:$H,F$1)-SUMIFS('[1]Lastro infra'!$G:$G,'[1]Lastro infra'!$A:$A,$A49)</f>
        <v>#VALUE!</v>
      </c>
      <c r="G49" s="116" t="e">
        <f>SUMIFS([1]ENTREGA!$H:$H,[1]ENTREGA!$A:$A,$A49,[1]ENTREGA!$C:$C,F$1)</f>
        <v>#VALUE!</v>
      </c>
      <c r="H49" s="117"/>
      <c r="I49" s="115">
        <v>0</v>
      </c>
      <c r="J49" s="116">
        <v>0</v>
      </c>
      <c r="K49" s="117"/>
      <c r="L49" s="127">
        <v>0</v>
      </c>
      <c r="M49" s="117"/>
      <c r="O49" s="99"/>
      <c r="P49" s="10"/>
      <c r="R49" s="10"/>
      <c r="S49" s="10"/>
      <c r="U49" s="10"/>
    </row>
    <row r="50" spans="1:21" x14ac:dyDescent="0.35">
      <c r="A50" s="126">
        <f t="shared" si="2"/>
        <v>46069</v>
      </c>
      <c r="B50" s="118" t="str">
        <f t="shared" si="1"/>
        <v>fev/26</v>
      </c>
      <c r="C50" s="115" t="e">
        <f>SUMIFS([1]PRODUÇÃO!$F:$F,[1]PRODUÇÃO!$A:$A,$A50,[1]PRODUÇÃO!$H:$H,C$1)-SUMIFS('[1]Lastro infra'!$G:$G,'[1]Lastro infra'!$A:$A,$A50)</f>
        <v>#VALUE!</v>
      </c>
      <c r="D50" s="116" t="e">
        <f>SUMIFS([1]ENTREGA!$H:$H,[1]ENTREGA!$A:$A,$A50,[1]ENTREGA!$C:$C,C$1)</f>
        <v>#VALUE!</v>
      </c>
      <c r="E50" s="117"/>
      <c r="F50" s="115" t="e">
        <f>SUMIFS([1]PRODUÇÃO!$F:$F,[1]PRODUÇÃO!$A:$A,$A50,[1]PRODUÇÃO!$H:$H,F$1)-SUMIFS('[1]Lastro infra'!$G:$G,'[1]Lastro infra'!$A:$A,$A50)</f>
        <v>#VALUE!</v>
      </c>
      <c r="G50" s="116" t="e">
        <f>SUMIFS([1]ENTREGA!$H:$H,[1]ENTREGA!$A:$A,$A50,[1]ENTREGA!$C:$C,F$1)</f>
        <v>#VALUE!</v>
      </c>
      <c r="H50" s="117"/>
      <c r="I50" s="115">
        <v>0</v>
      </c>
      <c r="J50" s="116">
        <v>0</v>
      </c>
      <c r="K50" s="117"/>
      <c r="L50" s="127">
        <v>92.219999999999985</v>
      </c>
      <c r="M50" s="117"/>
      <c r="O50" s="99"/>
      <c r="P50" s="10"/>
      <c r="R50" s="10"/>
      <c r="S50" s="10"/>
      <c r="U50" s="10"/>
    </row>
    <row r="51" spans="1:21" x14ac:dyDescent="0.35">
      <c r="A51" s="126">
        <f t="shared" si="2"/>
        <v>46070</v>
      </c>
      <c r="B51" s="118" t="str">
        <f t="shared" si="1"/>
        <v>fev/26</v>
      </c>
      <c r="C51" s="115" t="e">
        <f>SUMIFS([1]PRODUÇÃO!$F:$F,[1]PRODUÇÃO!$A:$A,$A51,[1]PRODUÇÃO!$H:$H,C$1)-SUMIFS('[1]Lastro infra'!$G:$G,'[1]Lastro infra'!$A:$A,$A51)</f>
        <v>#VALUE!</v>
      </c>
      <c r="D51" s="116" t="e">
        <f>SUMIFS([1]ENTREGA!$H:$H,[1]ENTREGA!$A:$A,$A51,[1]ENTREGA!$C:$C,C$1)</f>
        <v>#VALUE!</v>
      </c>
      <c r="E51" s="117"/>
      <c r="F51" s="115" t="e">
        <f>SUMIFS([1]PRODUÇÃO!$F:$F,[1]PRODUÇÃO!$A:$A,$A51,[1]PRODUÇÃO!$H:$H,F$1)-SUMIFS('[1]Lastro infra'!$G:$G,'[1]Lastro infra'!$A:$A,$A51)</f>
        <v>#VALUE!</v>
      </c>
      <c r="G51" s="116" t="e">
        <f>SUMIFS([1]ENTREGA!$H:$H,[1]ENTREGA!$A:$A,$A51,[1]ENTREGA!$C:$C,F$1)</f>
        <v>#VALUE!</v>
      </c>
      <c r="H51" s="117"/>
      <c r="I51" s="115">
        <v>0</v>
      </c>
      <c r="J51" s="116">
        <v>0</v>
      </c>
      <c r="K51" s="117"/>
      <c r="L51" s="127">
        <v>637.8549999999999</v>
      </c>
      <c r="M51" s="117"/>
      <c r="O51" s="99"/>
      <c r="P51" s="10"/>
      <c r="R51" s="10"/>
      <c r="S51" s="10"/>
      <c r="U51" s="10"/>
    </row>
    <row r="52" spans="1:21" x14ac:dyDescent="0.35">
      <c r="A52" s="126">
        <f t="shared" si="2"/>
        <v>46071</v>
      </c>
      <c r="B52" s="118" t="str">
        <f t="shared" si="1"/>
        <v>fev/26</v>
      </c>
      <c r="C52" s="115" t="e">
        <f>SUMIFS([1]PRODUÇÃO!$F:$F,[1]PRODUÇÃO!$A:$A,$A52,[1]PRODUÇÃO!$H:$H,C$1)-SUMIFS('[1]Lastro infra'!$G:$G,'[1]Lastro infra'!$A:$A,$A52)</f>
        <v>#VALUE!</v>
      </c>
      <c r="D52" s="116" t="e">
        <f>SUMIFS([1]ENTREGA!$H:$H,[1]ENTREGA!$A:$A,$A52,[1]ENTREGA!$C:$C,C$1)</f>
        <v>#VALUE!</v>
      </c>
      <c r="E52" s="117"/>
      <c r="F52" s="115" t="e">
        <f>SUMIFS([1]PRODUÇÃO!$F:$F,[1]PRODUÇÃO!$A:$A,$A52,[1]PRODUÇÃO!$H:$H,F$1)-SUMIFS('[1]Lastro infra'!$G:$G,'[1]Lastro infra'!$A:$A,$A52)</f>
        <v>#VALUE!</v>
      </c>
      <c r="G52" s="116" t="e">
        <f>SUMIFS([1]ENTREGA!$H:$H,[1]ENTREGA!$A:$A,$A52,[1]ENTREGA!$C:$C,F$1)</f>
        <v>#VALUE!</v>
      </c>
      <c r="H52" s="117"/>
      <c r="I52" s="115">
        <v>0</v>
      </c>
      <c r="J52" s="116">
        <v>0</v>
      </c>
      <c r="K52" s="117"/>
      <c r="L52" s="127">
        <v>0</v>
      </c>
      <c r="M52" s="117"/>
      <c r="O52" s="99"/>
      <c r="P52" s="10"/>
      <c r="R52" s="10"/>
      <c r="S52" s="10"/>
      <c r="U52" s="10"/>
    </row>
    <row r="53" spans="1:21" x14ac:dyDescent="0.35">
      <c r="A53" s="126">
        <f t="shared" si="2"/>
        <v>46072</v>
      </c>
      <c r="B53" s="118" t="str">
        <f t="shared" si="1"/>
        <v>fev/26</v>
      </c>
      <c r="C53" s="115" t="e">
        <f>SUMIFS([1]PRODUÇÃO!$F:$F,[1]PRODUÇÃO!$A:$A,$A53,[1]PRODUÇÃO!$H:$H,C$1)-SUMIFS('[1]Lastro infra'!$G:$G,'[1]Lastro infra'!$A:$A,$A53)</f>
        <v>#VALUE!</v>
      </c>
      <c r="D53" s="116" t="e">
        <f>SUMIFS([1]ENTREGA!$H:$H,[1]ENTREGA!$A:$A,$A53,[1]ENTREGA!$C:$C,C$1)</f>
        <v>#VALUE!</v>
      </c>
      <c r="E53" s="117"/>
      <c r="F53" s="115" t="e">
        <f>SUMIFS([1]PRODUÇÃO!$F:$F,[1]PRODUÇÃO!$A:$A,$A53,[1]PRODUÇÃO!$H:$H,F$1)-SUMIFS('[1]Lastro infra'!$G:$G,'[1]Lastro infra'!$A:$A,$A53)</f>
        <v>#VALUE!</v>
      </c>
      <c r="G53" s="116" t="e">
        <f>SUMIFS([1]ENTREGA!$H:$H,[1]ENTREGA!$A:$A,$A53,[1]ENTREGA!$C:$C,F$1)</f>
        <v>#VALUE!</v>
      </c>
      <c r="H53" s="117"/>
      <c r="I53" s="115">
        <v>0</v>
      </c>
      <c r="J53" s="116">
        <v>0</v>
      </c>
      <c r="K53" s="117"/>
      <c r="L53" s="127">
        <v>0</v>
      </c>
      <c r="M53" s="117"/>
      <c r="O53" s="99"/>
      <c r="P53" s="10"/>
      <c r="R53" s="10"/>
      <c r="S53" s="10"/>
      <c r="U53" s="10"/>
    </row>
    <row r="54" spans="1:21" x14ac:dyDescent="0.35">
      <c r="A54" s="126">
        <f t="shared" si="2"/>
        <v>46073</v>
      </c>
      <c r="B54" s="118" t="str">
        <f t="shared" si="1"/>
        <v>fev/26</v>
      </c>
      <c r="C54" s="115" t="e">
        <f>SUMIFS([1]PRODUÇÃO!$F:$F,[1]PRODUÇÃO!$A:$A,$A54,[1]PRODUÇÃO!$H:$H,C$1)-SUMIFS('[1]Lastro infra'!$G:$G,'[1]Lastro infra'!$A:$A,$A54)</f>
        <v>#VALUE!</v>
      </c>
      <c r="D54" s="116" t="e">
        <f>SUMIFS([1]ENTREGA!$H:$H,[1]ENTREGA!$A:$A,$A54,[1]ENTREGA!$C:$C,C$1)</f>
        <v>#VALUE!</v>
      </c>
      <c r="E54" s="117"/>
      <c r="F54" s="115" t="e">
        <f>SUMIFS([1]PRODUÇÃO!$F:$F,[1]PRODUÇÃO!$A:$A,$A54,[1]PRODUÇÃO!$H:$H,F$1)-SUMIFS('[1]Lastro infra'!$G:$G,'[1]Lastro infra'!$A:$A,$A54)</f>
        <v>#VALUE!</v>
      </c>
      <c r="G54" s="116" t="e">
        <f>SUMIFS([1]ENTREGA!$H:$H,[1]ENTREGA!$A:$A,$A54,[1]ENTREGA!$C:$C,F$1)</f>
        <v>#VALUE!</v>
      </c>
      <c r="H54" s="117"/>
      <c r="I54" s="115">
        <v>0</v>
      </c>
      <c r="J54" s="116">
        <v>0</v>
      </c>
      <c r="K54" s="117"/>
      <c r="L54" s="127">
        <v>195.75</v>
      </c>
      <c r="M54" s="117"/>
      <c r="O54" s="99"/>
      <c r="P54" s="10"/>
      <c r="R54" s="10"/>
      <c r="S54" s="10"/>
      <c r="U54" s="10"/>
    </row>
    <row r="55" spans="1:21" x14ac:dyDescent="0.35">
      <c r="A55" s="126">
        <f t="shared" si="2"/>
        <v>46074</v>
      </c>
      <c r="B55" s="118" t="str">
        <f t="shared" si="1"/>
        <v>fev/26</v>
      </c>
      <c r="C55" s="115" t="e">
        <f>SUMIFS([1]PRODUÇÃO!$F:$F,[1]PRODUÇÃO!$A:$A,$A55,[1]PRODUÇÃO!$H:$H,C$1)-SUMIFS('[1]Lastro infra'!$G:$G,'[1]Lastro infra'!$A:$A,$A55)</f>
        <v>#VALUE!</v>
      </c>
      <c r="D55" s="116" t="e">
        <f>SUMIFS([1]ENTREGA!$H:$H,[1]ENTREGA!$A:$A,$A55,[1]ENTREGA!$C:$C,C$1)</f>
        <v>#VALUE!</v>
      </c>
      <c r="E55" s="117"/>
      <c r="F55" s="115" t="e">
        <f>SUMIFS([1]PRODUÇÃO!$F:$F,[1]PRODUÇÃO!$A:$A,$A55,[1]PRODUÇÃO!$H:$H,F$1)-SUMIFS('[1]Lastro infra'!$G:$G,'[1]Lastro infra'!$A:$A,$A55)</f>
        <v>#VALUE!</v>
      </c>
      <c r="G55" s="116" t="e">
        <f>SUMIFS([1]ENTREGA!$H:$H,[1]ENTREGA!$A:$A,$A55,[1]ENTREGA!$C:$C,F$1)</f>
        <v>#VALUE!</v>
      </c>
      <c r="H55" s="117"/>
      <c r="I55" s="115">
        <v>0</v>
      </c>
      <c r="J55" s="116">
        <v>0</v>
      </c>
      <c r="K55" s="117"/>
      <c r="L55" s="127">
        <v>0</v>
      </c>
      <c r="M55" s="117"/>
      <c r="O55" s="99"/>
      <c r="P55" s="10"/>
      <c r="R55" s="10"/>
      <c r="S55" s="10"/>
      <c r="U55" s="10"/>
    </row>
    <row r="56" spans="1:21" x14ac:dyDescent="0.35">
      <c r="A56" s="126">
        <f t="shared" si="2"/>
        <v>46075</v>
      </c>
      <c r="B56" s="118" t="str">
        <f t="shared" si="1"/>
        <v>fev/26</v>
      </c>
      <c r="C56" s="115" t="e">
        <f>SUMIFS([1]PRODUÇÃO!$F:$F,[1]PRODUÇÃO!$A:$A,$A56,[1]PRODUÇÃO!$H:$H,C$1)-SUMIFS('[1]Lastro infra'!$G:$G,'[1]Lastro infra'!$A:$A,$A56)</f>
        <v>#VALUE!</v>
      </c>
      <c r="D56" s="116" t="e">
        <f>SUMIFS([1]ENTREGA!$H:$H,[1]ENTREGA!$A:$A,$A56,[1]ENTREGA!$C:$C,C$1)</f>
        <v>#VALUE!</v>
      </c>
      <c r="E56" s="117"/>
      <c r="F56" s="115" t="e">
        <f>SUMIFS([1]PRODUÇÃO!$F:$F,[1]PRODUÇÃO!$A:$A,$A56,[1]PRODUÇÃO!$H:$H,F$1)-SUMIFS('[1]Lastro infra'!$G:$G,'[1]Lastro infra'!$A:$A,$A56)</f>
        <v>#VALUE!</v>
      </c>
      <c r="G56" s="116" t="e">
        <f>SUMIFS([1]ENTREGA!$H:$H,[1]ENTREGA!$A:$A,$A56,[1]ENTREGA!$C:$C,F$1)</f>
        <v>#VALUE!</v>
      </c>
      <c r="H56" s="117"/>
      <c r="I56" s="115">
        <v>0</v>
      </c>
      <c r="J56" s="116">
        <v>0</v>
      </c>
      <c r="K56" s="117"/>
      <c r="L56" s="127">
        <v>0</v>
      </c>
      <c r="M56" s="117"/>
      <c r="O56" s="99"/>
      <c r="P56" s="10"/>
      <c r="R56" s="10"/>
      <c r="S56" s="10"/>
      <c r="U56" s="10"/>
    </row>
    <row r="57" spans="1:21" x14ac:dyDescent="0.35">
      <c r="A57" s="126">
        <f t="shared" si="2"/>
        <v>46076</v>
      </c>
      <c r="B57" s="118" t="str">
        <f t="shared" si="1"/>
        <v>fev/26</v>
      </c>
      <c r="C57" s="115" t="e">
        <f>SUMIFS([1]PRODUÇÃO!$F:$F,[1]PRODUÇÃO!$A:$A,$A57,[1]PRODUÇÃO!$H:$H,C$1)-SUMIFS('[1]Lastro infra'!$G:$G,'[1]Lastro infra'!$A:$A,$A57)</f>
        <v>#VALUE!</v>
      </c>
      <c r="D57" s="116" t="e">
        <f>SUMIFS([1]ENTREGA!$H:$H,[1]ENTREGA!$A:$A,$A57,[1]ENTREGA!$C:$C,C$1)</f>
        <v>#VALUE!</v>
      </c>
      <c r="E57" s="117"/>
      <c r="F57" s="115" t="e">
        <f>SUMIFS([1]PRODUÇÃO!$F:$F,[1]PRODUÇÃO!$A:$A,$A57,[1]PRODUÇÃO!$H:$H,F$1)-SUMIFS('[1]Lastro infra'!$G:$G,'[1]Lastro infra'!$A:$A,$A57)</f>
        <v>#VALUE!</v>
      </c>
      <c r="G57" s="116" t="e">
        <f>SUMIFS([1]ENTREGA!$H:$H,[1]ENTREGA!$A:$A,$A57,[1]ENTREGA!$C:$C,F$1)</f>
        <v>#VALUE!</v>
      </c>
      <c r="H57" s="117"/>
      <c r="I57" s="115">
        <v>0</v>
      </c>
      <c r="J57" s="116">
        <v>0</v>
      </c>
      <c r="K57" s="117"/>
      <c r="L57" s="127">
        <v>0</v>
      </c>
      <c r="M57" s="117"/>
      <c r="O57" s="99"/>
      <c r="P57" s="10"/>
      <c r="R57" s="10"/>
      <c r="S57" s="10"/>
      <c r="U57" s="10"/>
    </row>
    <row r="58" spans="1:21" x14ac:dyDescent="0.35">
      <c r="A58" s="126">
        <f t="shared" si="2"/>
        <v>46077</v>
      </c>
      <c r="B58" s="118" t="str">
        <f t="shared" si="1"/>
        <v>fev/26</v>
      </c>
      <c r="C58" s="115" t="e">
        <f>SUMIFS([1]PRODUÇÃO!$F:$F,[1]PRODUÇÃO!$A:$A,$A58,[1]PRODUÇÃO!$H:$H,C$1)-SUMIFS('[1]Lastro infra'!$G:$G,'[1]Lastro infra'!$A:$A,$A58)</f>
        <v>#VALUE!</v>
      </c>
      <c r="D58" s="116" t="e">
        <f>SUMIFS([1]ENTREGA!$H:$H,[1]ENTREGA!$A:$A,$A58,[1]ENTREGA!$C:$C,C$1)</f>
        <v>#VALUE!</v>
      </c>
      <c r="E58" s="117"/>
      <c r="F58" s="115" t="e">
        <f>SUMIFS([1]PRODUÇÃO!$F:$F,[1]PRODUÇÃO!$A:$A,$A58,[1]PRODUÇÃO!$H:$H,F$1)-SUMIFS('[1]Lastro infra'!$G:$G,'[1]Lastro infra'!$A:$A,$A58)</f>
        <v>#VALUE!</v>
      </c>
      <c r="G58" s="116" t="e">
        <f>SUMIFS([1]ENTREGA!$H:$H,[1]ENTREGA!$A:$A,$A58,[1]ENTREGA!$C:$C,F$1)</f>
        <v>#VALUE!</v>
      </c>
      <c r="H58" s="117"/>
      <c r="I58" s="115">
        <v>0</v>
      </c>
      <c r="J58" s="116">
        <v>0</v>
      </c>
      <c r="K58" s="117"/>
      <c r="L58" s="127">
        <v>0</v>
      </c>
      <c r="M58" s="117"/>
      <c r="O58" s="99"/>
      <c r="P58" s="10"/>
      <c r="R58" s="10"/>
      <c r="S58" s="10"/>
      <c r="U58" s="10"/>
    </row>
    <row r="59" spans="1:21" x14ac:dyDescent="0.35">
      <c r="A59" s="126">
        <f t="shared" si="2"/>
        <v>46078</v>
      </c>
      <c r="B59" s="118" t="str">
        <f t="shared" si="1"/>
        <v>fev/26</v>
      </c>
      <c r="C59" s="115" t="e">
        <f>SUMIFS([1]PRODUÇÃO!$F:$F,[1]PRODUÇÃO!$A:$A,$A59,[1]PRODUÇÃO!$H:$H,C$1)-SUMIFS('[1]Lastro infra'!$G:$G,'[1]Lastro infra'!$A:$A,$A59)</f>
        <v>#VALUE!</v>
      </c>
      <c r="D59" s="116" t="e">
        <f>SUMIFS([1]ENTREGA!$H:$H,[1]ENTREGA!$A:$A,$A59,[1]ENTREGA!$C:$C,C$1)</f>
        <v>#VALUE!</v>
      </c>
      <c r="E59" s="117"/>
      <c r="F59" s="115" t="e">
        <f>SUMIFS([1]PRODUÇÃO!$F:$F,[1]PRODUÇÃO!$A:$A,$A59,[1]PRODUÇÃO!$H:$H,F$1)-SUMIFS('[1]Lastro infra'!$G:$G,'[1]Lastro infra'!$A:$A,$A59)</f>
        <v>#VALUE!</v>
      </c>
      <c r="G59" s="116" t="e">
        <f>SUMIFS([1]ENTREGA!$H:$H,[1]ENTREGA!$A:$A,$A59,[1]ENTREGA!$C:$C,F$1)</f>
        <v>#VALUE!</v>
      </c>
      <c r="H59" s="117"/>
      <c r="I59" s="115">
        <v>0</v>
      </c>
      <c r="J59" s="116">
        <v>0</v>
      </c>
      <c r="K59" s="117"/>
      <c r="L59" s="127">
        <v>69.599999999999994</v>
      </c>
      <c r="M59" s="117"/>
      <c r="O59" s="99"/>
      <c r="P59" s="10"/>
      <c r="R59" s="10"/>
      <c r="S59" s="10"/>
      <c r="U59" s="10"/>
    </row>
    <row r="60" spans="1:21" x14ac:dyDescent="0.35">
      <c r="A60" s="126">
        <f t="shared" si="2"/>
        <v>46079</v>
      </c>
      <c r="B60" s="118" t="str">
        <f t="shared" si="1"/>
        <v>fev/26</v>
      </c>
      <c r="C60" s="115" t="e">
        <f>SUMIFS([1]PRODUÇÃO!$F:$F,[1]PRODUÇÃO!$A:$A,$A60,[1]PRODUÇÃO!$H:$H,C$1)-SUMIFS('[1]Lastro infra'!$G:$G,'[1]Lastro infra'!$A:$A,$A60)</f>
        <v>#VALUE!</v>
      </c>
      <c r="D60" s="116" t="e">
        <f>SUMIFS([1]ENTREGA!$H:$H,[1]ENTREGA!$A:$A,$A60,[1]ENTREGA!$C:$C,C$1)</f>
        <v>#VALUE!</v>
      </c>
      <c r="E60" s="117"/>
      <c r="F60" s="115" t="e">
        <f>SUMIFS([1]PRODUÇÃO!$F:$F,[1]PRODUÇÃO!$A:$A,$A60,[1]PRODUÇÃO!$H:$H,F$1)-SUMIFS('[1]Lastro infra'!$G:$G,'[1]Lastro infra'!$A:$A,$A60)</f>
        <v>#VALUE!</v>
      </c>
      <c r="G60" s="116" t="e">
        <f>SUMIFS([1]ENTREGA!$H:$H,[1]ENTREGA!$A:$A,$A60,[1]ENTREGA!$C:$C,F$1)</f>
        <v>#VALUE!</v>
      </c>
      <c r="H60" s="117"/>
      <c r="I60" s="115">
        <v>0</v>
      </c>
      <c r="J60" s="116">
        <v>0</v>
      </c>
      <c r="K60" s="117"/>
      <c r="L60" s="127">
        <v>0</v>
      </c>
      <c r="M60" s="117"/>
      <c r="O60" s="99"/>
      <c r="P60" s="10"/>
      <c r="R60" s="10"/>
      <c r="S60" s="10"/>
      <c r="U60" s="10"/>
    </row>
    <row r="61" spans="1:21" x14ac:dyDescent="0.35">
      <c r="A61" s="126">
        <f t="shared" si="2"/>
        <v>46080</v>
      </c>
      <c r="B61" s="118" t="str">
        <f t="shared" si="1"/>
        <v>fev/26</v>
      </c>
      <c r="C61" s="115" t="e">
        <f>SUMIFS([1]PRODUÇÃO!$F:$F,[1]PRODUÇÃO!$A:$A,$A61,[1]PRODUÇÃO!$H:$H,C$1)-SUMIFS('[1]Lastro infra'!$G:$G,'[1]Lastro infra'!$A:$A,$A61)</f>
        <v>#VALUE!</v>
      </c>
      <c r="D61" s="116" t="e">
        <f>SUMIFS([1]ENTREGA!$H:$H,[1]ENTREGA!$A:$A,$A61,[1]ENTREGA!$C:$C,C$1)</f>
        <v>#VALUE!</v>
      </c>
      <c r="E61" s="117"/>
      <c r="F61" s="115" t="e">
        <f>SUMIFS([1]PRODUÇÃO!$F:$F,[1]PRODUÇÃO!$A:$A,$A61,[1]PRODUÇÃO!$H:$H,F$1)-SUMIFS('[1]Lastro infra'!$G:$G,'[1]Lastro infra'!$A:$A,$A61)</f>
        <v>#VALUE!</v>
      </c>
      <c r="G61" s="116" t="e">
        <f>SUMIFS([1]ENTREGA!$H:$H,[1]ENTREGA!$A:$A,$A61,[1]ENTREGA!$C:$C,F$1)</f>
        <v>#VALUE!</v>
      </c>
      <c r="H61" s="117"/>
      <c r="I61" s="115">
        <v>0</v>
      </c>
      <c r="J61" s="116">
        <v>0</v>
      </c>
      <c r="K61" s="117"/>
      <c r="L61" s="127">
        <v>0</v>
      </c>
      <c r="M61" s="117"/>
      <c r="O61" s="99"/>
      <c r="P61" s="10"/>
      <c r="R61" s="10"/>
      <c r="S61" s="10"/>
      <c r="U61" s="10"/>
    </row>
    <row r="62" spans="1:21" x14ac:dyDescent="0.35">
      <c r="A62" s="126">
        <f t="shared" si="2"/>
        <v>46081</v>
      </c>
      <c r="B62" s="118" t="str">
        <f t="shared" si="1"/>
        <v>fev/26</v>
      </c>
      <c r="C62" s="115" t="e">
        <f>SUMIFS([1]PRODUÇÃO!$F:$F,[1]PRODUÇÃO!$A:$A,$A62,[1]PRODUÇÃO!$H:$H,C$1)-SUMIFS('[1]Lastro infra'!$G:$G,'[1]Lastro infra'!$A:$A,$A62)</f>
        <v>#VALUE!</v>
      </c>
      <c r="D62" s="116" t="e">
        <f>SUMIFS([1]ENTREGA!$H:$H,[1]ENTREGA!$A:$A,$A62,[1]ENTREGA!$C:$C,C$1)</f>
        <v>#VALUE!</v>
      </c>
      <c r="E62" s="117"/>
      <c r="F62" s="115" t="e">
        <f>SUMIFS([1]PRODUÇÃO!$F:$F,[1]PRODUÇÃO!$A:$A,$A62,[1]PRODUÇÃO!$H:$H,F$1)-SUMIFS('[1]Lastro infra'!$G:$G,'[1]Lastro infra'!$A:$A,$A62)</f>
        <v>#VALUE!</v>
      </c>
      <c r="G62" s="116" t="e">
        <f>SUMIFS([1]ENTREGA!$H:$H,[1]ENTREGA!$A:$A,$A62,[1]ENTREGA!$C:$C,F$1)</f>
        <v>#VALUE!</v>
      </c>
      <c r="H62" s="117"/>
      <c r="I62" s="115">
        <v>0</v>
      </c>
      <c r="J62" s="116">
        <v>0</v>
      </c>
      <c r="K62" s="117"/>
      <c r="L62" s="127">
        <v>0</v>
      </c>
      <c r="M62" s="117"/>
      <c r="O62" s="99"/>
      <c r="P62" s="10"/>
      <c r="R62" s="10"/>
      <c r="S62" s="10"/>
      <c r="U62" s="10"/>
    </row>
    <row r="63" spans="1:21" x14ac:dyDescent="0.35">
      <c r="A63" s="126">
        <f t="shared" si="2"/>
        <v>46082</v>
      </c>
      <c r="B63" s="118" t="str">
        <f t="shared" si="1"/>
        <v>mar/26</v>
      </c>
      <c r="C63" s="115" t="e">
        <f>SUMIFS([1]PRODUÇÃO!$F:$F,[1]PRODUÇÃO!$A:$A,$A63,[1]PRODUÇÃO!$H:$H,C$1)-SUMIFS('[1]Lastro infra'!$G:$G,'[1]Lastro infra'!$A:$A,$A63)</f>
        <v>#VALUE!</v>
      </c>
      <c r="D63" s="116" t="e">
        <f>SUMIFS([1]ENTREGA!$H:$H,[1]ENTREGA!$A:$A,$A63,[1]ENTREGA!$C:$C,C$1)</f>
        <v>#VALUE!</v>
      </c>
      <c r="E63" s="117"/>
      <c r="F63" s="115" t="e">
        <f>SUMIFS([1]PRODUÇÃO!$F:$F,[1]PRODUÇÃO!$A:$A,$A63,[1]PRODUÇÃO!$H:$H,F$1)-SUMIFS('[1]Lastro infra'!$G:$G,'[1]Lastro infra'!$A:$A,$A63)</f>
        <v>#VALUE!</v>
      </c>
      <c r="G63" s="116" t="e">
        <f>SUMIFS([1]ENTREGA!$H:$H,[1]ENTREGA!$A:$A,$A63,[1]ENTREGA!$C:$C,F$1)</f>
        <v>#VALUE!</v>
      </c>
      <c r="H63" s="117"/>
      <c r="I63" s="115">
        <v>0</v>
      </c>
      <c r="J63" s="116">
        <v>0</v>
      </c>
      <c r="K63" s="117"/>
      <c r="L63" s="127">
        <v>0</v>
      </c>
      <c r="M63" s="117"/>
      <c r="O63" s="99"/>
      <c r="P63" s="10"/>
      <c r="R63" s="10"/>
      <c r="S63" s="10"/>
      <c r="U63" s="10"/>
    </row>
    <row r="64" spans="1:21" x14ac:dyDescent="0.35">
      <c r="A64" s="126">
        <f t="shared" si="2"/>
        <v>46083</v>
      </c>
      <c r="B64" s="118" t="str">
        <f t="shared" si="1"/>
        <v>mar/26</v>
      </c>
      <c r="C64" s="115" t="e">
        <f>SUMIFS([1]PRODUÇÃO!$F:$F,[1]PRODUÇÃO!$A:$A,$A64,[1]PRODUÇÃO!$H:$H,C$1)-SUMIFS('[1]Lastro infra'!$G:$G,'[1]Lastro infra'!$A:$A,$A64)</f>
        <v>#VALUE!</v>
      </c>
      <c r="D64" s="116" t="e">
        <f>SUMIFS([1]ENTREGA!$H:$H,[1]ENTREGA!$A:$A,$A64,[1]ENTREGA!$C:$C,C$1)</f>
        <v>#VALUE!</v>
      </c>
      <c r="E64" s="117"/>
      <c r="F64" s="115" t="e">
        <f>SUMIFS([1]PRODUÇÃO!$F:$F,[1]PRODUÇÃO!$A:$A,$A64,[1]PRODUÇÃO!$H:$H,F$1)-SUMIFS('[1]Lastro infra'!$G:$G,'[1]Lastro infra'!$A:$A,$A64)</f>
        <v>#VALUE!</v>
      </c>
      <c r="G64" s="116" t="e">
        <f>SUMIFS([1]ENTREGA!$H:$H,[1]ENTREGA!$A:$A,$A64,[1]ENTREGA!$C:$C,F$1)</f>
        <v>#VALUE!</v>
      </c>
      <c r="H64" s="117"/>
      <c r="I64" s="115">
        <v>0</v>
      </c>
      <c r="J64" s="116">
        <v>0</v>
      </c>
      <c r="K64" s="117"/>
      <c r="L64" s="127">
        <v>174</v>
      </c>
      <c r="M64" s="117"/>
      <c r="O64" s="99"/>
      <c r="P64" s="10"/>
      <c r="R64" s="10"/>
      <c r="S64" s="10"/>
      <c r="U64" s="10"/>
    </row>
    <row r="65" spans="1:21" x14ac:dyDescent="0.35">
      <c r="A65" s="126">
        <f t="shared" si="2"/>
        <v>46084</v>
      </c>
      <c r="B65" s="118" t="str">
        <f t="shared" si="1"/>
        <v>mar/26</v>
      </c>
      <c r="C65" s="115" t="e">
        <f>SUMIFS([1]PRODUÇÃO!$F:$F,[1]PRODUÇÃO!$A:$A,$A65,[1]PRODUÇÃO!$H:$H,C$1)-SUMIFS('[1]Lastro infra'!$G:$G,'[1]Lastro infra'!$A:$A,$A65)</f>
        <v>#VALUE!</v>
      </c>
      <c r="D65" s="116" t="e">
        <f>SUMIFS([1]ENTREGA!$H:$H,[1]ENTREGA!$A:$A,$A65,[1]ENTREGA!$C:$C,C$1)</f>
        <v>#VALUE!</v>
      </c>
      <c r="E65" s="117"/>
      <c r="F65" s="115" t="e">
        <f>SUMIFS([1]PRODUÇÃO!$F:$F,[1]PRODUÇÃO!$A:$A,$A65,[1]PRODUÇÃO!$H:$H,F$1)-SUMIFS('[1]Lastro infra'!$G:$G,'[1]Lastro infra'!$A:$A,$A65)</f>
        <v>#VALUE!</v>
      </c>
      <c r="G65" s="116" t="e">
        <f>SUMIFS([1]ENTREGA!$H:$H,[1]ENTREGA!$A:$A,$A65,[1]ENTREGA!$C:$C,F$1)</f>
        <v>#VALUE!</v>
      </c>
      <c r="H65" s="117"/>
      <c r="I65" s="115">
        <v>0</v>
      </c>
      <c r="J65" s="116">
        <v>0</v>
      </c>
      <c r="K65" s="117"/>
      <c r="L65" s="127">
        <v>52.199999999999996</v>
      </c>
      <c r="M65" s="117"/>
      <c r="O65" s="99"/>
      <c r="P65" s="10"/>
      <c r="R65" s="10"/>
      <c r="S65" s="10"/>
      <c r="U65" s="10"/>
    </row>
    <row r="66" spans="1:21" x14ac:dyDescent="0.35">
      <c r="A66" s="126">
        <f t="shared" si="2"/>
        <v>46085</v>
      </c>
      <c r="B66" s="118" t="str">
        <f t="shared" si="1"/>
        <v>mar/26</v>
      </c>
      <c r="C66" s="115" t="e">
        <f>SUMIFS([1]PRODUÇÃO!$F:$F,[1]PRODUÇÃO!$A:$A,$A66,[1]PRODUÇÃO!$H:$H,C$1)-SUMIFS('[1]Lastro infra'!$G:$G,'[1]Lastro infra'!$A:$A,$A66)</f>
        <v>#VALUE!</v>
      </c>
      <c r="D66" s="116" t="e">
        <f>SUMIFS([1]ENTREGA!$H:$H,[1]ENTREGA!$A:$A,$A66,[1]ENTREGA!$C:$C,C$1)</f>
        <v>#VALUE!</v>
      </c>
      <c r="E66" s="117"/>
      <c r="F66" s="115" t="e">
        <f>SUMIFS([1]PRODUÇÃO!$F:$F,[1]PRODUÇÃO!$A:$A,$A66,[1]PRODUÇÃO!$H:$H,F$1)-SUMIFS('[1]Lastro infra'!$G:$G,'[1]Lastro infra'!$A:$A,$A66)</f>
        <v>#VALUE!</v>
      </c>
      <c r="G66" s="116" t="e">
        <f>SUMIFS([1]ENTREGA!$H:$H,[1]ENTREGA!$A:$A,$A66,[1]ENTREGA!$C:$C,F$1)</f>
        <v>#VALUE!</v>
      </c>
      <c r="H66" s="117"/>
      <c r="I66" s="115">
        <v>0</v>
      </c>
      <c r="J66" s="116">
        <v>0</v>
      </c>
      <c r="K66" s="117"/>
      <c r="L66" s="127">
        <v>522</v>
      </c>
      <c r="M66" s="117"/>
      <c r="O66" s="99"/>
      <c r="P66" s="10"/>
      <c r="R66" s="10"/>
      <c r="S66" s="10"/>
      <c r="U66" s="10"/>
    </row>
    <row r="67" spans="1:21" x14ac:dyDescent="0.35">
      <c r="A67" s="126">
        <f t="shared" si="2"/>
        <v>46086</v>
      </c>
      <c r="B67" s="118" t="str">
        <f t="shared" si="1"/>
        <v>mar/26</v>
      </c>
      <c r="C67" s="115" t="e">
        <f>SUMIFS([1]PRODUÇÃO!$F:$F,[1]PRODUÇÃO!$A:$A,$A67,[1]PRODUÇÃO!$H:$H,C$1)-SUMIFS('[1]Lastro infra'!$G:$G,'[1]Lastro infra'!$A:$A,$A67)</f>
        <v>#VALUE!</v>
      </c>
      <c r="D67" s="116" t="e">
        <f>SUMIFS([1]ENTREGA!$H:$H,[1]ENTREGA!$A:$A,$A67,[1]ENTREGA!$C:$C,C$1)</f>
        <v>#VALUE!</v>
      </c>
      <c r="E67" s="117"/>
      <c r="F67" s="115" t="e">
        <f>SUMIFS([1]PRODUÇÃO!$F:$F,[1]PRODUÇÃO!$A:$A,$A67,[1]PRODUÇÃO!$H:$H,F$1)-SUMIFS('[1]Lastro infra'!$G:$G,'[1]Lastro infra'!$A:$A,$A67)</f>
        <v>#VALUE!</v>
      </c>
      <c r="G67" s="116" t="e">
        <f>SUMIFS([1]ENTREGA!$H:$H,[1]ENTREGA!$A:$A,$A67,[1]ENTREGA!$C:$C,F$1)</f>
        <v>#VALUE!</v>
      </c>
      <c r="H67" s="117"/>
      <c r="I67" s="115">
        <v>0</v>
      </c>
      <c r="J67" s="116">
        <v>0</v>
      </c>
      <c r="K67" s="117"/>
      <c r="L67" s="127">
        <v>991.8</v>
      </c>
      <c r="M67" s="117"/>
      <c r="O67" s="99"/>
      <c r="P67" s="10"/>
      <c r="R67" s="10"/>
      <c r="S67" s="10"/>
      <c r="U67" s="10"/>
    </row>
    <row r="68" spans="1:21" x14ac:dyDescent="0.35">
      <c r="A68" s="126">
        <f t="shared" si="2"/>
        <v>46087</v>
      </c>
      <c r="B68" s="118" t="str">
        <f t="shared" si="1"/>
        <v>mar/26</v>
      </c>
      <c r="C68" s="115" t="e">
        <f>SUMIFS([1]PRODUÇÃO!$F:$F,[1]PRODUÇÃO!$A:$A,$A68,[1]PRODUÇÃO!$H:$H,C$1)-SUMIFS('[1]Lastro infra'!$G:$G,'[1]Lastro infra'!$A:$A,$A68)</f>
        <v>#VALUE!</v>
      </c>
      <c r="D68" s="116" t="e">
        <f>SUMIFS([1]ENTREGA!$H:$H,[1]ENTREGA!$A:$A,$A68,[1]ENTREGA!$C:$C,C$1)</f>
        <v>#VALUE!</v>
      </c>
      <c r="E68" s="117"/>
      <c r="F68" s="115" t="e">
        <f>SUMIFS([1]PRODUÇÃO!$F:$F,[1]PRODUÇÃO!$A:$A,$A68,[1]PRODUÇÃO!$H:$H,F$1)-SUMIFS('[1]Lastro infra'!$G:$G,'[1]Lastro infra'!$A:$A,$A68)</f>
        <v>#VALUE!</v>
      </c>
      <c r="G68" s="116" t="e">
        <f>SUMIFS([1]ENTREGA!$H:$H,[1]ENTREGA!$A:$A,$A68,[1]ENTREGA!$C:$C,F$1)</f>
        <v>#VALUE!</v>
      </c>
      <c r="H68" s="117"/>
      <c r="I68" s="115">
        <v>0</v>
      </c>
      <c r="J68" s="116">
        <v>0</v>
      </c>
      <c r="K68" s="117"/>
      <c r="L68" s="127">
        <v>134.85</v>
      </c>
      <c r="M68" s="117"/>
      <c r="O68" s="99"/>
      <c r="P68" s="10"/>
      <c r="R68" s="10"/>
      <c r="S68" s="10"/>
      <c r="U68" s="10"/>
    </row>
    <row r="69" spans="1:21" x14ac:dyDescent="0.35">
      <c r="A69" s="126">
        <f t="shared" si="2"/>
        <v>46088</v>
      </c>
      <c r="B69" s="118" t="str">
        <f t="shared" ref="B69:B132" si="3">TEXT(A69,"MMM/AA")</f>
        <v>mar/26</v>
      </c>
      <c r="C69" s="115" t="e">
        <f>SUMIFS([1]PRODUÇÃO!$F:$F,[1]PRODUÇÃO!$A:$A,$A69,[1]PRODUÇÃO!$H:$H,C$1)-SUMIFS('[1]Lastro infra'!$G:$G,'[1]Lastro infra'!$A:$A,$A69)</f>
        <v>#VALUE!</v>
      </c>
      <c r="D69" s="116" t="e">
        <f>SUMIFS([1]ENTREGA!$H:$H,[1]ENTREGA!$A:$A,$A69,[1]ENTREGA!$C:$C,C$1)</f>
        <v>#VALUE!</v>
      </c>
      <c r="E69" s="117"/>
      <c r="F69" s="115" t="e">
        <f>SUMIFS([1]PRODUÇÃO!$F:$F,[1]PRODUÇÃO!$A:$A,$A69,[1]PRODUÇÃO!$H:$H,F$1)-SUMIFS('[1]Lastro infra'!$G:$G,'[1]Lastro infra'!$A:$A,$A69)</f>
        <v>#VALUE!</v>
      </c>
      <c r="G69" s="116" t="e">
        <f>SUMIFS([1]ENTREGA!$H:$H,[1]ENTREGA!$A:$A,$A69,[1]ENTREGA!$C:$C,F$1)</f>
        <v>#VALUE!</v>
      </c>
      <c r="H69" s="117"/>
      <c r="I69" s="115">
        <v>0</v>
      </c>
      <c r="J69" s="116">
        <v>0</v>
      </c>
      <c r="K69" s="117"/>
      <c r="L69" s="127">
        <v>0</v>
      </c>
      <c r="M69" s="117"/>
      <c r="O69" s="99"/>
      <c r="P69" s="10"/>
      <c r="R69" s="10"/>
      <c r="S69" s="10"/>
      <c r="U69" s="10"/>
    </row>
    <row r="70" spans="1:21" x14ac:dyDescent="0.35">
      <c r="A70" s="126">
        <f t="shared" ref="A70:A106" si="4">A69+1</f>
        <v>46089</v>
      </c>
      <c r="B70" s="118" t="str">
        <f t="shared" si="3"/>
        <v>mar/26</v>
      </c>
      <c r="C70" s="115" t="e">
        <f>SUMIFS([1]PRODUÇÃO!$F:$F,[1]PRODUÇÃO!$A:$A,$A70,[1]PRODUÇÃO!$H:$H,C$1)-SUMIFS('[1]Lastro infra'!$G:$G,'[1]Lastro infra'!$A:$A,$A70)</f>
        <v>#VALUE!</v>
      </c>
      <c r="D70" s="116" t="e">
        <f>SUMIFS([1]ENTREGA!$H:$H,[1]ENTREGA!$A:$A,$A70,[1]ENTREGA!$C:$C,C$1)</f>
        <v>#VALUE!</v>
      </c>
      <c r="E70" s="117"/>
      <c r="F70" s="115" t="e">
        <f>SUMIFS([1]PRODUÇÃO!$F:$F,[1]PRODUÇÃO!$A:$A,$A70,[1]PRODUÇÃO!$H:$H,F$1)-SUMIFS('[1]Lastro infra'!$G:$G,'[1]Lastro infra'!$A:$A,$A70)</f>
        <v>#VALUE!</v>
      </c>
      <c r="G70" s="116" t="e">
        <f>SUMIFS([1]ENTREGA!$H:$H,[1]ENTREGA!$A:$A,$A70,[1]ENTREGA!$C:$C,F$1)</f>
        <v>#VALUE!</v>
      </c>
      <c r="H70" s="117"/>
      <c r="I70" s="115">
        <v>0</v>
      </c>
      <c r="J70" s="116">
        <v>0</v>
      </c>
      <c r="K70" s="117"/>
      <c r="L70" s="127">
        <v>0</v>
      </c>
      <c r="M70" s="117"/>
      <c r="O70" s="99"/>
      <c r="P70" s="10"/>
      <c r="R70" s="10"/>
      <c r="S70" s="10"/>
      <c r="U70" s="10"/>
    </row>
    <row r="71" spans="1:21" x14ac:dyDescent="0.35">
      <c r="A71" s="126">
        <f t="shared" si="4"/>
        <v>46090</v>
      </c>
      <c r="B71" s="118" t="str">
        <f t="shared" si="3"/>
        <v>mar/26</v>
      </c>
      <c r="C71" s="115" t="e">
        <f>SUMIFS([1]PRODUÇÃO!$F:$F,[1]PRODUÇÃO!$A:$A,$A71,[1]PRODUÇÃO!$H:$H,C$1)-SUMIFS('[1]Lastro infra'!$G:$G,'[1]Lastro infra'!$A:$A,$A71)</f>
        <v>#VALUE!</v>
      </c>
      <c r="D71" s="116" t="e">
        <f>SUMIFS([1]ENTREGA!$H:$H,[1]ENTREGA!$A:$A,$A71,[1]ENTREGA!$C:$C,C$1)</f>
        <v>#VALUE!</v>
      </c>
      <c r="E71" s="117"/>
      <c r="F71" s="115" t="e">
        <f>SUMIFS([1]PRODUÇÃO!$F:$F,[1]PRODUÇÃO!$A:$A,$A71,[1]PRODUÇÃO!$H:$H,F$1)-SUMIFS('[1]Lastro infra'!$G:$G,'[1]Lastro infra'!$A:$A,$A71)</f>
        <v>#VALUE!</v>
      </c>
      <c r="G71" s="116" t="e">
        <f>SUMIFS([1]ENTREGA!$H:$H,[1]ENTREGA!$A:$A,$A71,[1]ENTREGA!$C:$C,F$1)</f>
        <v>#VALUE!</v>
      </c>
      <c r="H71" s="117"/>
      <c r="I71" s="115">
        <v>0</v>
      </c>
      <c r="J71" s="116">
        <v>0</v>
      </c>
      <c r="K71" s="117"/>
      <c r="L71" s="127">
        <v>0</v>
      </c>
      <c r="M71" s="117"/>
      <c r="O71" s="99"/>
      <c r="P71" s="10"/>
      <c r="R71" s="10"/>
      <c r="S71" s="10"/>
      <c r="U71" s="10"/>
    </row>
    <row r="72" spans="1:21" x14ac:dyDescent="0.35">
      <c r="A72" s="126">
        <f t="shared" si="4"/>
        <v>46091</v>
      </c>
      <c r="B72" s="118" t="str">
        <f t="shared" si="3"/>
        <v>mar/26</v>
      </c>
      <c r="C72" s="115" t="e">
        <f>SUMIFS([1]PRODUÇÃO!$F:$F,[1]PRODUÇÃO!$A:$A,$A72,[1]PRODUÇÃO!$H:$H,C$1)-SUMIFS('[1]Lastro infra'!$G:$G,'[1]Lastro infra'!$A:$A,$A72)</f>
        <v>#VALUE!</v>
      </c>
      <c r="D72" s="116" t="e">
        <f>SUMIFS([1]ENTREGA!$H:$H,[1]ENTREGA!$A:$A,$A72,[1]ENTREGA!$C:$C,C$1)</f>
        <v>#VALUE!</v>
      </c>
      <c r="E72" s="117"/>
      <c r="F72" s="115" t="e">
        <f>SUMIFS([1]PRODUÇÃO!$F:$F,[1]PRODUÇÃO!$A:$A,$A72,[1]PRODUÇÃO!$H:$H,F$1)-SUMIFS('[1]Lastro infra'!$G:$G,'[1]Lastro infra'!$A:$A,$A72)</f>
        <v>#VALUE!</v>
      </c>
      <c r="G72" s="116" t="e">
        <f>SUMIFS([1]ENTREGA!$H:$H,[1]ENTREGA!$A:$A,$A72,[1]ENTREGA!$C:$C,F$1)</f>
        <v>#VALUE!</v>
      </c>
      <c r="H72" s="117"/>
      <c r="I72" s="115">
        <v>0</v>
      </c>
      <c r="J72" s="116">
        <v>0</v>
      </c>
      <c r="K72" s="117"/>
      <c r="L72" s="127">
        <v>0</v>
      </c>
      <c r="M72" s="117"/>
      <c r="O72" s="99"/>
      <c r="P72" s="10"/>
      <c r="R72" s="10"/>
      <c r="S72" s="10"/>
      <c r="U72" s="10"/>
    </row>
    <row r="73" spans="1:21" x14ac:dyDescent="0.35">
      <c r="A73" s="126">
        <f t="shared" si="4"/>
        <v>46092</v>
      </c>
      <c r="B73" s="118" t="str">
        <f t="shared" si="3"/>
        <v>mar/26</v>
      </c>
      <c r="C73" s="115" t="e">
        <f>SUMIFS([1]PRODUÇÃO!$F:$F,[1]PRODUÇÃO!$A:$A,$A73,[1]PRODUÇÃO!$H:$H,C$1)-SUMIFS('[1]Lastro infra'!$G:$G,'[1]Lastro infra'!$A:$A,$A73)</f>
        <v>#VALUE!</v>
      </c>
      <c r="D73" s="116" t="e">
        <f>SUMIFS([1]ENTREGA!$H:$H,[1]ENTREGA!$A:$A,$A73,[1]ENTREGA!$C:$C,C$1)</f>
        <v>#VALUE!</v>
      </c>
      <c r="E73" s="117"/>
      <c r="F73" s="115" t="e">
        <f>SUMIFS([1]PRODUÇÃO!$F:$F,[1]PRODUÇÃO!$A:$A,$A73,[1]PRODUÇÃO!$H:$H,F$1)-SUMIFS('[1]Lastro infra'!$G:$G,'[1]Lastro infra'!$A:$A,$A73)</f>
        <v>#VALUE!</v>
      </c>
      <c r="G73" s="116" t="e">
        <f>SUMIFS([1]ENTREGA!$H:$H,[1]ENTREGA!$A:$A,$A73,[1]ENTREGA!$C:$C,F$1)</f>
        <v>#VALUE!</v>
      </c>
      <c r="H73" s="117"/>
      <c r="I73" s="115">
        <v>0</v>
      </c>
      <c r="J73" s="116">
        <v>0</v>
      </c>
      <c r="K73" s="117"/>
      <c r="L73" s="127">
        <v>40.6</v>
      </c>
      <c r="M73" s="117"/>
      <c r="O73" s="99"/>
      <c r="P73" s="10"/>
      <c r="R73" s="10"/>
      <c r="S73" s="10"/>
      <c r="U73" s="10"/>
    </row>
    <row r="74" spans="1:21" x14ac:dyDescent="0.35">
      <c r="A74" s="126">
        <f t="shared" si="4"/>
        <v>46093</v>
      </c>
      <c r="B74" s="118" t="str">
        <f t="shared" si="3"/>
        <v>mar/26</v>
      </c>
      <c r="C74" s="115" t="e">
        <f>SUMIFS([1]PRODUÇÃO!$F:$F,[1]PRODUÇÃO!$A:$A,$A74,[1]PRODUÇÃO!$H:$H,C$1)-SUMIFS('[1]Lastro infra'!$G:$G,'[1]Lastro infra'!$A:$A,$A74)</f>
        <v>#VALUE!</v>
      </c>
      <c r="D74" s="116" t="e">
        <f>SUMIFS([1]ENTREGA!$H:$H,[1]ENTREGA!$A:$A,$A74,[1]ENTREGA!$C:$C,C$1)</f>
        <v>#VALUE!</v>
      </c>
      <c r="E74" s="117"/>
      <c r="F74" s="115" t="e">
        <f>SUMIFS([1]PRODUÇÃO!$F:$F,[1]PRODUÇÃO!$A:$A,$A74,[1]PRODUÇÃO!$H:$H,F$1)-SUMIFS('[1]Lastro infra'!$G:$G,'[1]Lastro infra'!$A:$A,$A74)</f>
        <v>#VALUE!</v>
      </c>
      <c r="G74" s="116" t="e">
        <f>SUMIFS([1]ENTREGA!$H:$H,[1]ENTREGA!$A:$A,$A74,[1]ENTREGA!$C:$C,F$1)</f>
        <v>#VALUE!</v>
      </c>
      <c r="H74" s="117"/>
      <c r="I74" s="115">
        <v>0</v>
      </c>
      <c r="J74" s="116">
        <v>0</v>
      </c>
      <c r="K74" s="117"/>
      <c r="L74" s="127">
        <v>0</v>
      </c>
      <c r="M74" s="117"/>
      <c r="O74" s="99"/>
      <c r="P74" s="10"/>
      <c r="R74" s="10"/>
      <c r="S74" s="10"/>
      <c r="U74" s="10"/>
    </row>
    <row r="75" spans="1:21" x14ac:dyDescent="0.35">
      <c r="A75" s="126">
        <f t="shared" si="4"/>
        <v>46094</v>
      </c>
      <c r="B75" s="118" t="str">
        <f t="shared" si="3"/>
        <v>mar/26</v>
      </c>
      <c r="C75" s="115" t="e">
        <f>SUMIFS([1]PRODUÇÃO!$F:$F,[1]PRODUÇÃO!$A:$A,$A75,[1]PRODUÇÃO!$H:$H,C$1)-SUMIFS('[1]Lastro infra'!$G:$G,'[1]Lastro infra'!$A:$A,$A75)</f>
        <v>#VALUE!</v>
      </c>
      <c r="D75" s="116" t="e">
        <f>SUMIFS([1]ENTREGA!$H:$H,[1]ENTREGA!$A:$A,$A75,[1]ENTREGA!$C:$C,C$1)</f>
        <v>#VALUE!</v>
      </c>
      <c r="E75" s="117"/>
      <c r="F75" s="115" t="e">
        <f>SUMIFS([1]PRODUÇÃO!$F:$F,[1]PRODUÇÃO!$A:$A,$A75,[1]PRODUÇÃO!$H:$H,F$1)-SUMIFS('[1]Lastro infra'!$G:$G,'[1]Lastro infra'!$A:$A,$A75)</f>
        <v>#VALUE!</v>
      </c>
      <c r="G75" s="116" t="e">
        <f>SUMIFS([1]ENTREGA!$H:$H,[1]ENTREGA!$A:$A,$A75,[1]ENTREGA!$C:$C,F$1)</f>
        <v>#VALUE!</v>
      </c>
      <c r="H75" s="117"/>
      <c r="I75" s="115">
        <v>0</v>
      </c>
      <c r="J75" s="116">
        <v>0</v>
      </c>
      <c r="K75" s="117"/>
      <c r="L75" s="127">
        <v>3288.6</v>
      </c>
      <c r="M75" s="117"/>
      <c r="O75" s="99"/>
      <c r="P75" s="10"/>
      <c r="R75" s="10"/>
      <c r="S75" s="10"/>
      <c r="U75" s="10"/>
    </row>
    <row r="76" spans="1:21" x14ac:dyDescent="0.35">
      <c r="A76" s="126">
        <f t="shared" si="4"/>
        <v>46095</v>
      </c>
      <c r="B76" s="118" t="str">
        <f t="shared" si="3"/>
        <v>mar/26</v>
      </c>
      <c r="C76" s="115" t="e">
        <f>SUMIFS([1]PRODUÇÃO!$F:$F,[1]PRODUÇÃO!$A:$A,$A76,[1]PRODUÇÃO!$H:$H,C$1)-SUMIFS('[1]Lastro infra'!$G:$G,'[1]Lastro infra'!$A:$A,$A76)</f>
        <v>#VALUE!</v>
      </c>
      <c r="D76" s="116" t="e">
        <f>SUMIFS([1]ENTREGA!$H:$H,[1]ENTREGA!$A:$A,$A76,[1]ENTREGA!$C:$C,C$1)</f>
        <v>#VALUE!</v>
      </c>
      <c r="E76" s="117"/>
      <c r="F76" s="115" t="e">
        <f>SUMIFS([1]PRODUÇÃO!$F:$F,[1]PRODUÇÃO!$A:$A,$A76,[1]PRODUÇÃO!$H:$H,F$1)-SUMIFS('[1]Lastro infra'!$G:$G,'[1]Lastro infra'!$A:$A,$A76)</f>
        <v>#VALUE!</v>
      </c>
      <c r="G76" s="116" t="e">
        <f>SUMIFS([1]ENTREGA!$H:$H,[1]ENTREGA!$A:$A,$A76,[1]ENTREGA!$C:$C,F$1)</f>
        <v>#VALUE!</v>
      </c>
      <c r="H76" s="117"/>
      <c r="I76" s="115">
        <v>0</v>
      </c>
      <c r="J76" s="116">
        <v>0</v>
      </c>
      <c r="K76" s="117"/>
      <c r="L76" s="127">
        <v>40.6</v>
      </c>
      <c r="M76" s="117"/>
      <c r="O76" s="99"/>
      <c r="P76" s="10"/>
      <c r="R76" s="10"/>
      <c r="S76" s="10"/>
      <c r="U76" s="10"/>
    </row>
    <row r="77" spans="1:21" x14ac:dyDescent="0.35">
      <c r="A77" s="126">
        <f t="shared" si="4"/>
        <v>46096</v>
      </c>
      <c r="B77" s="118" t="str">
        <f t="shared" si="3"/>
        <v>mar/26</v>
      </c>
      <c r="C77" s="115" t="e">
        <f>SUMIFS([1]PRODUÇÃO!$F:$F,[1]PRODUÇÃO!$A:$A,$A77,[1]PRODUÇÃO!$H:$H,C$1)-SUMIFS('[1]Lastro infra'!$G:$G,'[1]Lastro infra'!$A:$A,$A77)</f>
        <v>#VALUE!</v>
      </c>
      <c r="D77" s="116" t="e">
        <f>SUMIFS([1]ENTREGA!$H:$H,[1]ENTREGA!$A:$A,$A77,[1]ENTREGA!$C:$C,C$1)</f>
        <v>#VALUE!</v>
      </c>
      <c r="E77" s="117"/>
      <c r="F77" s="115" t="e">
        <f>SUMIFS([1]PRODUÇÃO!$F:$F,[1]PRODUÇÃO!$A:$A,$A77,[1]PRODUÇÃO!$H:$H,F$1)-SUMIFS('[1]Lastro infra'!$G:$G,'[1]Lastro infra'!$A:$A,$A77)</f>
        <v>#VALUE!</v>
      </c>
      <c r="G77" s="116" t="e">
        <f>SUMIFS([1]ENTREGA!$H:$H,[1]ENTREGA!$A:$A,$A77,[1]ENTREGA!$C:$C,F$1)</f>
        <v>#VALUE!</v>
      </c>
      <c r="H77" s="117"/>
      <c r="I77" s="115">
        <v>0</v>
      </c>
      <c r="J77" s="116">
        <v>0</v>
      </c>
      <c r="K77" s="117"/>
      <c r="L77" s="127">
        <v>0</v>
      </c>
      <c r="M77" s="117"/>
      <c r="O77" s="99"/>
      <c r="P77" s="10"/>
      <c r="R77" s="10"/>
      <c r="S77" s="10"/>
      <c r="U77" s="10"/>
    </row>
    <row r="78" spans="1:21" x14ac:dyDescent="0.35">
      <c r="A78" s="126">
        <f t="shared" si="4"/>
        <v>46097</v>
      </c>
      <c r="B78" s="118" t="str">
        <f t="shared" si="3"/>
        <v>mar/26</v>
      </c>
      <c r="C78" s="115" t="e">
        <f>SUMIFS([1]PRODUÇÃO!$F:$F,[1]PRODUÇÃO!$A:$A,$A78,[1]PRODUÇÃO!$H:$H,C$1)-SUMIFS('[1]Lastro infra'!$G:$G,'[1]Lastro infra'!$A:$A,$A78)</f>
        <v>#VALUE!</v>
      </c>
      <c r="D78" s="116" t="e">
        <f>SUMIFS([1]ENTREGA!$H:$H,[1]ENTREGA!$A:$A,$A78,[1]ENTREGA!$C:$C,C$1)</f>
        <v>#VALUE!</v>
      </c>
      <c r="E78" s="117"/>
      <c r="F78" s="115" t="e">
        <f>SUMIFS([1]PRODUÇÃO!$F:$F,[1]PRODUÇÃO!$A:$A,$A78,[1]PRODUÇÃO!$H:$H,F$1)-SUMIFS('[1]Lastro infra'!$G:$G,'[1]Lastro infra'!$A:$A,$A78)</f>
        <v>#VALUE!</v>
      </c>
      <c r="G78" s="116" t="e">
        <f>SUMIFS([1]ENTREGA!$H:$H,[1]ENTREGA!$A:$A,$A78,[1]ENTREGA!$C:$C,F$1)</f>
        <v>#VALUE!</v>
      </c>
      <c r="H78" s="117"/>
      <c r="I78" s="115">
        <v>0</v>
      </c>
      <c r="J78" s="116">
        <v>0</v>
      </c>
      <c r="K78" s="117"/>
      <c r="L78" s="127">
        <v>110.19999999999999</v>
      </c>
      <c r="M78" s="117"/>
      <c r="O78" s="99"/>
      <c r="P78" s="10"/>
      <c r="R78" s="10"/>
      <c r="S78" s="10"/>
      <c r="U78" s="10"/>
    </row>
    <row r="79" spans="1:21" x14ac:dyDescent="0.35">
      <c r="A79" s="126">
        <f t="shared" si="4"/>
        <v>46098</v>
      </c>
      <c r="B79" s="118" t="str">
        <f t="shared" si="3"/>
        <v>mar/26</v>
      </c>
      <c r="C79" s="115" t="e">
        <f>SUMIFS([1]PRODUÇÃO!$F:$F,[1]PRODUÇÃO!$A:$A,$A79,[1]PRODUÇÃO!$H:$H,C$1)-SUMIFS('[1]Lastro infra'!$G:$G,'[1]Lastro infra'!$A:$A,$A79)</f>
        <v>#VALUE!</v>
      </c>
      <c r="D79" s="116" t="e">
        <f>SUMIFS([1]ENTREGA!$H:$H,[1]ENTREGA!$A:$A,$A79,[1]ENTREGA!$C:$C,C$1)</f>
        <v>#VALUE!</v>
      </c>
      <c r="E79" s="117"/>
      <c r="F79" s="115" t="e">
        <f>SUMIFS([1]PRODUÇÃO!$F:$F,[1]PRODUÇÃO!$A:$A,$A79,[1]PRODUÇÃO!$H:$H,F$1)-SUMIFS('[1]Lastro infra'!$G:$G,'[1]Lastro infra'!$A:$A,$A79)</f>
        <v>#VALUE!</v>
      </c>
      <c r="G79" s="116" t="e">
        <f>SUMIFS([1]ENTREGA!$H:$H,[1]ENTREGA!$A:$A,$A79,[1]ENTREGA!$C:$C,F$1)</f>
        <v>#VALUE!</v>
      </c>
      <c r="H79" s="117"/>
      <c r="I79" s="115">
        <v>0</v>
      </c>
      <c r="J79" s="116">
        <v>0</v>
      </c>
      <c r="K79" s="117"/>
      <c r="L79" s="127">
        <v>1644.3</v>
      </c>
      <c r="M79" s="117"/>
      <c r="O79" s="99"/>
      <c r="P79" s="10"/>
      <c r="R79" s="10"/>
      <c r="S79" s="10"/>
      <c r="U79" s="10"/>
    </row>
    <row r="80" spans="1:21" x14ac:dyDescent="0.35">
      <c r="A80" s="126">
        <f t="shared" si="4"/>
        <v>46099</v>
      </c>
      <c r="B80" s="118" t="str">
        <f t="shared" si="3"/>
        <v>mar/26</v>
      </c>
      <c r="C80" s="115" t="e">
        <f>SUMIFS([1]PRODUÇÃO!$F:$F,[1]PRODUÇÃO!$A:$A,$A80,[1]PRODUÇÃO!$H:$H,C$1)-SUMIFS('[1]Lastro infra'!$G:$G,'[1]Lastro infra'!$A:$A,$A80)</f>
        <v>#VALUE!</v>
      </c>
      <c r="D80" s="116" t="e">
        <f>SUMIFS([1]ENTREGA!$H:$H,[1]ENTREGA!$A:$A,$A80,[1]ENTREGA!$C:$C,C$1)</f>
        <v>#VALUE!</v>
      </c>
      <c r="E80" s="117"/>
      <c r="F80" s="115" t="e">
        <f>SUMIFS([1]PRODUÇÃO!$F:$F,[1]PRODUÇÃO!$A:$A,$A80,[1]PRODUÇÃO!$H:$H,F$1)-SUMIFS('[1]Lastro infra'!$G:$G,'[1]Lastro infra'!$A:$A,$A80)</f>
        <v>#VALUE!</v>
      </c>
      <c r="G80" s="116" t="e">
        <f>SUMIFS([1]ENTREGA!$H:$H,[1]ENTREGA!$A:$A,$A80,[1]ENTREGA!$C:$C,F$1)</f>
        <v>#VALUE!</v>
      </c>
      <c r="H80" s="117"/>
      <c r="I80" s="115">
        <v>0</v>
      </c>
      <c r="J80" s="116">
        <v>0</v>
      </c>
      <c r="K80" s="117"/>
      <c r="L80" s="127">
        <v>0</v>
      </c>
      <c r="M80" s="117"/>
      <c r="O80" s="99"/>
      <c r="P80" s="10"/>
      <c r="R80" s="10"/>
      <c r="S80" s="10"/>
      <c r="U80" s="10"/>
    </row>
    <row r="81" spans="1:21" x14ac:dyDescent="0.35">
      <c r="A81" s="126">
        <f t="shared" si="4"/>
        <v>46100</v>
      </c>
      <c r="B81" s="118" t="str">
        <f t="shared" si="3"/>
        <v>mar/26</v>
      </c>
      <c r="C81" s="115" t="e">
        <f>SUMIFS([1]PRODUÇÃO!$F:$F,[1]PRODUÇÃO!$A:$A,$A81,[1]PRODUÇÃO!$H:$H,C$1)-SUMIFS('[1]Lastro infra'!$G:$G,'[1]Lastro infra'!$A:$A,$A81)</f>
        <v>#VALUE!</v>
      </c>
      <c r="D81" s="116" t="e">
        <f>SUMIFS([1]ENTREGA!$H:$H,[1]ENTREGA!$A:$A,$A81,[1]ENTREGA!$C:$C,C$1)</f>
        <v>#VALUE!</v>
      </c>
      <c r="E81" s="117"/>
      <c r="F81" s="115" t="e">
        <f>SUMIFS([1]PRODUÇÃO!$F:$F,[1]PRODUÇÃO!$A:$A,$A81,[1]PRODUÇÃO!$H:$H,F$1)-SUMIFS('[1]Lastro infra'!$G:$G,'[1]Lastro infra'!$A:$A,$A81)</f>
        <v>#VALUE!</v>
      </c>
      <c r="G81" s="116" t="e">
        <f>SUMIFS([1]ENTREGA!$H:$H,[1]ENTREGA!$A:$A,$A81,[1]ENTREGA!$C:$C,F$1)</f>
        <v>#VALUE!</v>
      </c>
      <c r="H81" s="117"/>
      <c r="I81" s="115">
        <v>0</v>
      </c>
      <c r="J81" s="116">
        <v>0</v>
      </c>
      <c r="K81" s="117"/>
      <c r="L81" s="127">
        <v>0</v>
      </c>
      <c r="M81" s="117"/>
      <c r="O81" s="99"/>
      <c r="P81" s="10"/>
      <c r="R81" s="10"/>
      <c r="S81" s="10"/>
      <c r="U81" s="10"/>
    </row>
    <row r="82" spans="1:21" x14ac:dyDescent="0.35">
      <c r="A82" s="126">
        <f t="shared" si="4"/>
        <v>46101</v>
      </c>
      <c r="B82" s="118" t="str">
        <f t="shared" si="3"/>
        <v>mar/26</v>
      </c>
      <c r="C82" s="115" t="e">
        <f>SUMIFS([1]PRODUÇÃO!$F:$F,[1]PRODUÇÃO!$A:$A,$A82,[1]PRODUÇÃO!$H:$H,C$1)-SUMIFS('[1]Lastro infra'!$G:$G,'[1]Lastro infra'!$A:$A,$A82)</f>
        <v>#VALUE!</v>
      </c>
      <c r="D82" s="116" t="e">
        <f>SUMIFS([1]ENTREGA!$H:$H,[1]ENTREGA!$A:$A,$A82,[1]ENTREGA!$C:$C,C$1)</f>
        <v>#VALUE!</v>
      </c>
      <c r="E82" s="117"/>
      <c r="F82" s="115" t="e">
        <f>SUMIFS([1]PRODUÇÃO!$F:$F,[1]PRODUÇÃO!$A:$A,$A82,[1]PRODUÇÃO!$H:$H,F$1)-SUMIFS('[1]Lastro infra'!$G:$G,'[1]Lastro infra'!$A:$A,$A82)</f>
        <v>#VALUE!</v>
      </c>
      <c r="G82" s="116" t="e">
        <f>SUMIFS([1]ENTREGA!$H:$H,[1]ENTREGA!$A:$A,$A82,[1]ENTREGA!$C:$C,F$1)</f>
        <v>#VALUE!</v>
      </c>
      <c r="H82" s="117"/>
      <c r="I82" s="115">
        <v>0</v>
      </c>
      <c r="J82" s="116">
        <v>0</v>
      </c>
      <c r="K82" s="117"/>
      <c r="L82" s="127">
        <v>0</v>
      </c>
      <c r="M82" s="117"/>
      <c r="O82" s="99"/>
      <c r="P82" s="10"/>
      <c r="R82" s="10"/>
      <c r="S82" s="10"/>
      <c r="U82" s="10"/>
    </row>
    <row r="83" spans="1:21" x14ac:dyDescent="0.35">
      <c r="A83" s="126">
        <f t="shared" si="4"/>
        <v>46102</v>
      </c>
      <c r="B83" s="118" t="str">
        <f t="shared" si="3"/>
        <v>mar/26</v>
      </c>
      <c r="C83" s="115" t="e">
        <f>SUMIFS([1]PRODUÇÃO!$F:$F,[1]PRODUÇÃO!$A:$A,$A83,[1]PRODUÇÃO!$H:$H,C$1)-SUMIFS('[1]Lastro infra'!$G:$G,'[1]Lastro infra'!$A:$A,$A83)</f>
        <v>#VALUE!</v>
      </c>
      <c r="D83" s="116" t="e">
        <f>SUMIFS([1]ENTREGA!$H:$H,[1]ENTREGA!$A:$A,$A83,[1]ENTREGA!$C:$C,C$1)</f>
        <v>#VALUE!</v>
      </c>
      <c r="E83" s="117"/>
      <c r="F83" s="115" t="e">
        <f>SUMIFS([1]PRODUÇÃO!$F:$F,[1]PRODUÇÃO!$A:$A,$A83,[1]PRODUÇÃO!$H:$H,F$1)-SUMIFS('[1]Lastro infra'!$G:$G,'[1]Lastro infra'!$A:$A,$A83)</f>
        <v>#VALUE!</v>
      </c>
      <c r="G83" s="116" t="e">
        <f>SUMIFS([1]ENTREGA!$H:$H,[1]ENTREGA!$A:$A,$A83,[1]ENTREGA!$C:$C,F$1)</f>
        <v>#VALUE!</v>
      </c>
      <c r="H83" s="117"/>
      <c r="I83" s="115">
        <v>0</v>
      </c>
      <c r="J83" s="116">
        <v>0</v>
      </c>
      <c r="K83" s="117"/>
      <c r="L83" s="127">
        <v>1096.2</v>
      </c>
      <c r="M83" s="117"/>
      <c r="O83" s="99"/>
      <c r="P83" s="10"/>
      <c r="R83" s="10"/>
      <c r="S83" s="10"/>
      <c r="U83" s="10"/>
    </row>
    <row r="84" spans="1:21" x14ac:dyDescent="0.35">
      <c r="A84" s="126">
        <f t="shared" si="4"/>
        <v>46103</v>
      </c>
      <c r="B84" s="118" t="str">
        <f t="shared" si="3"/>
        <v>mar/26</v>
      </c>
      <c r="C84" s="115" t="e">
        <f>SUMIFS([1]PRODUÇÃO!$F:$F,[1]PRODUÇÃO!$A:$A,$A84,[1]PRODUÇÃO!$H:$H,C$1)-SUMIFS('[1]Lastro infra'!$G:$G,'[1]Lastro infra'!$A:$A,$A84)</f>
        <v>#VALUE!</v>
      </c>
      <c r="D84" s="116" t="e">
        <f>SUMIFS([1]ENTREGA!$H:$H,[1]ENTREGA!$A:$A,$A84,[1]ENTREGA!$C:$C,C$1)</f>
        <v>#VALUE!</v>
      </c>
      <c r="E84" s="117"/>
      <c r="F84" s="115" t="e">
        <f>SUMIFS([1]PRODUÇÃO!$F:$F,[1]PRODUÇÃO!$A:$A,$A84,[1]PRODUÇÃO!$H:$H,F$1)-SUMIFS('[1]Lastro infra'!$G:$G,'[1]Lastro infra'!$A:$A,$A84)</f>
        <v>#VALUE!</v>
      </c>
      <c r="G84" s="116" t="e">
        <f>SUMIFS([1]ENTREGA!$H:$H,[1]ENTREGA!$A:$A,$A84,[1]ENTREGA!$C:$C,F$1)</f>
        <v>#VALUE!</v>
      </c>
      <c r="H84" s="117"/>
      <c r="I84" s="115">
        <v>0</v>
      </c>
      <c r="J84" s="116">
        <v>0</v>
      </c>
      <c r="K84" s="117"/>
      <c r="L84" s="127">
        <v>0</v>
      </c>
      <c r="M84" s="117"/>
      <c r="O84" s="99"/>
      <c r="P84" s="10"/>
      <c r="R84" s="10"/>
      <c r="S84" s="10"/>
      <c r="U84" s="10"/>
    </row>
    <row r="85" spans="1:21" x14ac:dyDescent="0.35">
      <c r="A85" s="126">
        <f t="shared" si="4"/>
        <v>46104</v>
      </c>
      <c r="B85" s="118" t="str">
        <f t="shared" si="3"/>
        <v>mar/26</v>
      </c>
      <c r="C85" s="115" t="e">
        <f>SUMIFS([1]PRODUÇÃO!$F:$F,[1]PRODUÇÃO!$A:$A,$A85,[1]PRODUÇÃO!$H:$H,C$1)-SUMIFS('[1]Lastro infra'!$G:$G,'[1]Lastro infra'!$A:$A,$A85)</f>
        <v>#VALUE!</v>
      </c>
      <c r="D85" s="116" t="e">
        <f>SUMIFS([1]ENTREGA!$H:$H,[1]ENTREGA!$A:$A,$A85,[1]ENTREGA!$C:$C,C$1)</f>
        <v>#VALUE!</v>
      </c>
      <c r="E85" s="117"/>
      <c r="F85" s="115" t="e">
        <f>SUMIFS([1]PRODUÇÃO!$F:$F,[1]PRODUÇÃO!$A:$A,$A85,[1]PRODUÇÃO!$H:$H,F$1)-SUMIFS('[1]Lastro infra'!$G:$G,'[1]Lastro infra'!$A:$A,$A85)</f>
        <v>#VALUE!</v>
      </c>
      <c r="G85" s="116" t="e">
        <f>SUMIFS([1]ENTREGA!$H:$H,[1]ENTREGA!$A:$A,$A85,[1]ENTREGA!$C:$C,F$1)</f>
        <v>#VALUE!</v>
      </c>
      <c r="H85" s="117"/>
      <c r="I85" s="115">
        <v>0</v>
      </c>
      <c r="J85" s="116">
        <v>0</v>
      </c>
      <c r="K85" s="117"/>
      <c r="L85" s="127">
        <v>0</v>
      </c>
      <c r="M85" s="117"/>
      <c r="O85" s="99"/>
      <c r="P85" s="10"/>
      <c r="R85" s="10"/>
      <c r="S85" s="10"/>
      <c r="U85" s="10"/>
    </row>
    <row r="86" spans="1:21" x14ac:dyDescent="0.35">
      <c r="A86" s="126">
        <f t="shared" si="4"/>
        <v>46105</v>
      </c>
      <c r="B86" s="118" t="str">
        <f t="shared" si="3"/>
        <v>mar/26</v>
      </c>
      <c r="C86" s="115" t="e">
        <f>SUMIFS([1]PRODUÇÃO!$F:$F,[1]PRODUÇÃO!$A:$A,$A86,[1]PRODUÇÃO!$H:$H,C$1)-SUMIFS('[1]Lastro infra'!$G:$G,'[1]Lastro infra'!$A:$A,$A86)</f>
        <v>#VALUE!</v>
      </c>
      <c r="D86" s="116" t="e">
        <f>SUMIFS([1]ENTREGA!$H:$H,[1]ENTREGA!$A:$A,$A86,[1]ENTREGA!$C:$C,C$1)</f>
        <v>#VALUE!</v>
      </c>
      <c r="E86" s="117"/>
      <c r="F86" s="115" t="e">
        <f>SUMIFS([1]PRODUÇÃO!$F:$F,[1]PRODUÇÃO!$A:$A,$A86,[1]PRODUÇÃO!$H:$H,F$1)-SUMIFS('[1]Lastro infra'!$G:$G,'[1]Lastro infra'!$A:$A,$A86)</f>
        <v>#VALUE!</v>
      </c>
      <c r="G86" s="116" t="e">
        <f>SUMIFS([1]ENTREGA!$H:$H,[1]ENTREGA!$A:$A,$A86,[1]ENTREGA!$C:$C,F$1)</f>
        <v>#VALUE!</v>
      </c>
      <c r="H86" s="117"/>
      <c r="I86" s="115">
        <v>0</v>
      </c>
      <c r="J86" s="116">
        <v>0</v>
      </c>
      <c r="K86" s="117"/>
      <c r="L86" s="127">
        <v>0</v>
      </c>
      <c r="M86" s="117"/>
      <c r="O86" s="99"/>
      <c r="P86" s="10"/>
      <c r="R86" s="10"/>
      <c r="S86" s="10"/>
      <c r="U86" s="10"/>
    </row>
    <row r="87" spans="1:21" x14ac:dyDescent="0.35">
      <c r="A87" s="126">
        <f t="shared" si="4"/>
        <v>46106</v>
      </c>
      <c r="B87" s="118" t="str">
        <f t="shared" si="3"/>
        <v>mar/26</v>
      </c>
      <c r="C87" s="115" t="e">
        <f>SUMIFS([1]PRODUÇÃO!$F:$F,[1]PRODUÇÃO!$A:$A,$A87,[1]PRODUÇÃO!$H:$H,C$1)-SUMIFS('[1]Lastro infra'!$G:$G,'[1]Lastro infra'!$A:$A,$A87)</f>
        <v>#VALUE!</v>
      </c>
      <c r="D87" s="116" t="e">
        <f>SUMIFS([1]ENTREGA!$H:$H,[1]ENTREGA!$A:$A,$A87,[1]ENTREGA!$C:$C,C$1)</f>
        <v>#VALUE!</v>
      </c>
      <c r="E87" s="117"/>
      <c r="F87" s="115" t="e">
        <f>SUMIFS([1]PRODUÇÃO!$F:$F,[1]PRODUÇÃO!$A:$A,$A87,[1]PRODUÇÃO!$H:$H,F$1)-SUMIFS('[1]Lastro infra'!$G:$G,'[1]Lastro infra'!$A:$A,$A87)</f>
        <v>#VALUE!</v>
      </c>
      <c r="G87" s="116" t="e">
        <f>SUMIFS([1]ENTREGA!$H:$H,[1]ENTREGA!$A:$A,$A87,[1]ENTREGA!$C:$C,F$1)</f>
        <v>#VALUE!</v>
      </c>
      <c r="H87" s="117"/>
      <c r="I87" s="115">
        <v>0</v>
      </c>
      <c r="J87" s="116">
        <v>0</v>
      </c>
      <c r="K87" s="117"/>
      <c r="L87" s="127">
        <v>0</v>
      </c>
      <c r="M87" s="117"/>
      <c r="O87" s="99"/>
      <c r="P87" s="10"/>
      <c r="R87" s="10"/>
      <c r="S87" s="10"/>
      <c r="U87" s="10"/>
    </row>
    <row r="88" spans="1:21" x14ac:dyDescent="0.35">
      <c r="A88" s="126">
        <f t="shared" si="4"/>
        <v>46107</v>
      </c>
      <c r="B88" s="118" t="str">
        <f t="shared" si="3"/>
        <v>mar/26</v>
      </c>
      <c r="C88" s="115" t="e">
        <f>SUMIFS([1]PRODUÇÃO!$F:$F,[1]PRODUÇÃO!$A:$A,$A88,[1]PRODUÇÃO!$H:$H,C$1)-SUMIFS('[1]Lastro infra'!$G:$G,'[1]Lastro infra'!$A:$A,$A88)</f>
        <v>#VALUE!</v>
      </c>
      <c r="D88" s="116" t="e">
        <f>SUMIFS([1]ENTREGA!$H:$H,[1]ENTREGA!$A:$A,$A88,[1]ENTREGA!$C:$C,C$1)</f>
        <v>#VALUE!</v>
      </c>
      <c r="E88" s="117"/>
      <c r="F88" s="115" t="e">
        <f>SUMIFS([1]PRODUÇÃO!$F:$F,[1]PRODUÇÃO!$A:$A,$A88,[1]PRODUÇÃO!$H:$H,F$1)-SUMIFS('[1]Lastro infra'!$G:$G,'[1]Lastro infra'!$A:$A,$A88)</f>
        <v>#VALUE!</v>
      </c>
      <c r="G88" s="116" t="e">
        <f>SUMIFS([1]ENTREGA!$H:$H,[1]ENTREGA!$A:$A,$A88,[1]ENTREGA!$C:$C,F$1)</f>
        <v>#VALUE!</v>
      </c>
      <c r="H88" s="117"/>
      <c r="I88" s="115">
        <v>0</v>
      </c>
      <c r="J88" s="116">
        <v>0</v>
      </c>
      <c r="K88" s="117"/>
      <c r="L88" s="127">
        <v>0</v>
      </c>
      <c r="M88" s="117"/>
      <c r="O88" s="99"/>
      <c r="P88" s="10"/>
      <c r="R88" s="10"/>
      <c r="S88" s="10"/>
      <c r="U88" s="10"/>
    </row>
    <row r="89" spans="1:21" x14ac:dyDescent="0.35">
      <c r="A89" s="126">
        <f t="shared" si="4"/>
        <v>46108</v>
      </c>
      <c r="B89" s="118" t="str">
        <f t="shared" si="3"/>
        <v>mar/26</v>
      </c>
      <c r="C89" s="115" t="e">
        <f>SUMIFS([1]PRODUÇÃO!$F:$F,[1]PRODUÇÃO!$A:$A,$A89,[1]PRODUÇÃO!$H:$H,C$1)-SUMIFS('[1]Lastro infra'!$G:$G,'[1]Lastro infra'!$A:$A,$A89)</f>
        <v>#VALUE!</v>
      </c>
      <c r="D89" s="116" t="e">
        <f>SUMIFS([1]ENTREGA!$H:$H,[1]ENTREGA!$A:$A,$A89,[1]ENTREGA!$C:$C,C$1)</f>
        <v>#VALUE!</v>
      </c>
      <c r="E89" s="117"/>
      <c r="F89" s="115" t="e">
        <f>SUMIFS([1]PRODUÇÃO!$F:$F,[1]PRODUÇÃO!$A:$A,$A89,[1]PRODUÇÃO!$H:$H,F$1)-SUMIFS('[1]Lastro infra'!$G:$G,'[1]Lastro infra'!$A:$A,$A89)</f>
        <v>#VALUE!</v>
      </c>
      <c r="G89" s="116" t="e">
        <f>SUMIFS([1]ENTREGA!$H:$H,[1]ENTREGA!$A:$A,$A89,[1]ENTREGA!$C:$C,F$1)</f>
        <v>#VALUE!</v>
      </c>
      <c r="H89" s="117"/>
      <c r="I89" s="115">
        <v>0</v>
      </c>
      <c r="J89" s="116">
        <v>0</v>
      </c>
      <c r="K89" s="117"/>
      <c r="L89" s="127">
        <v>0</v>
      </c>
      <c r="M89" s="117"/>
      <c r="O89" s="99"/>
      <c r="P89" s="10"/>
      <c r="R89" s="10"/>
      <c r="S89" s="10"/>
      <c r="U89" s="10"/>
    </row>
    <row r="90" spans="1:21" x14ac:dyDescent="0.35">
      <c r="A90" s="126">
        <f t="shared" si="4"/>
        <v>46109</v>
      </c>
      <c r="B90" s="118" t="str">
        <f t="shared" si="3"/>
        <v>mar/26</v>
      </c>
      <c r="C90" s="115" t="e">
        <f>SUMIFS([1]PRODUÇÃO!$F:$F,[1]PRODUÇÃO!$A:$A,$A90,[1]PRODUÇÃO!$H:$H,C$1)-SUMIFS('[1]Lastro infra'!$G:$G,'[1]Lastro infra'!$A:$A,$A90)</f>
        <v>#VALUE!</v>
      </c>
      <c r="D90" s="116" t="e">
        <f>SUMIFS([1]ENTREGA!$H:$H,[1]ENTREGA!$A:$A,$A90,[1]ENTREGA!$C:$C,C$1)</f>
        <v>#VALUE!</v>
      </c>
      <c r="E90" s="117"/>
      <c r="F90" s="115" t="e">
        <f>SUMIFS([1]PRODUÇÃO!$F:$F,[1]PRODUÇÃO!$A:$A,$A90,[1]PRODUÇÃO!$H:$H,F$1)-SUMIFS('[1]Lastro infra'!$G:$G,'[1]Lastro infra'!$A:$A,$A90)</f>
        <v>#VALUE!</v>
      </c>
      <c r="G90" s="116" t="e">
        <f>SUMIFS([1]ENTREGA!$H:$H,[1]ENTREGA!$A:$A,$A90,[1]ENTREGA!$C:$C,F$1)</f>
        <v>#VALUE!</v>
      </c>
      <c r="H90" s="117"/>
      <c r="I90" s="115">
        <v>0</v>
      </c>
      <c r="J90" s="116">
        <v>0</v>
      </c>
      <c r="K90" s="117"/>
      <c r="L90" s="127">
        <v>3014.5499999999997</v>
      </c>
      <c r="M90" s="117"/>
      <c r="O90" s="99"/>
      <c r="P90" s="10"/>
      <c r="R90" s="10"/>
      <c r="S90" s="10"/>
      <c r="U90" s="10"/>
    </row>
    <row r="91" spans="1:21" x14ac:dyDescent="0.35">
      <c r="A91" s="126">
        <f t="shared" si="4"/>
        <v>46110</v>
      </c>
      <c r="B91" s="118" t="str">
        <f t="shared" si="3"/>
        <v>mar/26</v>
      </c>
      <c r="C91" s="115" t="e">
        <f>SUMIFS([1]PRODUÇÃO!$F:$F,[1]PRODUÇÃO!$A:$A,$A91,[1]PRODUÇÃO!$H:$H,C$1)-SUMIFS('[1]Lastro infra'!$G:$G,'[1]Lastro infra'!$A:$A,$A91)</f>
        <v>#VALUE!</v>
      </c>
      <c r="D91" s="116" t="e">
        <f>SUMIFS([1]ENTREGA!$H:$H,[1]ENTREGA!$A:$A,$A91,[1]ENTREGA!$C:$C,C$1)</f>
        <v>#VALUE!</v>
      </c>
      <c r="E91" s="117"/>
      <c r="F91" s="115" t="e">
        <f>SUMIFS([1]PRODUÇÃO!$F:$F,[1]PRODUÇÃO!$A:$A,$A91,[1]PRODUÇÃO!$H:$H,F$1)-SUMIFS('[1]Lastro infra'!$G:$G,'[1]Lastro infra'!$A:$A,$A91)</f>
        <v>#VALUE!</v>
      </c>
      <c r="G91" s="116" t="e">
        <f>SUMIFS([1]ENTREGA!$H:$H,[1]ENTREGA!$A:$A,$A91,[1]ENTREGA!$C:$C,F$1)</f>
        <v>#VALUE!</v>
      </c>
      <c r="H91" s="117"/>
      <c r="I91" s="115">
        <v>0</v>
      </c>
      <c r="J91" s="116">
        <v>0</v>
      </c>
      <c r="K91" s="117"/>
      <c r="L91" s="127">
        <v>0</v>
      </c>
      <c r="M91" s="117"/>
      <c r="O91" s="99"/>
      <c r="P91" s="10"/>
      <c r="R91" s="10"/>
      <c r="S91" s="10"/>
      <c r="U91" s="10"/>
    </row>
    <row r="92" spans="1:21" x14ac:dyDescent="0.35">
      <c r="A92" s="126">
        <f t="shared" si="4"/>
        <v>46111</v>
      </c>
      <c r="B92" s="118" t="str">
        <f t="shared" si="3"/>
        <v>mar/26</v>
      </c>
      <c r="C92" s="115" t="e">
        <f>SUMIFS([1]PRODUÇÃO!$F:$F,[1]PRODUÇÃO!$A:$A,$A92,[1]PRODUÇÃO!$H:$H,C$1)-SUMIFS('[1]Lastro infra'!$G:$G,'[1]Lastro infra'!$A:$A,$A92)</f>
        <v>#VALUE!</v>
      </c>
      <c r="D92" s="116" t="e">
        <f>SUMIFS([1]ENTREGA!$H:$H,[1]ENTREGA!$A:$A,$A92,[1]ENTREGA!$C:$C,C$1)</f>
        <v>#VALUE!</v>
      </c>
      <c r="E92" s="117"/>
      <c r="F92" s="115" t="e">
        <f>SUMIFS([1]PRODUÇÃO!$F:$F,[1]PRODUÇÃO!$A:$A,$A92,[1]PRODUÇÃO!$H:$H,F$1)-SUMIFS('[1]Lastro infra'!$G:$G,'[1]Lastro infra'!$A:$A,$A92)</f>
        <v>#VALUE!</v>
      </c>
      <c r="G92" s="116" t="e">
        <f>SUMIFS([1]ENTREGA!$H:$H,[1]ENTREGA!$A:$A,$A92,[1]ENTREGA!$C:$C,F$1)</f>
        <v>#VALUE!</v>
      </c>
      <c r="H92" s="117"/>
      <c r="I92" s="115">
        <v>0</v>
      </c>
      <c r="J92" s="116">
        <v>0</v>
      </c>
      <c r="K92" s="117"/>
      <c r="L92" s="127">
        <v>0</v>
      </c>
      <c r="M92" s="117"/>
      <c r="O92" s="99"/>
      <c r="P92" s="10"/>
      <c r="R92" s="10"/>
      <c r="S92" s="10"/>
      <c r="U92" s="10"/>
    </row>
    <row r="93" spans="1:21" x14ac:dyDescent="0.35">
      <c r="A93" s="126">
        <f t="shared" si="4"/>
        <v>46112</v>
      </c>
      <c r="B93" s="118" t="str">
        <f t="shared" si="3"/>
        <v>mar/26</v>
      </c>
      <c r="C93" s="115" t="e">
        <f>SUMIFS([1]PRODUÇÃO!$F:$F,[1]PRODUÇÃO!$A:$A,$A93,[1]PRODUÇÃO!$H:$H,C$1)-SUMIFS('[1]Lastro infra'!$G:$G,'[1]Lastro infra'!$A:$A,$A93)</f>
        <v>#VALUE!</v>
      </c>
      <c r="D93" s="116" t="e">
        <f>SUMIFS([1]ENTREGA!$H:$H,[1]ENTREGA!$A:$A,$A93,[1]ENTREGA!$C:$C,C$1)</f>
        <v>#VALUE!</v>
      </c>
      <c r="E93" s="117"/>
      <c r="F93" s="115" t="e">
        <f>SUMIFS([1]PRODUÇÃO!$F:$F,[1]PRODUÇÃO!$A:$A,$A93,[1]PRODUÇÃO!$H:$H,F$1)-SUMIFS('[1]Lastro infra'!$G:$G,'[1]Lastro infra'!$A:$A,$A93)</f>
        <v>#VALUE!</v>
      </c>
      <c r="G93" s="116" t="e">
        <f>SUMIFS([1]ENTREGA!$H:$H,[1]ENTREGA!$A:$A,$A93,[1]ENTREGA!$C:$C,F$1)</f>
        <v>#VALUE!</v>
      </c>
      <c r="H93" s="117"/>
      <c r="I93" s="115">
        <v>0</v>
      </c>
      <c r="J93" s="116">
        <v>0</v>
      </c>
      <c r="K93" s="117"/>
      <c r="L93" s="127">
        <v>0</v>
      </c>
      <c r="M93" s="117"/>
      <c r="O93" s="99"/>
      <c r="P93" s="10"/>
      <c r="R93" s="10"/>
      <c r="S93" s="10"/>
      <c r="U93" s="10"/>
    </row>
    <row r="94" spans="1:21" x14ac:dyDescent="0.35">
      <c r="A94" s="126">
        <f t="shared" si="4"/>
        <v>46113</v>
      </c>
      <c r="B94" s="118" t="str">
        <f t="shared" si="3"/>
        <v>abr/26</v>
      </c>
      <c r="C94" s="115" t="e">
        <f>SUMIFS([1]PRODUÇÃO!$F:$F,[1]PRODUÇÃO!$A:$A,$A94,[1]PRODUÇÃO!$H:$H,C$1)-SUMIFS('[1]Lastro infra'!$G:$G,'[1]Lastro infra'!$A:$A,$A94)</f>
        <v>#VALUE!</v>
      </c>
      <c r="D94" s="116" t="e">
        <f>SUMIFS([1]ENTREGA!$H:$H,[1]ENTREGA!$A:$A,$A94,[1]ENTREGA!$C:$C,C$1)</f>
        <v>#VALUE!</v>
      </c>
      <c r="E94" s="117"/>
      <c r="F94" s="115" t="e">
        <f>SUMIFS([1]PRODUÇÃO!$F:$F,[1]PRODUÇÃO!$A:$A,$A94,[1]PRODUÇÃO!$H:$H,F$1)-SUMIFS('[1]Lastro infra'!$G:$G,'[1]Lastro infra'!$A:$A,$A94)</f>
        <v>#VALUE!</v>
      </c>
      <c r="G94" s="116" t="e">
        <f>SUMIFS([1]ENTREGA!$H:$H,[1]ENTREGA!$A:$A,$A94,[1]ENTREGA!$C:$C,F$1)</f>
        <v>#VALUE!</v>
      </c>
      <c r="H94" s="117"/>
      <c r="I94" s="115">
        <v>0</v>
      </c>
      <c r="J94" s="116">
        <v>0</v>
      </c>
      <c r="K94" s="117"/>
      <c r="L94" s="127">
        <v>1004.85</v>
      </c>
      <c r="M94" s="117"/>
      <c r="O94" s="99"/>
      <c r="P94" s="10"/>
      <c r="R94" s="10"/>
      <c r="S94" s="10"/>
      <c r="U94" s="10"/>
    </row>
    <row r="95" spans="1:21" x14ac:dyDescent="0.35">
      <c r="A95" s="126">
        <f t="shared" si="4"/>
        <v>46114</v>
      </c>
      <c r="B95" s="118" t="str">
        <f t="shared" si="3"/>
        <v>abr/26</v>
      </c>
      <c r="C95" s="115" t="e">
        <f>SUMIFS([1]PRODUÇÃO!$F:$F,[1]PRODUÇÃO!$A:$A,$A95,[1]PRODUÇÃO!$H:$H,C$1)-SUMIFS('[1]Lastro infra'!$G:$G,'[1]Lastro infra'!$A:$A,$A95)</f>
        <v>#VALUE!</v>
      </c>
      <c r="D95" s="116" t="e">
        <f>SUMIFS([1]ENTREGA!$H:$H,[1]ENTREGA!$A:$A,$A95,[1]ENTREGA!$C:$C,C$1)</f>
        <v>#VALUE!</v>
      </c>
      <c r="E95" s="117"/>
      <c r="F95" s="115" t="e">
        <f>SUMIFS([1]PRODUÇÃO!$F:$F,[1]PRODUÇÃO!$A:$A,$A95,[1]PRODUÇÃO!$H:$H,F$1)-SUMIFS('[1]Lastro infra'!$G:$G,'[1]Lastro infra'!$A:$A,$A95)</f>
        <v>#VALUE!</v>
      </c>
      <c r="G95" s="116" t="e">
        <f>SUMIFS([1]ENTREGA!$H:$H,[1]ENTREGA!$A:$A,$A95,[1]ENTREGA!$C:$C,F$1)</f>
        <v>#VALUE!</v>
      </c>
      <c r="H95" s="117"/>
      <c r="I95" s="115">
        <v>0</v>
      </c>
      <c r="J95" s="116">
        <v>0</v>
      </c>
      <c r="K95" s="117"/>
      <c r="L95" s="127">
        <v>0</v>
      </c>
      <c r="M95" s="117"/>
      <c r="O95" s="99"/>
      <c r="P95" s="10"/>
      <c r="R95" s="10"/>
      <c r="S95" s="10"/>
      <c r="U95" s="10"/>
    </row>
    <row r="96" spans="1:21" x14ac:dyDescent="0.35">
      <c r="A96" s="126">
        <f t="shared" si="4"/>
        <v>46115</v>
      </c>
      <c r="B96" s="118" t="str">
        <f t="shared" si="3"/>
        <v>abr/26</v>
      </c>
      <c r="C96" s="115" t="e">
        <f>SUMIFS([1]PRODUÇÃO!$F:$F,[1]PRODUÇÃO!$A:$A,$A96,[1]PRODUÇÃO!$H:$H,C$1)-SUMIFS('[1]Lastro infra'!$G:$G,'[1]Lastro infra'!$A:$A,$A96)</f>
        <v>#VALUE!</v>
      </c>
      <c r="D96" s="116" t="e">
        <f>SUMIFS([1]ENTREGA!$H:$H,[1]ENTREGA!$A:$A,$A96,[1]ENTREGA!$C:$C,C$1)</f>
        <v>#VALUE!</v>
      </c>
      <c r="E96" s="117"/>
      <c r="F96" s="115" t="e">
        <f>SUMIFS([1]PRODUÇÃO!$F:$F,[1]PRODUÇÃO!$A:$A,$A96,[1]PRODUÇÃO!$H:$H,F$1)-SUMIFS('[1]Lastro infra'!$G:$G,'[1]Lastro infra'!$A:$A,$A96)</f>
        <v>#VALUE!</v>
      </c>
      <c r="G96" s="116" t="e">
        <f>SUMIFS([1]ENTREGA!$H:$H,[1]ENTREGA!$A:$A,$A96,[1]ENTREGA!$C:$C,F$1)</f>
        <v>#VALUE!</v>
      </c>
      <c r="H96" s="117"/>
      <c r="I96" s="115">
        <v>0</v>
      </c>
      <c r="J96" s="116">
        <v>0</v>
      </c>
      <c r="K96" s="117"/>
      <c r="L96" s="127">
        <v>0</v>
      </c>
      <c r="M96" s="117"/>
      <c r="O96" s="99"/>
      <c r="P96" s="10"/>
      <c r="R96" s="10"/>
      <c r="S96" s="10"/>
      <c r="U96" s="10"/>
    </row>
    <row r="97" spans="1:21" x14ac:dyDescent="0.35">
      <c r="A97" s="126">
        <f t="shared" si="4"/>
        <v>46116</v>
      </c>
      <c r="B97" s="118" t="str">
        <f t="shared" si="3"/>
        <v>abr/26</v>
      </c>
      <c r="C97" s="115" t="e">
        <f>SUMIFS([1]PRODUÇÃO!$F:$F,[1]PRODUÇÃO!$A:$A,$A97,[1]PRODUÇÃO!$H:$H,C$1)-SUMIFS('[1]Lastro infra'!$G:$G,'[1]Lastro infra'!$A:$A,$A97)</f>
        <v>#VALUE!</v>
      </c>
      <c r="D97" s="116" t="e">
        <f>SUMIFS([1]ENTREGA!$H:$H,[1]ENTREGA!$A:$A,$A97,[1]ENTREGA!$C:$C,C$1)</f>
        <v>#VALUE!</v>
      </c>
      <c r="E97" s="117"/>
      <c r="F97" s="115" t="e">
        <f>SUMIFS([1]PRODUÇÃO!$F:$F,[1]PRODUÇÃO!$A:$A,$A97,[1]PRODUÇÃO!$H:$H,F$1)-SUMIFS('[1]Lastro infra'!$G:$G,'[1]Lastro infra'!$A:$A,$A97)</f>
        <v>#VALUE!</v>
      </c>
      <c r="G97" s="116" t="e">
        <f>SUMIFS([1]ENTREGA!$H:$H,[1]ENTREGA!$A:$A,$A97,[1]ENTREGA!$C:$C,F$1)</f>
        <v>#VALUE!</v>
      </c>
      <c r="H97" s="117"/>
      <c r="I97" s="115">
        <v>0</v>
      </c>
      <c r="J97" s="116">
        <v>0</v>
      </c>
      <c r="K97" s="117"/>
      <c r="L97" s="127">
        <v>0</v>
      </c>
      <c r="M97" s="117"/>
      <c r="O97" s="99"/>
      <c r="P97" s="10"/>
      <c r="R97" s="10"/>
      <c r="S97" s="10"/>
      <c r="U97" s="10"/>
    </row>
    <row r="98" spans="1:21" x14ac:dyDescent="0.35">
      <c r="A98" s="126">
        <f t="shared" si="4"/>
        <v>46117</v>
      </c>
      <c r="B98" s="118" t="str">
        <f t="shared" si="3"/>
        <v>abr/26</v>
      </c>
      <c r="C98" s="115" t="e">
        <f>SUMIFS([1]PRODUÇÃO!$F:$F,[1]PRODUÇÃO!$A:$A,$A98,[1]PRODUÇÃO!$H:$H,C$1)-SUMIFS('[1]Lastro infra'!$G:$G,'[1]Lastro infra'!$A:$A,$A98)</f>
        <v>#VALUE!</v>
      </c>
      <c r="D98" s="116" t="e">
        <f>SUMIFS([1]ENTREGA!$H:$H,[1]ENTREGA!$A:$A,$A98,[1]ENTREGA!$C:$C,C$1)</f>
        <v>#VALUE!</v>
      </c>
      <c r="E98" s="117"/>
      <c r="F98" s="115" t="e">
        <f>SUMIFS([1]PRODUÇÃO!$F:$F,[1]PRODUÇÃO!$A:$A,$A98,[1]PRODUÇÃO!$H:$H,F$1)-SUMIFS('[1]Lastro infra'!$G:$G,'[1]Lastro infra'!$A:$A,$A98)</f>
        <v>#VALUE!</v>
      </c>
      <c r="G98" s="116" t="e">
        <f>SUMIFS([1]ENTREGA!$H:$H,[1]ENTREGA!$A:$A,$A98,[1]ENTREGA!$C:$C,F$1)</f>
        <v>#VALUE!</v>
      </c>
      <c r="H98" s="117"/>
      <c r="I98" s="115">
        <v>0</v>
      </c>
      <c r="J98" s="116">
        <v>0</v>
      </c>
      <c r="K98" s="117"/>
      <c r="L98" s="127">
        <v>0</v>
      </c>
      <c r="M98" s="117"/>
      <c r="O98" s="99"/>
      <c r="P98" s="10"/>
      <c r="R98" s="10"/>
      <c r="S98" s="10"/>
      <c r="U98" s="10"/>
    </row>
    <row r="99" spans="1:21" x14ac:dyDescent="0.35">
      <c r="A99" s="126">
        <f t="shared" si="4"/>
        <v>46118</v>
      </c>
      <c r="B99" s="118" t="str">
        <f t="shared" si="3"/>
        <v>abr/26</v>
      </c>
      <c r="C99" s="115" t="e">
        <f>SUMIFS([1]PRODUÇÃO!$F:$F,[1]PRODUÇÃO!$A:$A,$A99,[1]PRODUÇÃO!$H:$H,C$1)-SUMIFS('[1]Lastro infra'!$G:$G,'[1]Lastro infra'!$A:$A,$A99)</f>
        <v>#VALUE!</v>
      </c>
      <c r="D99" s="116" t="e">
        <f>SUMIFS([1]ENTREGA!$H:$H,[1]ENTREGA!$A:$A,$A99,[1]ENTREGA!$C:$C,C$1)</f>
        <v>#VALUE!</v>
      </c>
      <c r="E99" s="117"/>
      <c r="F99" s="115" t="e">
        <f>SUMIFS([1]PRODUÇÃO!$F:$F,[1]PRODUÇÃO!$A:$A,$A99,[1]PRODUÇÃO!$H:$H,F$1)-SUMIFS('[1]Lastro infra'!$G:$G,'[1]Lastro infra'!$A:$A,$A99)</f>
        <v>#VALUE!</v>
      </c>
      <c r="G99" s="116" t="e">
        <f>SUMIFS([1]ENTREGA!$H:$H,[1]ENTREGA!$A:$A,$A99,[1]ENTREGA!$C:$C,F$1)</f>
        <v>#VALUE!</v>
      </c>
      <c r="H99" s="117"/>
      <c r="I99" s="115">
        <v>0</v>
      </c>
      <c r="J99" s="116">
        <v>0</v>
      </c>
      <c r="K99" s="117"/>
      <c r="L99" s="127">
        <v>0</v>
      </c>
      <c r="M99" s="117"/>
      <c r="O99" s="99"/>
      <c r="P99" s="10"/>
      <c r="R99" s="10"/>
      <c r="S99" s="10"/>
      <c r="U99" s="10"/>
    </row>
    <row r="100" spans="1:21" x14ac:dyDescent="0.35">
      <c r="A100" s="126">
        <f t="shared" si="4"/>
        <v>46119</v>
      </c>
      <c r="B100" s="118" t="str">
        <f t="shared" si="3"/>
        <v>abr/26</v>
      </c>
      <c r="C100" s="115" t="e">
        <f>SUMIFS([1]PRODUÇÃO!$F:$F,[1]PRODUÇÃO!$A:$A,$A100,[1]PRODUÇÃO!$H:$H,C$1)-SUMIFS('[1]Lastro infra'!$G:$G,'[1]Lastro infra'!$A:$A,$A100)</f>
        <v>#VALUE!</v>
      </c>
      <c r="D100" s="116" t="e">
        <f>SUMIFS([1]ENTREGA!$H:$H,[1]ENTREGA!$A:$A,$A100,[1]ENTREGA!$C:$C,C$1)</f>
        <v>#VALUE!</v>
      </c>
      <c r="E100" s="117"/>
      <c r="F100" s="115" t="e">
        <f>SUMIFS([1]PRODUÇÃO!$F:$F,[1]PRODUÇÃO!$A:$A,$A100,[1]PRODUÇÃO!$H:$H,F$1)-SUMIFS('[1]Lastro infra'!$G:$G,'[1]Lastro infra'!$A:$A,$A100)</f>
        <v>#VALUE!</v>
      </c>
      <c r="G100" s="116" t="e">
        <f>SUMIFS([1]ENTREGA!$H:$H,[1]ENTREGA!$A:$A,$A100,[1]ENTREGA!$C:$C,F$1)</f>
        <v>#VALUE!</v>
      </c>
      <c r="H100" s="117"/>
      <c r="I100" s="115">
        <v>0</v>
      </c>
      <c r="J100" s="116">
        <v>0</v>
      </c>
      <c r="K100" s="117"/>
      <c r="L100" s="127">
        <v>0</v>
      </c>
      <c r="M100" s="117"/>
      <c r="O100" s="99"/>
      <c r="P100" s="10"/>
      <c r="R100" s="10"/>
      <c r="S100" s="10"/>
      <c r="U100" s="10"/>
    </row>
    <row r="101" spans="1:21" x14ac:dyDescent="0.35">
      <c r="A101" s="126">
        <f t="shared" si="4"/>
        <v>46120</v>
      </c>
      <c r="B101" s="118" t="str">
        <f t="shared" si="3"/>
        <v>abr/26</v>
      </c>
      <c r="C101" s="115" t="e">
        <f>SUMIFS([1]PRODUÇÃO!$F:$F,[1]PRODUÇÃO!$A:$A,$A101,[1]PRODUÇÃO!$H:$H,C$1)-SUMIFS('[1]Lastro infra'!$G:$G,'[1]Lastro infra'!$A:$A,$A101)</f>
        <v>#VALUE!</v>
      </c>
      <c r="D101" s="116" t="e">
        <f>SUMIFS([1]ENTREGA!$H:$H,[1]ENTREGA!$A:$A,$A101,[1]ENTREGA!$C:$C,C$1)</f>
        <v>#VALUE!</v>
      </c>
      <c r="E101" s="117"/>
      <c r="F101" s="115" t="e">
        <f>SUMIFS([1]PRODUÇÃO!$F:$F,[1]PRODUÇÃO!$A:$A,$A101,[1]PRODUÇÃO!$H:$H,F$1)-SUMIFS('[1]Lastro infra'!$G:$G,'[1]Lastro infra'!$A:$A,$A101)</f>
        <v>#VALUE!</v>
      </c>
      <c r="G101" s="116" t="e">
        <f>SUMIFS([1]ENTREGA!$H:$H,[1]ENTREGA!$A:$A,$A101,[1]ENTREGA!$C:$C,F$1)</f>
        <v>#VALUE!</v>
      </c>
      <c r="H101" s="117"/>
      <c r="I101" s="115">
        <v>0</v>
      </c>
      <c r="J101" s="116">
        <v>0</v>
      </c>
      <c r="K101" s="117"/>
      <c r="L101" s="127">
        <v>0</v>
      </c>
      <c r="M101" s="117"/>
      <c r="O101" s="99"/>
      <c r="P101" s="10"/>
      <c r="R101" s="10"/>
      <c r="S101" s="10"/>
      <c r="U101" s="10"/>
    </row>
    <row r="102" spans="1:21" x14ac:dyDescent="0.35">
      <c r="A102" s="126">
        <f t="shared" si="4"/>
        <v>46121</v>
      </c>
      <c r="B102" s="118" t="str">
        <f t="shared" si="3"/>
        <v>abr/26</v>
      </c>
      <c r="C102" s="115" t="e">
        <f>SUMIFS([1]PRODUÇÃO!$F:$F,[1]PRODUÇÃO!$A:$A,$A102,[1]PRODUÇÃO!$H:$H,C$1)-SUMIFS('[1]Lastro infra'!$G:$G,'[1]Lastro infra'!$A:$A,$A102)</f>
        <v>#VALUE!</v>
      </c>
      <c r="D102" s="116" t="e">
        <f>SUMIFS([1]ENTREGA!$H:$H,[1]ENTREGA!$A:$A,$A102,[1]ENTREGA!$C:$C,C$1)</f>
        <v>#VALUE!</v>
      </c>
      <c r="E102" s="117"/>
      <c r="F102" s="115" t="e">
        <f>SUMIFS([1]PRODUÇÃO!$F:$F,[1]PRODUÇÃO!$A:$A,$A102,[1]PRODUÇÃO!$H:$H,F$1)-SUMIFS('[1]Lastro infra'!$G:$G,'[1]Lastro infra'!$A:$A,$A102)</f>
        <v>#VALUE!</v>
      </c>
      <c r="G102" s="116" t="e">
        <f>SUMIFS([1]ENTREGA!$H:$H,[1]ENTREGA!$A:$A,$A102,[1]ENTREGA!$C:$C,F$1)</f>
        <v>#VALUE!</v>
      </c>
      <c r="H102" s="117"/>
      <c r="I102" s="115">
        <v>0</v>
      </c>
      <c r="J102" s="116">
        <v>0</v>
      </c>
      <c r="K102" s="117"/>
      <c r="L102" s="127">
        <v>69.599999999999994</v>
      </c>
      <c r="M102" s="117"/>
      <c r="O102" s="99"/>
      <c r="P102" s="10"/>
      <c r="R102" s="10"/>
      <c r="S102" s="10"/>
      <c r="U102" s="10"/>
    </row>
    <row r="103" spans="1:21" x14ac:dyDescent="0.35">
      <c r="A103" s="126">
        <f t="shared" si="4"/>
        <v>46122</v>
      </c>
      <c r="B103" s="118" t="str">
        <f t="shared" si="3"/>
        <v>abr/26</v>
      </c>
      <c r="C103" s="115" t="e">
        <f>SUMIFS([1]PRODUÇÃO!$F:$F,[1]PRODUÇÃO!$A:$A,$A103,[1]PRODUÇÃO!$H:$H,C$1)-SUMIFS('[1]Lastro infra'!$G:$G,'[1]Lastro infra'!$A:$A,$A103)</f>
        <v>#VALUE!</v>
      </c>
      <c r="D103" s="116" t="e">
        <f>SUMIFS([1]ENTREGA!$H:$H,[1]ENTREGA!$A:$A,$A103,[1]ENTREGA!$C:$C,C$1)</f>
        <v>#VALUE!</v>
      </c>
      <c r="E103" s="117"/>
      <c r="F103" s="115" t="e">
        <f>SUMIFS([1]PRODUÇÃO!$F:$F,[1]PRODUÇÃO!$A:$A,$A103,[1]PRODUÇÃO!$H:$H,F$1)-SUMIFS('[1]Lastro infra'!$G:$G,'[1]Lastro infra'!$A:$A,$A103)</f>
        <v>#VALUE!</v>
      </c>
      <c r="G103" s="116" t="e">
        <f>SUMIFS([1]ENTREGA!$H:$H,[1]ENTREGA!$A:$A,$A103,[1]ENTREGA!$C:$C,F$1)</f>
        <v>#VALUE!</v>
      </c>
      <c r="H103" s="117"/>
      <c r="I103" s="115">
        <v>0</v>
      </c>
      <c r="J103" s="116">
        <v>0</v>
      </c>
      <c r="K103" s="117"/>
      <c r="L103" s="127">
        <v>121.8</v>
      </c>
      <c r="M103" s="117"/>
      <c r="O103" s="99"/>
      <c r="P103" s="10"/>
      <c r="R103" s="10"/>
      <c r="S103" s="10"/>
      <c r="U103" s="10"/>
    </row>
    <row r="104" spans="1:21" x14ac:dyDescent="0.35">
      <c r="A104" s="126">
        <f t="shared" si="4"/>
        <v>46123</v>
      </c>
      <c r="B104" s="118" t="str">
        <f t="shared" si="3"/>
        <v>abr/26</v>
      </c>
      <c r="C104" s="115" t="e">
        <f>SUMIFS([1]PRODUÇÃO!$F:$F,[1]PRODUÇÃO!$A:$A,$A104,[1]PRODUÇÃO!$H:$H,C$1)-SUMIFS('[1]Lastro infra'!$G:$G,'[1]Lastro infra'!$A:$A,$A104)</f>
        <v>#VALUE!</v>
      </c>
      <c r="D104" s="116" t="e">
        <f>SUMIFS([1]ENTREGA!$H:$H,[1]ENTREGA!$A:$A,$A104,[1]ENTREGA!$C:$C,C$1)</f>
        <v>#VALUE!</v>
      </c>
      <c r="E104" s="117"/>
      <c r="F104" s="115" t="e">
        <f>SUMIFS([1]PRODUÇÃO!$F:$F,[1]PRODUÇÃO!$A:$A,$A104,[1]PRODUÇÃO!$H:$H,F$1)-SUMIFS('[1]Lastro infra'!$G:$G,'[1]Lastro infra'!$A:$A,$A104)</f>
        <v>#VALUE!</v>
      </c>
      <c r="G104" s="116" t="e">
        <f>SUMIFS([1]ENTREGA!$H:$H,[1]ENTREGA!$A:$A,$A104,[1]ENTREGA!$C:$C,F$1)</f>
        <v>#VALUE!</v>
      </c>
      <c r="H104" s="117"/>
      <c r="I104" s="115">
        <v>0</v>
      </c>
      <c r="J104" s="116">
        <v>0</v>
      </c>
      <c r="K104" s="117"/>
      <c r="L104" s="127">
        <v>52.199999999999996</v>
      </c>
      <c r="M104" s="117"/>
      <c r="O104" s="99"/>
      <c r="P104" s="10"/>
      <c r="R104" s="10"/>
      <c r="S104" s="10"/>
      <c r="U104" s="10"/>
    </row>
    <row r="105" spans="1:21" x14ac:dyDescent="0.35">
      <c r="A105" s="126">
        <f t="shared" si="4"/>
        <v>46124</v>
      </c>
      <c r="B105" s="118" t="str">
        <f t="shared" si="3"/>
        <v>abr/26</v>
      </c>
      <c r="C105" s="115" t="e">
        <f>SUMIFS([1]PRODUÇÃO!$F:$F,[1]PRODUÇÃO!$A:$A,$A105,[1]PRODUÇÃO!$H:$H,C$1)-SUMIFS('[1]Lastro infra'!$G:$G,'[1]Lastro infra'!$A:$A,$A105)</f>
        <v>#VALUE!</v>
      </c>
      <c r="D105" s="116" t="e">
        <f>SUMIFS([1]ENTREGA!$H:$H,[1]ENTREGA!$A:$A,$A105,[1]ENTREGA!$C:$C,C$1)</f>
        <v>#VALUE!</v>
      </c>
      <c r="E105" s="117"/>
      <c r="F105" s="115" t="e">
        <f>SUMIFS([1]PRODUÇÃO!$F:$F,[1]PRODUÇÃO!$A:$A,$A105,[1]PRODUÇÃO!$H:$H,F$1)-SUMIFS('[1]Lastro infra'!$G:$G,'[1]Lastro infra'!$A:$A,$A105)</f>
        <v>#VALUE!</v>
      </c>
      <c r="G105" s="116" t="e">
        <f>SUMIFS([1]ENTREGA!$H:$H,[1]ENTREGA!$A:$A,$A105,[1]ENTREGA!$C:$C,F$1)</f>
        <v>#VALUE!</v>
      </c>
      <c r="H105" s="117"/>
      <c r="I105" s="115">
        <v>0</v>
      </c>
      <c r="J105" s="116">
        <v>0</v>
      </c>
      <c r="K105" s="117"/>
      <c r="L105" s="127">
        <v>0</v>
      </c>
      <c r="M105" s="117"/>
      <c r="O105" s="99"/>
      <c r="P105" s="10"/>
      <c r="R105" s="10"/>
      <c r="S105" s="10"/>
      <c r="U105" s="10"/>
    </row>
    <row r="106" spans="1:21" x14ac:dyDescent="0.35">
      <c r="A106" s="126">
        <f t="shared" si="4"/>
        <v>46125</v>
      </c>
      <c r="B106" s="118" t="str">
        <f t="shared" si="3"/>
        <v>abr/26</v>
      </c>
      <c r="C106" s="115" t="e">
        <f>SUMIFS([1]PRODUÇÃO!$F:$F,[1]PRODUÇÃO!$A:$A,$A106,[1]PRODUÇÃO!$H:$H,C$1)-SUMIFS('[1]Lastro infra'!$G:$G,'[1]Lastro infra'!$A:$A,$A106)</f>
        <v>#VALUE!</v>
      </c>
      <c r="D106" s="116" t="e">
        <f>SUMIFS([1]ENTREGA!$H:$H,[1]ENTREGA!$A:$A,$A106,[1]ENTREGA!$C:$C,C$1)</f>
        <v>#VALUE!</v>
      </c>
      <c r="E106" s="117"/>
      <c r="F106" s="115" t="e">
        <f>SUMIFS([1]PRODUÇÃO!$F:$F,[1]PRODUÇÃO!$A:$A,$A106,[1]PRODUÇÃO!$H:$H,F$1)-SUMIFS('[1]Lastro infra'!$G:$G,'[1]Lastro infra'!$A:$A,$A106)</f>
        <v>#VALUE!</v>
      </c>
      <c r="G106" s="116" t="e">
        <f>SUMIFS([1]ENTREGA!$H:$H,[1]ENTREGA!$A:$A,$A106,[1]ENTREGA!$C:$C,F$1)</f>
        <v>#VALUE!</v>
      </c>
      <c r="H106" s="117"/>
      <c r="I106" s="115">
        <v>0</v>
      </c>
      <c r="J106" s="116">
        <v>0</v>
      </c>
      <c r="K106" s="117"/>
      <c r="L106" s="127">
        <v>3140.7000000000003</v>
      </c>
      <c r="M106" s="117"/>
      <c r="O106" s="99"/>
      <c r="P106" s="10"/>
      <c r="R106" s="10"/>
      <c r="S106" s="10"/>
      <c r="U106" s="10"/>
    </row>
    <row r="107" spans="1:21" x14ac:dyDescent="0.35">
      <c r="A107" s="126">
        <f>A106+1</f>
        <v>46126</v>
      </c>
      <c r="B107" s="118" t="str">
        <f t="shared" si="3"/>
        <v>abr/26</v>
      </c>
      <c r="C107" s="115" t="e">
        <f>SUMIFS([1]PRODUÇÃO!$F:$F,[1]PRODUÇÃO!$A:$A,$A107,[1]PRODUÇÃO!$H:$H,C$1)-SUMIFS('[1]Lastro infra'!$G:$G,'[1]Lastro infra'!$A:$A,$A107)</f>
        <v>#VALUE!</v>
      </c>
      <c r="D107" s="116" t="e">
        <f>SUMIFS([1]ENTREGA!$H:$H,[1]ENTREGA!$A:$A,$A107,[1]ENTREGA!$C:$C,C$1)</f>
        <v>#VALUE!</v>
      </c>
      <c r="E107" s="117"/>
      <c r="F107" s="115" t="e">
        <f>SUMIFS([1]PRODUÇÃO!$F:$F,[1]PRODUÇÃO!$A:$A,$A107,[1]PRODUÇÃO!$H:$H,F$1)-SUMIFS('[1]Lastro infra'!$G:$G,'[1]Lastro infra'!$A:$A,$A107)</f>
        <v>#VALUE!</v>
      </c>
      <c r="G107" s="116" t="e">
        <f>SUMIFS([1]ENTREGA!$H:$H,[1]ENTREGA!$A:$A,$A107,[1]ENTREGA!$C:$C,F$1)</f>
        <v>#VALUE!</v>
      </c>
      <c r="H107" s="117"/>
      <c r="I107" s="115">
        <v>0</v>
      </c>
      <c r="J107" s="116">
        <v>0</v>
      </c>
      <c r="K107" s="117"/>
      <c r="L107" s="127">
        <v>0</v>
      </c>
      <c r="M107" s="117"/>
      <c r="O107" s="99"/>
      <c r="P107" s="10"/>
      <c r="R107" s="10"/>
      <c r="S107" s="10"/>
      <c r="U107" s="10"/>
    </row>
    <row r="108" spans="1:21" x14ac:dyDescent="0.35">
      <c r="A108" s="126">
        <f t="shared" ref="A108:A171" si="5">A107+1</f>
        <v>46127</v>
      </c>
      <c r="B108" s="118" t="str">
        <f t="shared" si="3"/>
        <v>abr/26</v>
      </c>
      <c r="C108" s="115" t="e">
        <f>SUMIFS([1]PRODUÇÃO!$F:$F,[1]PRODUÇÃO!$A:$A,$A108,[1]PRODUÇÃO!$H:$H,C$1)-SUMIFS('[1]Lastro infra'!$G:$G,'[1]Lastro infra'!$A:$A,$A108)</f>
        <v>#VALUE!</v>
      </c>
      <c r="D108" s="116" t="e">
        <f>SUMIFS([1]ENTREGA!$H:$H,[1]ENTREGA!$A:$A,$A108,[1]ENTREGA!$C:$C,C$1)</f>
        <v>#VALUE!</v>
      </c>
      <c r="E108" s="117"/>
      <c r="F108" s="115" t="e">
        <f>SUMIFS([1]PRODUÇÃO!$F:$F,[1]PRODUÇÃO!$A:$A,$A108,[1]PRODUÇÃO!$H:$H,F$1)-SUMIFS('[1]Lastro infra'!$G:$G,'[1]Lastro infra'!$A:$A,$A108)</f>
        <v>#VALUE!</v>
      </c>
      <c r="G108" s="116" t="e">
        <f>SUMIFS([1]ENTREGA!$H:$H,[1]ENTREGA!$A:$A,$A108,[1]ENTREGA!$C:$C,F$1)</f>
        <v>#VALUE!</v>
      </c>
      <c r="H108" s="117"/>
      <c r="I108" s="115">
        <v>0</v>
      </c>
      <c r="J108" s="116">
        <v>0</v>
      </c>
      <c r="K108" s="117"/>
      <c r="L108" s="127">
        <v>0</v>
      </c>
      <c r="M108" s="117"/>
      <c r="O108" s="99"/>
      <c r="P108" s="10"/>
      <c r="R108" s="10"/>
      <c r="S108" s="10"/>
      <c r="U108" s="10"/>
    </row>
    <row r="109" spans="1:21" x14ac:dyDescent="0.35">
      <c r="A109" s="126">
        <f t="shared" si="5"/>
        <v>46128</v>
      </c>
      <c r="B109" s="118" t="str">
        <f t="shared" si="3"/>
        <v>abr/26</v>
      </c>
      <c r="C109" s="115" t="e">
        <f>SUMIFS([1]PRODUÇÃO!$F:$F,[1]PRODUÇÃO!$A:$A,$A109,[1]PRODUÇÃO!$H:$H,C$1)-SUMIFS('[1]Lastro infra'!$G:$G,'[1]Lastro infra'!$A:$A,$A109)</f>
        <v>#VALUE!</v>
      </c>
      <c r="D109" s="116" t="e">
        <f>SUMIFS([1]ENTREGA!$H:$H,[1]ENTREGA!$A:$A,$A109,[1]ENTREGA!$C:$C,C$1)</f>
        <v>#VALUE!</v>
      </c>
      <c r="E109" s="117"/>
      <c r="F109" s="115" t="e">
        <f>SUMIFS([1]PRODUÇÃO!$F:$F,[1]PRODUÇÃO!$A:$A,$A109,[1]PRODUÇÃO!$H:$H,F$1)-SUMIFS('[1]Lastro infra'!$G:$G,'[1]Lastro infra'!$A:$A,$A109)</f>
        <v>#VALUE!</v>
      </c>
      <c r="G109" s="116" t="e">
        <f>SUMIFS([1]ENTREGA!$H:$H,[1]ENTREGA!$A:$A,$A109,[1]ENTREGA!$C:$C,F$1)</f>
        <v>#VALUE!</v>
      </c>
      <c r="H109" s="117"/>
      <c r="I109" s="115">
        <v>0</v>
      </c>
      <c r="J109" s="116">
        <v>0</v>
      </c>
      <c r="K109" s="117"/>
      <c r="L109" s="127">
        <v>0</v>
      </c>
      <c r="M109" s="117"/>
      <c r="O109" s="99"/>
      <c r="P109" s="10"/>
      <c r="R109" s="10"/>
      <c r="S109" s="10"/>
      <c r="U109" s="10"/>
    </row>
    <row r="110" spans="1:21" x14ac:dyDescent="0.35">
      <c r="A110" s="126">
        <f t="shared" si="5"/>
        <v>46129</v>
      </c>
      <c r="B110" s="118" t="str">
        <f t="shared" si="3"/>
        <v>abr/26</v>
      </c>
      <c r="C110" s="115" t="e">
        <f>SUMIFS([1]PRODUÇÃO!$F:$F,[1]PRODUÇÃO!$A:$A,$A110,[1]PRODUÇÃO!$H:$H,C$1)-SUMIFS('[1]Lastro infra'!$G:$G,'[1]Lastro infra'!$A:$A,$A110)</f>
        <v>#VALUE!</v>
      </c>
      <c r="D110" s="116" t="e">
        <f>SUMIFS([1]ENTREGA!$H:$H,[1]ENTREGA!$A:$A,$A110,[1]ENTREGA!$C:$C,C$1)</f>
        <v>#VALUE!</v>
      </c>
      <c r="E110" s="117"/>
      <c r="F110" s="115" t="e">
        <f>SUMIFS([1]PRODUÇÃO!$F:$F,[1]PRODUÇÃO!$A:$A,$A110,[1]PRODUÇÃO!$H:$H,F$1)-SUMIFS('[1]Lastro infra'!$G:$G,'[1]Lastro infra'!$A:$A,$A110)</f>
        <v>#VALUE!</v>
      </c>
      <c r="G110" s="116" t="e">
        <f>SUMIFS([1]ENTREGA!$H:$H,[1]ENTREGA!$A:$A,$A110,[1]ENTREGA!$C:$C,F$1)</f>
        <v>#VALUE!</v>
      </c>
      <c r="H110" s="117"/>
      <c r="I110" s="115">
        <v>0</v>
      </c>
      <c r="J110" s="116">
        <v>0</v>
      </c>
      <c r="K110" s="117"/>
      <c r="L110" s="127">
        <v>2923.2</v>
      </c>
      <c r="M110" s="117"/>
      <c r="O110" s="99"/>
      <c r="P110" s="10"/>
      <c r="R110" s="10"/>
      <c r="S110" s="10"/>
      <c r="U110" s="10"/>
    </row>
    <row r="111" spans="1:21" x14ac:dyDescent="0.35">
      <c r="A111" s="126">
        <f t="shared" si="5"/>
        <v>46130</v>
      </c>
      <c r="B111" s="118" t="str">
        <f t="shared" si="3"/>
        <v>abr/26</v>
      </c>
      <c r="C111" s="115" t="e">
        <f>SUMIFS([1]PRODUÇÃO!$F:$F,[1]PRODUÇÃO!$A:$A,$A111,[1]PRODUÇÃO!$H:$H,C$1)-SUMIFS('[1]Lastro infra'!$G:$G,'[1]Lastro infra'!$A:$A,$A111)</f>
        <v>#VALUE!</v>
      </c>
      <c r="D111" s="116" t="e">
        <f>SUMIFS([1]ENTREGA!$H:$H,[1]ENTREGA!$A:$A,$A111,[1]ENTREGA!$C:$C,C$1)</f>
        <v>#VALUE!</v>
      </c>
      <c r="E111" s="117"/>
      <c r="F111" s="115" t="e">
        <f>SUMIFS([1]PRODUÇÃO!$F:$F,[1]PRODUÇÃO!$A:$A,$A111,[1]PRODUÇÃO!$H:$H,F$1)-SUMIFS('[1]Lastro infra'!$G:$G,'[1]Lastro infra'!$A:$A,$A111)</f>
        <v>#VALUE!</v>
      </c>
      <c r="G111" s="116" t="e">
        <f>SUMIFS([1]ENTREGA!$H:$H,[1]ENTREGA!$A:$A,$A111,[1]ENTREGA!$C:$C,F$1)</f>
        <v>#VALUE!</v>
      </c>
      <c r="H111" s="117"/>
      <c r="I111" s="115">
        <v>0</v>
      </c>
      <c r="J111" s="116">
        <v>0</v>
      </c>
      <c r="K111" s="117"/>
      <c r="L111" s="127">
        <v>0</v>
      </c>
      <c r="M111" s="117"/>
      <c r="O111" s="99"/>
      <c r="P111" s="10"/>
      <c r="R111" s="10"/>
      <c r="S111" s="10"/>
      <c r="U111" s="10"/>
    </row>
    <row r="112" spans="1:21" x14ac:dyDescent="0.35">
      <c r="A112" s="126">
        <f t="shared" si="5"/>
        <v>46131</v>
      </c>
      <c r="B112" s="118" t="str">
        <f t="shared" si="3"/>
        <v>abr/26</v>
      </c>
      <c r="C112" s="115" t="e">
        <f>SUMIFS([1]PRODUÇÃO!$F:$F,[1]PRODUÇÃO!$A:$A,$A112,[1]PRODUÇÃO!$H:$H,C$1)-SUMIFS('[1]Lastro infra'!$G:$G,'[1]Lastro infra'!$A:$A,$A112)</f>
        <v>#VALUE!</v>
      </c>
      <c r="D112" s="116" t="e">
        <f>SUMIFS([1]ENTREGA!$H:$H,[1]ENTREGA!$A:$A,$A112,[1]ENTREGA!$C:$C,C$1)</f>
        <v>#VALUE!</v>
      </c>
      <c r="E112" s="117"/>
      <c r="F112" s="115" t="e">
        <f>SUMIFS([1]PRODUÇÃO!$F:$F,[1]PRODUÇÃO!$A:$A,$A112,[1]PRODUÇÃO!$H:$H,F$1)-SUMIFS('[1]Lastro infra'!$G:$G,'[1]Lastro infra'!$A:$A,$A112)</f>
        <v>#VALUE!</v>
      </c>
      <c r="G112" s="116" t="e">
        <f>SUMIFS([1]ENTREGA!$H:$H,[1]ENTREGA!$A:$A,$A112,[1]ENTREGA!$C:$C,F$1)</f>
        <v>#VALUE!</v>
      </c>
      <c r="H112" s="117"/>
      <c r="I112" s="115">
        <v>0</v>
      </c>
      <c r="J112" s="116">
        <v>0</v>
      </c>
      <c r="K112" s="117"/>
      <c r="L112" s="127">
        <v>0</v>
      </c>
      <c r="M112" s="117"/>
      <c r="O112" s="99"/>
      <c r="P112" s="10"/>
      <c r="R112" s="10"/>
      <c r="S112" s="10"/>
      <c r="U112" s="10"/>
    </row>
    <row r="113" spans="1:21" x14ac:dyDescent="0.35">
      <c r="A113" s="126">
        <f t="shared" si="5"/>
        <v>46132</v>
      </c>
      <c r="B113" s="118" t="str">
        <f t="shared" si="3"/>
        <v>abr/26</v>
      </c>
      <c r="C113" s="115" t="e">
        <f>SUMIFS([1]PRODUÇÃO!$F:$F,[1]PRODUÇÃO!$A:$A,$A113,[1]PRODUÇÃO!$H:$H,C$1)-SUMIFS('[1]Lastro infra'!$G:$G,'[1]Lastro infra'!$A:$A,$A113)</f>
        <v>#VALUE!</v>
      </c>
      <c r="D113" s="116" t="e">
        <f>SUMIFS([1]ENTREGA!$H:$H,[1]ENTREGA!$A:$A,$A113,[1]ENTREGA!$C:$C,C$1)</f>
        <v>#VALUE!</v>
      </c>
      <c r="E113" s="117"/>
      <c r="F113" s="115" t="e">
        <f>SUMIFS([1]PRODUÇÃO!$F:$F,[1]PRODUÇÃO!$A:$A,$A113,[1]PRODUÇÃO!$H:$H,F$1)-SUMIFS('[1]Lastro infra'!$G:$G,'[1]Lastro infra'!$A:$A,$A113)</f>
        <v>#VALUE!</v>
      </c>
      <c r="G113" s="116" t="e">
        <f>SUMIFS([1]ENTREGA!$H:$H,[1]ENTREGA!$A:$A,$A113,[1]ENTREGA!$C:$C,F$1)</f>
        <v>#VALUE!</v>
      </c>
      <c r="H113" s="117"/>
      <c r="I113" s="115">
        <v>0</v>
      </c>
      <c r="J113" s="116">
        <v>0</v>
      </c>
      <c r="K113" s="117"/>
      <c r="L113" s="127">
        <v>0</v>
      </c>
      <c r="M113" s="117"/>
      <c r="O113" s="99"/>
      <c r="P113" s="10"/>
      <c r="R113" s="10"/>
      <c r="S113" s="10"/>
      <c r="U113" s="10"/>
    </row>
    <row r="114" spans="1:21" x14ac:dyDescent="0.35">
      <c r="A114" s="126">
        <f t="shared" si="5"/>
        <v>46133</v>
      </c>
      <c r="B114" s="118" t="str">
        <f t="shared" si="3"/>
        <v>abr/26</v>
      </c>
      <c r="C114" s="115" t="e">
        <f>SUMIFS([1]PRODUÇÃO!$F:$F,[1]PRODUÇÃO!$A:$A,$A114,[1]PRODUÇÃO!$H:$H,C$1)-SUMIFS('[1]Lastro infra'!$G:$G,'[1]Lastro infra'!$A:$A,$A114)</f>
        <v>#VALUE!</v>
      </c>
      <c r="D114" s="116" t="e">
        <f>SUMIFS([1]ENTREGA!$H:$H,[1]ENTREGA!$A:$A,$A114,[1]ENTREGA!$C:$C,C$1)</f>
        <v>#VALUE!</v>
      </c>
      <c r="E114" s="117"/>
      <c r="F114" s="115" t="e">
        <f>SUMIFS([1]PRODUÇÃO!$F:$F,[1]PRODUÇÃO!$A:$A,$A114,[1]PRODUÇÃO!$H:$H,F$1)-SUMIFS('[1]Lastro infra'!$G:$G,'[1]Lastro infra'!$A:$A,$A114)</f>
        <v>#VALUE!</v>
      </c>
      <c r="G114" s="116" t="e">
        <f>SUMIFS([1]ENTREGA!$H:$H,[1]ENTREGA!$A:$A,$A114,[1]ENTREGA!$C:$C,F$1)</f>
        <v>#VALUE!</v>
      </c>
      <c r="H114" s="117"/>
      <c r="I114" s="115">
        <v>0</v>
      </c>
      <c r="J114" s="116">
        <v>0</v>
      </c>
      <c r="K114" s="117"/>
      <c r="L114" s="127">
        <v>0</v>
      </c>
      <c r="M114" s="117"/>
      <c r="O114" s="99"/>
      <c r="P114" s="10"/>
      <c r="R114" s="10"/>
      <c r="S114" s="10"/>
      <c r="U114" s="10"/>
    </row>
    <row r="115" spans="1:21" x14ac:dyDescent="0.35">
      <c r="A115" s="126">
        <f t="shared" si="5"/>
        <v>46134</v>
      </c>
      <c r="B115" s="118" t="str">
        <f t="shared" si="3"/>
        <v>abr/26</v>
      </c>
      <c r="C115" s="115" t="e">
        <f>SUMIFS([1]PRODUÇÃO!$F:$F,[1]PRODUÇÃO!$A:$A,$A115,[1]PRODUÇÃO!$H:$H,C$1)-SUMIFS('[1]Lastro infra'!$G:$G,'[1]Lastro infra'!$A:$A,$A115)</f>
        <v>#VALUE!</v>
      </c>
      <c r="D115" s="116" t="e">
        <f>SUMIFS([1]ENTREGA!$H:$H,[1]ENTREGA!$A:$A,$A115,[1]ENTREGA!$C:$C,C$1)</f>
        <v>#VALUE!</v>
      </c>
      <c r="E115" s="117"/>
      <c r="F115" s="115" t="e">
        <f>SUMIFS([1]PRODUÇÃO!$F:$F,[1]PRODUÇÃO!$A:$A,$A115,[1]PRODUÇÃO!$H:$H,F$1)-SUMIFS('[1]Lastro infra'!$G:$G,'[1]Lastro infra'!$A:$A,$A115)</f>
        <v>#VALUE!</v>
      </c>
      <c r="G115" s="116" t="e">
        <f>SUMIFS([1]ENTREGA!$H:$H,[1]ENTREGA!$A:$A,$A115,[1]ENTREGA!$C:$C,F$1)</f>
        <v>#VALUE!</v>
      </c>
      <c r="H115" s="117"/>
      <c r="I115" s="115">
        <v>0</v>
      </c>
      <c r="J115" s="116">
        <v>0</v>
      </c>
      <c r="K115" s="117"/>
      <c r="L115" s="127">
        <v>0</v>
      </c>
      <c r="M115" s="117"/>
      <c r="O115" s="99"/>
      <c r="P115" s="10"/>
      <c r="R115" s="10"/>
      <c r="S115" s="10"/>
      <c r="U115" s="10"/>
    </row>
    <row r="116" spans="1:21" x14ac:dyDescent="0.35">
      <c r="A116" s="126">
        <f t="shared" si="5"/>
        <v>46135</v>
      </c>
      <c r="B116" s="118" t="str">
        <f t="shared" si="3"/>
        <v>abr/26</v>
      </c>
      <c r="C116" s="115" t="e">
        <f>SUMIFS([1]PRODUÇÃO!$F:$F,[1]PRODUÇÃO!$A:$A,$A116,[1]PRODUÇÃO!$H:$H,C$1)-SUMIFS('[1]Lastro infra'!$G:$G,'[1]Lastro infra'!$A:$A,$A116)</f>
        <v>#VALUE!</v>
      </c>
      <c r="D116" s="116" t="e">
        <f>SUMIFS([1]ENTREGA!$H:$H,[1]ENTREGA!$A:$A,$A116,[1]ENTREGA!$C:$C,C$1)</f>
        <v>#VALUE!</v>
      </c>
      <c r="E116" s="117"/>
      <c r="F116" s="115" t="e">
        <f>SUMIFS([1]PRODUÇÃO!$F:$F,[1]PRODUÇÃO!$A:$A,$A116,[1]PRODUÇÃO!$H:$H,F$1)-SUMIFS('[1]Lastro infra'!$G:$G,'[1]Lastro infra'!$A:$A,$A116)</f>
        <v>#VALUE!</v>
      </c>
      <c r="G116" s="116" t="e">
        <f>SUMIFS([1]ENTREGA!$H:$H,[1]ENTREGA!$A:$A,$A116,[1]ENTREGA!$C:$C,F$1)</f>
        <v>#VALUE!</v>
      </c>
      <c r="H116" s="117"/>
      <c r="I116" s="115">
        <v>0</v>
      </c>
      <c r="J116" s="116">
        <v>0</v>
      </c>
      <c r="K116" s="117"/>
      <c r="L116" s="127">
        <v>2984.1</v>
      </c>
      <c r="M116" s="117"/>
      <c r="O116" s="99"/>
      <c r="P116" s="10"/>
      <c r="R116" s="10"/>
      <c r="S116" s="10"/>
      <c r="U116" s="10"/>
    </row>
    <row r="117" spans="1:21" x14ac:dyDescent="0.35">
      <c r="A117" s="126">
        <f t="shared" si="5"/>
        <v>46136</v>
      </c>
      <c r="B117" s="118" t="str">
        <f t="shared" si="3"/>
        <v>abr/26</v>
      </c>
      <c r="C117" s="115" t="e">
        <f>SUMIFS([1]PRODUÇÃO!$F:$F,[1]PRODUÇÃO!$A:$A,$A117,[1]PRODUÇÃO!$H:$H,C$1)-SUMIFS('[1]Lastro infra'!$G:$G,'[1]Lastro infra'!$A:$A,$A117)</f>
        <v>#VALUE!</v>
      </c>
      <c r="D117" s="116" t="e">
        <f>SUMIFS([1]ENTREGA!$H:$H,[1]ENTREGA!$A:$A,$A117,[1]ENTREGA!$C:$C,C$1)</f>
        <v>#VALUE!</v>
      </c>
      <c r="E117" s="117"/>
      <c r="F117" s="115" t="e">
        <f>SUMIFS([1]PRODUÇÃO!$F:$F,[1]PRODUÇÃO!$A:$A,$A117,[1]PRODUÇÃO!$H:$H,F$1)-SUMIFS('[1]Lastro infra'!$G:$G,'[1]Lastro infra'!$A:$A,$A117)</f>
        <v>#VALUE!</v>
      </c>
      <c r="G117" s="116" t="e">
        <f>SUMIFS([1]ENTREGA!$H:$H,[1]ENTREGA!$A:$A,$A117,[1]ENTREGA!$C:$C,F$1)</f>
        <v>#VALUE!</v>
      </c>
      <c r="H117" s="117"/>
      <c r="I117" s="115">
        <v>0</v>
      </c>
      <c r="J117" s="116">
        <v>0</v>
      </c>
      <c r="K117" s="117"/>
      <c r="L117" s="127">
        <v>812</v>
      </c>
      <c r="M117" s="117"/>
      <c r="O117" s="99"/>
      <c r="P117" s="10"/>
      <c r="R117" s="10"/>
      <c r="S117" s="10"/>
      <c r="U117" s="10"/>
    </row>
    <row r="118" spans="1:21" x14ac:dyDescent="0.35">
      <c r="A118" s="126">
        <f t="shared" si="5"/>
        <v>46137</v>
      </c>
      <c r="B118" s="118" t="str">
        <f t="shared" si="3"/>
        <v>abr/26</v>
      </c>
      <c r="C118" s="115" t="e">
        <f>SUMIFS([1]PRODUÇÃO!$F:$F,[1]PRODUÇÃO!$A:$A,$A118,[1]PRODUÇÃO!$H:$H,C$1)-SUMIFS('[1]Lastro infra'!$G:$G,'[1]Lastro infra'!$A:$A,$A118)</f>
        <v>#VALUE!</v>
      </c>
      <c r="D118" s="116" t="e">
        <f>SUMIFS([1]ENTREGA!$H:$H,[1]ENTREGA!$A:$A,$A118,[1]ENTREGA!$C:$C,C$1)</f>
        <v>#VALUE!</v>
      </c>
      <c r="E118" s="117"/>
      <c r="F118" s="115" t="e">
        <f>SUMIFS([1]PRODUÇÃO!$F:$F,[1]PRODUÇÃO!$A:$A,$A118,[1]PRODUÇÃO!$H:$H,F$1)-SUMIFS('[1]Lastro infra'!$G:$G,'[1]Lastro infra'!$A:$A,$A118)</f>
        <v>#VALUE!</v>
      </c>
      <c r="G118" s="116" t="e">
        <f>SUMIFS([1]ENTREGA!$H:$H,[1]ENTREGA!$A:$A,$A118,[1]ENTREGA!$C:$C,F$1)</f>
        <v>#VALUE!</v>
      </c>
      <c r="H118" s="117"/>
      <c r="I118" s="115">
        <v>0</v>
      </c>
      <c r="J118" s="116">
        <v>0</v>
      </c>
      <c r="K118" s="117"/>
      <c r="L118" s="127">
        <v>730.8</v>
      </c>
      <c r="M118" s="117"/>
      <c r="O118" s="99"/>
      <c r="P118" s="10"/>
      <c r="R118" s="10"/>
      <c r="S118" s="10"/>
      <c r="U118" s="10"/>
    </row>
    <row r="119" spans="1:21" x14ac:dyDescent="0.35">
      <c r="A119" s="126">
        <f t="shared" si="5"/>
        <v>46138</v>
      </c>
      <c r="B119" s="118" t="str">
        <f t="shared" si="3"/>
        <v>abr/26</v>
      </c>
      <c r="C119" s="115" t="e">
        <f>SUMIFS([1]PRODUÇÃO!$F:$F,[1]PRODUÇÃO!$A:$A,$A119,[1]PRODUÇÃO!$H:$H,C$1)-SUMIFS('[1]Lastro infra'!$G:$G,'[1]Lastro infra'!$A:$A,$A119)</f>
        <v>#VALUE!</v>
      </c>
      <c r="D119" s="116" t="e">
        <f>SUMIFS([1]ENTREGA!$H:$H,[1]ENTREGA!$A:$A,$A119,[1]ENTREGA!$C:$C,C$1)</f>
        <v>#VALUE!</v>
      </c>
      <c r="E119" s="117"/>
      <c r="F119" s="115" t="e">
        <f>SUMIFS([1]PRODUÇÃO!$F:$F,[1]PRODUÇÃO!$A:$A,$A119,[1]PRODUÇÃO!$H:$H,F$1)-SUMIFS('[1]Lastro infra'!$G:$G,'[1]Lastro infra'!$A:$A,$A119)</f>
        <v>#VALUE!</v>
      </c>
      <c r="G119" s="116" t="e">
        <f>SUMIFS([1]ENTREGA!$H:$H,[1]ENTREGA!$A:$A,$A119,[1]ENTREGA!$C:$C,F$1)</f>
        <v>#VALUE!</v>
      </c>
      <c r="H119" s="117"/>
      <c r="I119" s="115">
        <v>0</v>
      </c>
      <c r="J119" s="116">
        <v>0</v>
      </c>
      <c r="K119" s="117"/>
      <c r="L119" s="127">
        <v>0</v>
      </c>
      <c r="M119" s="117"/>
      <c r="O119" s="99"/>
      <c r="P119" s="10"/>
      <c r="R119" s="10"/>
      <c r="S119" s="10"/>
      <c r="U119" s="10"/>
    </row>
    <row r="120" spans="1:21" x14ac:dyDescent="0.35">
      <c r="A120" s="126">
        <f t="shared" si="5"/>
        <v>46139</v>
      </c>
      <c r="B120" s="118" t="str">
        <f t="shared" si="3"/>
        <v>abr/26</v>
      </c>
      <c r="C120" s="115" t="e">
        <f>SUMIFS([1]PRODUÇÃO!$F:$F,[1]PRODUÇÃO!$A:$A,$A120,[1]PRODUÇÃO!$H:$H,C$1)-SUMIFS('[1]Lastro infra'!$G:$G,'[1]Lastro infra'!$A:$A,$A120)</f>
        <v>#VALUE!</v>
      </c>
      <c r="D120" s="116" t="e">
        <f>SUMIFS([1]ENTREGA!$H:$H,[1]ENTREGA!$A:$A,$A120,[1]ENTREGA!$C:$C,C$1)</f>
        <v>#VALUE!</v>
      </c>
      <c r="E120" s="117"/>
      <c r="F120" s="115" t="e">
        <f>SUMIFS([1]PRODUÇÃO!$F:$F,[1]PRODUÇÃO!$A:$A,$A120,[1]PRODUÇÃO!$H:$H,F$1)-SUMIFS('[1]Lastro infra'!$G:$G,'[1]Lastro infra'!$A:$A,$A120)</f>
        <v>#VALUE!</v>
      </c>
      <c r="G120" s="116" t="e">
        <f>SUMIFS([1]ENTREGA!$H:$H,[1]ENTREGA!$A:$A,$A120,[1]ENTREGA!$C:$C,F$1)</f>
        <v>#VALUE!</v>
      </c>
      <c r="H120" s="117"/>
      <c r="I120" s="115">
        <v>0</v>
      </c>
      <c r="J120" s="116">
        <v>0</v>
      </c>
      <c r="K120" s="117"/>
      <c r="L120" s="127">
        <v>6303.15</v>
      </c>
      <c r="M120" s="117"/>
      <c r="O120" s="99"/>
      <c r="P120" s="10"/>
      <c r="R120" s="10"/>
      <c r="S120" s="10"/>
      <c r="U120" s="10"/>
    </row>
    <row r="121" spans="1:21" x14ac:dyDescent="0.35">
      <c r="A121" s="126">
        <f t="shared" si="5"/>
        <v>46140</v>
      </c>
      <c r="B121" s="118" t="str">
        <f t="shared" si="3"/>
        <v>abr/26</v>
      </c>
      <c r="C121" s="115" t="e">
        <f>SUMIFS([1]PRODUÇÃO!$F:$F,[1]PRODUÇÃO!$A:$A,$A121,[1]PRODUÇÃO!$H:$H,C$1)-SUMIFS('[1]Lastro infra'!$G:$G,'[1]Lastro infra'!$A:$A,$A121)</f>
        <v>#VALUE!</v>
      </c>
      <c r="D121" s="116" t="e">
        <f>SUMIFS([1]ENTREGA!$H:$H,[1]ENTREGA!$A:$A,$A121,[1]ENTREGA!$C:$C,C$1)</f>
        <v>#VALUE!</v>
      </c>
      <c r="E121" s="117"/>
      <c r="F121" s="115" t="e">
        <f>SUMIFS([1]PRODUÇÃO!$F:$F,[1]PRODUÇÃO!$A:$A,$A121,[1]PRODUÇÃO!$H:$H,F$1)-SUMIFS('[1]Lastro infra'!$G:$G,'[1]Lastro infra'!$A:$A,$A121)</f>
        <v>#VALUE!</v>
      </c>
      <c r="G121" s="116" t="e">
        <f>SUMIFS([1]ENTREGA!$H:$H,[1]ENTREGA!$A:$A,$A121,[1]ENTREGA!$C:$C,F$1)</f>
        <v>#VALUE!</v>
      </c>
      <c r="H121" s="117"/>
      <c r="I121" s="115">
        <v>0</v>
      </c>
      <c r="J121" s="116">
        <v>0</v>
      </c>
      <c r="K121" s="117"/>
      <c r="L121" s="127">
        <v>974.4</v>
      </c>
      <c r="M121" s="117"/>
      <c r="O121" s="99"/>
      <c r="P121" s="10"/>
      <c r="R121" s="10"/>
      <c r="S121" s="10"/>
      <c r="U121" s="10"/>
    </row>
    <row r="122" spans="1:21" x14ac:dyDescent="0.35">
      <c r="A122" s="126">
        <f t="shared" si="5"/>
        <v>46141</v>
      </c>
      <c r="B122" s="118" t="str">
        <f t="shared" si="3"/>
        <v>abr/26</v>
      </c>
      <c r="C122" s="115" t="e">
        <f>SUMIFS([1]PRODUÇÃO!$F:$F,[1]PRODUÇÃO!$A:$A,$A122,[1]PRODUÇÃO!$H:$H,C$1)-SUMIFS('[1]Lastro infra'!$G:$G,'[1]Lastro infra'!$A:$A,$A122)</f>
        <v>#VALUE!</v>
      </c>
      <c r="D122" s="116" t="e">
        <f>SUMIFS([1]ENTREGA!$H:$H,[1]ENTREGA!$A:$A,$A122,[1]ENTREGA!$C:$C,C$1)</f>
        <v>#VALUE!</v>
      </c>
      <c r="E122" s="117"/>
      <c r="F122" s="115" t="e">
        <f>SUMIFS([1]PRODUÇÃO!$F:$F,[1]PRODUÇÃO!$A:$A,$A122,[1]PRODUÇÃO!$H:$H,F$1)-SUMIFS('[1]Lastro infra'!$G:$G,'[1]Lastro infra'!$A:$A,$A122)</f>
        <v>#VALUE!</v>
      </c>
      <c r="G122" s="116" t="e">
        <f>SUMIFS([1]ENTREGA!$H:$H,[1]ENTREGA!$A:$A,$A122,[1]ENTREGA!$C:$C,F$1)</f>
        <v>#VALUE!</v>
      </c>
      <c r="H122" s="117"/>
      <c r="I122" s="115">
        <v>0</v>
      </c>
      <c r="J122" s="116">
        <v>0</v>
      </c>
      <c r="K122" s="117"/>
      <c r="L122" s="127">
        <v>548.1</v>
      </c>
      <c r="M122" s="117"/>
      <c r="O122" s="99"/>
      <c r="P122" s="10"/>
      <c r="R122" s="10"/>
      <c r="S122" s="10"/>
      <c r="U122" s="10"/>
    </row>
    <row r="123" spans="1:21" x14ac:dyDescent="0.35">
      <c r="A123" s="126">
        <f t="shared" si="5"/>
        <v>46142</v>
      </c>
      <c r="B123" s="118" t="str">
        <f t="shared" si="3"/>
        <v>abr/26</v>
      </c>
      <c r="C123" s="115" t="e">
        <f>SUMIFS([1]PRODUÇÃO!$F:$F,[1]PRODUÇÃO!$A:$A,$A123,[1]PRODUÇÃO!$H:$H,C$1)-SUMIFS('[1]Lastro infra'!$G:$G,'[1]Lastro infra'!$A:$A,$A123)</f>
        <v>#VALUE!</v>
      </c>
      <c r="D123" s="116" t="e">
        <f>SUMIFS([1]ENTREGA!$H:$H,[1]ENTREGA!$A:$A,$A123,[1]ENTREGA!$C:$C,C$1)</f>
        <v>#VALUE!</v>
      </c>
      <c r="E123" s="117"/>
      <c r="F123" s="115" t="e">
        <f>SUMIFS([1]PRODUÇÃO!$F:$F,[1]PRODUÇÃO!$A:$A,$A123,[1]PRODUÇÃO!$H:$H,F$1)-SUMIFS('[1]Lastro infra'!$G:$G,'[1]Lastro infra'!$A:$A,$A123)</f>
        <v>#VALUE!</v>
      </c>
      <c r="G123" s="116" t="e">
        <f>SUMIFS([1]ENTREGA!$H:$H,[1]ENTREGA!$A:$A,$A123,[1]ENTREGA!$C:$C,F$1)</f>
        <v>#VALUE!</v>
      </c>
      <c r="H123" s="117"/>
      <c r="I123" s="115">
        <v>0</v>
      </c>
      <c r="J123" s="116">
        <v>0</v>
      </c>
      <c r="K123" s="117"/>
      <c r="L123" s="127">
        <v>203</v>
      </c>
      <c r="M123" s="117"/>
      <c r="O123" s="99"/>
      <c r="P123" s="10"/>
      <c r="R123" s="10"/>
      <c r="S123" s="10"/>
      <c r="U123" s="10"/>
    </row>
    <row r="124" spans="1:21" x14ac:dyDescent="0.35">
      <c r="A124" s="126">
        <f t="shared" si="5"/>
        <v>46143</v>
      </c>
      <c r="B124" s="118" t="str">
        <f t="shared" si="3"/>
        <v>mai/26</v>
      </c>
      <c r="C124" s="115" t="e">
        <f>SUMIFS([1]PRODUÇÃO!$F:$F,[1]PRODUÇÃO!$A:$A,$A124,[1]PRODUÇÃO!$H:$H,C$1)-SUMIFS('[1]Lastro infra'!$G:$G,'[1]Lastro infra'!$A:$A,$A124)</f>
        <v>#VALUE!</v>
      </c>
      <c r="D124" s="116" t="e">
        <f>SUMIFS([1]ENTREGA!$H:$H,[1]ENTREGA!$A:$A,$A124,[1]ENTREGA!$C:$C,C$1)</f>
        <v>#VALUE!</v>
      </c>
      <c r="E124" s="117"/>
      <c r="F124" s="115" t="e">
        <f>SUMIFS([1]PRODUÇÃO!$F:$F,[1]PRODUÇÃO!$A:$A,$A124,[1]PRODUÇÃO!$H:$H,F$1)-SUMIFS('[1]Lastro infra'!$G:$G,'[1]Lastro infra'!$A:$A,$A124)</f>
        <v>#VALUE!</v>
      </c>
      <c r="G124" s="116" t="e">
        <f>SUMIFS([1]ENTREGA!$H:$H,[1]ENTREGA!$A:$A,$A124,[1]ENTREGA!$C:$C,F$1)</f>
        <v>#VALUE!</v>
      </c>
      <c r="H124" s="117"/>
      <c r="I124" s="115">
        <v>0</v>
      </c>
      <c r="J124" s="116">
        <v>0</v>
      </c>
      <c r="K124" s="117"/>
      <c r="L124" s="127">
        <v>2233</v>
      </c>
      <c r="M124" s="117"/>
      <c r="O124" s="99"/>
      <c r="P124" s="10"/>
      <c r="R124" s="10"/>
      <c r="S124" s="10"/>
      <c r="U124" s="10"/>
    </row>
    <row r="125" spans="1:21" x14ac:dyDescent="0.35">
      <c r="A125" s="126">
        <f t="shared" si="5"/>
        <v>46144</v>
      </c>
      <c r="B125" s="118" t="str">
        <f t="shared" si="3"/>
        <v>mai/26</v>
      </c>
      <c r="C125" s="115" t="e">
        <f>SUMIFS([1]PRODUÇÃO!$F:$F,[1]PRODUÇÃO!$A:$A,$A125,[1]PRODUÇÃO!$H:$H,C$1)-SUMIFS('[1]Lastro infra'!$G:$G,'[1]Lastro infra'!$A:$A,$A125)</f>
        <v>#VALUE!</v>
      </c>
      <c r="D125" s="116" t="e">
        <f>SUMIFS([1]ENTREGA!$H:$H,[1]ENTREGA!$A:$A,$A125,[1]ENTREGA!$C:$C,C$1)</f>
        <v>#VALUE!</v>
      </c>
      <c r="E125" s="117"/>
      <c r="F125" s="115" t="e">
        <f>SUMIFS([1]PRODUÇÃO!$F:$F,[1]PRODUÇÃO!$A:$A,$A125,[1]PRODUÇÃO!$H:$H,F$1)-SUMIFS('[1]Lastro infra'!$G:$G,'[1]Lastro infra'!$A:$A,$A125)</f>
        <v>#VALUE!</v>
      </c>
      <c r="G125" s="116" t="e">
        <f>SUMIFS([1]ENTREGA!$H:$H,[1]ENTREGA!$A:$A,$A125,[1]ENTREGA!$C:$C,F$1)</f>
        <v>#VALUE!</v>
      </c>
      <c r="H125" s="117"/>
      <c r="I125" s="115">
        <v>0</v>
      </c>
      <c r="J125" s="116">
        <v>0</v>
      </c>
      <c r="K125" s="117"/>
      <c r="L125" s="127">
        <v>609</v>
      </c>
      <c r="M125" s="117"/>
      <c r="O125" s="99"/>
      <c r="P125" s="10"/>
      <c r="R125" s="10"/>
      <c r="S125" s="10"/>
      <c r="U125" s="10"/>
    </row>
    <row r="126" spans="1:21" x14ac:dyDescent="0.35">
      <c r="A126" s="126">
        <f t="shared" si="5"/>
        <v>46145</v>
      </c>
      <c r="B126" s="118" t="str">
        <f t="shared" si="3"/>
        <v>mai/26</v>
      </c>
      <c r="C126" s="115" t="e">
        <f>SUMIFS([1]PRODUÇÃO!$F:$F,[1]PRODUÇÃO!$A:$A,$A126,[1]PRODUÇÃO!$H:$H,C$1)-SUMIFS('[1]Lastro infra'!$G:$G,'[1]Lastro infra'!$A:$A,$A126)</f>
        <v>#VALUE!</v>
      </c>
      <c r="D126" s="116" t="e">
        <f>SUMIFS([1]ENTREGA!$H:$H,[1]ENTREGA!$A:$A,$A126,[1]ENTREGA!$C:$C,C$1)</f>
        <v>#VALUE!</v>
      </c>
      <c r="E126" s="117"/>
      <c r="F126" s="115" t="e">
        <f>SUMIFS([1]PRODUÇÃO!$F:$F,[1]PRODUÇÃO!$A:$A,$A126,[1]PRODUÇÃO!$H:$H,F$1)-SUMIFS('[1]Lastro infra'!$G:$G,'[1]Lastro infra'!$A:$A,$A126)</f>
        <v>#VALUE!</v>
      </c>
      <c r="G126" s="116" t="e">
        <f>SUMIFS([1]ENTREGA!$H:$H,[1]ENTREGA!$A:$A,$A126,[1]ENTREGA!$C:$C,F$1)</f>
        <v>#VALUE!</v>
      </c>
      <c r="H126" s="117"/>
      <c r="I126" s="115">
        <v>0</v>
      </c>
      <c r="J126" s="116">
        <v>0</v>
      </c>
      <c r="K126" s="117"/>
      <c r="L126" s="127">
        <v>0</v>
      </c>
      <c r="M126" s="117"/>
      <c r="O126" s="99"/>
      <c r="P126" s="10"/>
      <c r="R126" s="10"/>
      <c r="S126" s="10"/>
      <c r="U126" s="10"/>
    </row>
    <row r="127" spans="1:21" x14ac:dyDescent="0.35">
      <c r="A127" s="126">
        <f t="shared" si="5"/>
        <v>46146</v>
      </c>
      <c r="B127" s="118" t="str">
        <f t="shared" si="3"/>
        <v>mai/26</v>
      </c>
      <c r="C127" s="115" t="e">
        <f>SUMIFS([1]PRODUÇÃO!$F:$F,[1]PRODUÇÃO!$A:$A,$A127,[1]PRODUÇÃO!$H:$H,C$1)-SUMIFS('[1]Lastro infra'!$G:$G,'[1]Lastro infra'!$A:$A,$A127)</f>
        <v>#VALUE!</v>
      </c>
      <c r="D127" s="116" t="e">
        <f>SUMIFS([1]ENTREGA!$H:$H,[1]ENTREGA!$A:$A,$A127,[1]ENTREGA!$C:$C,C$1)</f>
        <v>#VALUE!</v>
      </c>
      <c r="E127" s="117"/>
      <c r="F127" s="115" t="e">
        <f>SUMIFS([1]PRODUÇÃO!$F:$F,[1]PRODUÇÃO!$A:$A,$A127,[1]PRODUÇÃO!$H:$H,F$1)-SUMIFS('[1]Lastro infra'!$G:$G,'[1]Lastro infra'!$A:$A,$A127)</f>
        <v>#VALUE!</v>
      </c>
      <c r="G127" s="116" t="e">
        <f>SUMIFS([1]ENTREGA!$H:$H,[1]ENTREGA!$A:$A,$A127,[1]ENTREGA!$C:$C,F$1)</f>
        <v>#VALUE!</v>
      </c>
      <c r="H127" s="117"/>
      <c r="I127" s="115">
        <v>0</v>
      </c>
      <c r="J127" s="116">
        <v>0</v>
      </c>
      <c r="K127" s="117"/>
      <c r="L127" s="127">
        <v>751.1</v>
      </c>
      <c r="M127" s="117"/>
      <c r="O127" s="99"/>
      <c r="P127" s="10"/>
      <c r="R127" s="10"/>
      <c r="S127" s="10"/>
      <c r="U127" s="10"/>
    </row>
    <row r="128" spans="1:21" x14ac:dyDescent="0.35">
      <c r="A128" s="126">
        <f t="shared" si="5"/>
        <v>46147</v>
      </c>
      <c r="B128" s="118" t="str">
        <f t="shared" si="3"/>
        <v>mai/26</v>
      </c>
      <c r="C128" s="115" t="e">
        <f>SUMIFS([1]PRODUÇÃO!$F:$F,[1]PRODUÇÃO!$A:$A,$A128,[1]PRODUÇÃO!$H:$H,C$1)-SUMIFS('[1]Lastro infra'!$G:$G,'[1]Lastro infra'!$A:$A,$A128)</f>
        <v>#VALUE!</v>
      </c>
      <c r="D128" s="116" t="e">
        <f>SUMIFS([1]ENTREGA!$H:$H,[1]ENTREGA!$A:$A,$A128,[1]ENTREGA!$C:$C,C$1)</f>
        <v>#VALUE!</v>
      </c>
      <c r="E128" s="117"/>
      <c r="F128" s="115" t="e">
        <f>SUMIFS([1]PRODUÇÃO!$F:$F,[1]PRODUÇÃO!$A:$A,$A128,[1]PRODUÇÃO!$H:$H,F$1)-SUMIFS('[1]Lastro infra'!$G:$G,'[1]Lastro infra'!$A:$A,$A128)</f>
        <v>#VALUE!</v>
      </c>
      <c r="G128" s="116" t="e">
        <f>SUMIFS([1]ENTREGA!$H:$H,[1]ENTREGA!$A:$A,$A128,[1]ENTREGA!$C:$C,F$1)</f>
        <v>#VALUE!</v>
      </c>
      <c r="H128" s="117"/>
      <c r="I128" s="115">
        <v>0</v>
      </c>
      <c r="J128" s="116">
        <v>0</v>
      </c>
      <c r="K128" s="117"/>
      <c r="L128" s="127">
        <v>751.1</v>
      </c>
      <c r="M128" s="117"/>
      <c r="O128" s="99"/>
      <c r="P128" s="10"/>
      <c r="R128" s="10"/>
      <c r="S128" s="10"/>
      <c r="U128" s="10"/>
    </row>
    <row r="129" spans="1:21" x14ac:dyDescent="0.35">
      <c r="A129" s="126">
        <f t="shared" si="5"/>
        <v>46148</v>
      </c>
      <c r="B129" s="118" t="str">
        <f t="shared" si="3"/>
        <v>mai/26</v>
      </c>
      <c r="C129" s="115" t="e">
        <f>SUMIFS([1]PRODUÇÃO!$F:$F,[1]PRODUÇÃO!$A:$A,$A129,[1]PRODUÇÃO!$H:$H,C$1)-SUMIFS('[1]Lastro infra'!$G:$G,'[1]Lastro infra'!$A:$A,$A129)</f>
        <v>#VALUE!</v>
      </c>
      <c r="D129" s="116" t="e">
        <f>SUMIFS([1]ENTREGA!$H:$H,[1]ENTREGA!$A:$A,$A129,[1]ENTREGA!$C:$C,C$1)</f>
        <v>#VALUE!</v>
      </c>
      <c r="E129" s="117"/>
      <c r="F129" s="115" t="e">
        <f>SUMIFS([1]PRODUÇÃO!$F:$F,[1]PRODUÇÃO!$A:$A,$A129,[1]PRODUÇÃO!$H:$H,F$1)-SUMIFS('[1]Lastro infra'!$G:$G,'[1]Lastro infra'!$A:$A,$A129)</f>
        <v>#VALUE!</v>
      </c>
      <c r="G129" s="116" t="e">
        <f>SUMIFS([1]ENTREGA!$H:$H,[1]ENTREGA!$A:$A,$A129,[1]ENTREGA!$C:$C,F$1)</f>
        <v>#VALUE!</v>
      </c>
      <c r="H129" s="117"/>
      <c r="I129" s="115">
        <v>0</v>
      </c>
      <c r="J129" s="116">
        <v>0</v>
      </c>
      <c r="K129" s="117"/>
      <c r="L129" s="127">
        <v>812</v>
      </c>
      <c r="M129" s="117"/>
      <c r="O129" s="99"/>
      <c r="P129" s="10"/>
      <c r="R129" s="10"/>
      <c r="S129" s="10"/>
      <c r="U129" s="10"/>
    </row>
    <row r="130" spans="1:21" x14ac:dyDescent="0.35">
      <c r="A130" s="126">
        <f t="shared" si="5"/>
        <v>46149</v>
      </c>
      <c r="B130" s="118" t="str">
        <f t="shared" si="3"/>
        <v>mai/26</v>
      </c>
      <c r="C130" s="115" t="e">
        <f>SUMIFS([1]PRODUÇÃO!$F:$F,[1]PRODUÇÃO!$A:$A,$A130,[1]PRODUÇÃO!$H:$H,C$1)-SUMIFS('[1]Lastro infra'!$G:$G,'[1]Lastro infra'!$A:$A,$A130)</f>
        <v>#VALUE!</v>
      </c>
      <c r="D130" s="116" t="e">
        <f>SUMIFS([1]ENTREGA!$H:$H,[1]ENTREGA!$A:$A,$A130,[1]ENTREGA!$C:$C,C$1)</f>
        <v>#VALUE!</v>
      </c>
      <c r="E130" s="117"/>
      <c r="F130" s="115" t="e">
        <f>SUMIFS([1]PRODUÇÃO!$F:$F,[1]PRODUÇÃO!$A:$A,$A130,[1]PRODUÇÃO!$H:$H,F$1)-SUMIFS('[1]Lastro infra'!$G:$G,'[1]Lastro infra'!$A:$A,$A130)</f>
        <v>#VALUE!</v>
      </c>
      <c r="G130" s="116" t="e">
        <f>SUMIFS([1]ENTREGA!$H:$H,[1]ENTREGA!$A:$A,$A130,[1]ENTREGA!$C:$C,F$1)</f>
        <v>#VALUE!</v>
      </c>
      <c r="H130" s="117"/>
      <c r="I130" s="115">
        <v>0</v>
      </c>
      <c r="J130" s="116">
        <v>0</v>
      </c>
      <c r="K130" s="117"/>
      <c r="L130" s="127">
        <v>4750.2</v>
      </c>
      <c r="M130" s="117"/>
      <c r="O130" s="99"/>
      <c r="P130" s="10"/>
      <c r="R130" s="10"/>
      <c r="S130" s="10"/>
      <c r="U130" s="10"/>
    </row>
    <row r="131" spans="1:21" x14ac:dyDescent="0.35">
      <c r="A131" s="126">
        <f t="shared" si="5"/>
        <v>46150</v>
      </c>
      <c r="B131" s="118" t="str">
        <f t="shared" si="3"/>
        <v>mai/26</v>
      </c>
      <c r="C131" s="115" t="e">
        <f>SUMIFS([1]PRODUÇÃO!$F:$F,[1]PRODUÇÃO!$A:$A,$A131,[1]PRODUÇÃO!$H:$H,C$1)-SUMIFS('[1]Lastro infra'!$G:$G,'[1]Lastro infra'!$A:$A,$A131)</f>
        <v>#VALUE!</v>
      </c>
      <c r="D131" s="116" t="e">
        <f>SUMIFS([1]ENTREGA!$H:$H,[1]ENTREGA!$A:$A,$A131,[1]ENTREGA!$C:$C,C$1)</f>
        <v>#VALUE!</v>
      </c>
      <c r="E131" s="117"/>
      <c r="F131" s="115" t="e">
        <f>SUMIFS([1]PRODUÇÃO!$F:$F,[1]PRODUÇÃO!$A:$A,$A131,[1]PRODUÇÃO!$H:$H,F$1)-SUMIFS('[1]Lastro infra'!$G:$G,'[1]Lastro infra'!$A:$A,$A131)</f>
        <v>#VALUE!</v>
      </c>
      <c r="G131" s="116" t="e">
        <f>SUMIFS([1]ENTREGA!$H:$H,[1]ENTREGA!$A:$A,$A131,[1]ENTREGA!$C:$C,F$1)</f>
        <v>#VALUE!</v>
      </c>
      <c r="H131" s="117"/>
      <c r="I131" s="115">
        <v>0</v>
      </c>
      <c r="J131" s="116">
        <v>0</v>
      </c>
      <c r="K131" s="117"/>
      <c r="L131" s="127">
        <v>263.89999999999998</v>
      </c>
      <c r="M131" s="117"/>
      <c r="O131" s="99"/>
      <c r="P131" s="10"/>
      <c r="R131" s="10"/>
      <c r="S131" s="10"/>
      <c r="U131" s="10"/>
    </row>
    <row r="132" spans="1:21" x14ac:dyDescent="0.35">
      <c r="A132" s="126">
        <f t="shared" si="5"/>
        <v>46151</v>
      </c>
      <c r="B132" s="118" t="str">
        <f t="shared" si="3"/>
        <v>mai/26</v>
      </c>
      <c r="C132" s="115" t="e">
        <f>SUMIFS([1]PRODUÇÃO!$F:$F,[1]PRODUÇÃO!$A:$A,$A132,[1]PRODUÇÃO!$H:$H,C$1)-SUMIFS('[1]Lastro infra'!$G:$G,'[1]Lastro infra'!$A:$A,$A132)</f>
        <v>#VALUE!</v>
      </c>
      <c r="D132" s="116" t="e">
        <f>SUMIFS([1]ENTREGA!$H:$H,[1]ENTREGA!$A:$A,$A132,[1]ENTREGA!$C:$C,C$1)</f>
        <v>#VALUE!</v>
      </c>
      <c r="E132" s="117"/>
      <c r="F132" s="115" t="e">
        <f>SUMIFS([1]PRODUÇÃO!$F:$F,[1]PRODUÇÃO!$A:$A,$A132,[1]PRODUÇÃO!$H:$H,F$1)-SUMIFS('[1]Lastro infra'!$G:$G,'[1]Lastro infra'!$A:$A,$A132)</f>
        <v>#VALUE!</v>
      </c>
      <c r="G132" s="116" t="e">
        <f>SUMIFS([1]ENTREGA!$H:$H,[1]ENTREGA!$A:$A,$A132,[1]ENTREGA!$C:$C,F$1)</f>
        <v>#VALUE!</v>
      </c>
      <c r="H132" s="117"/>
      <c r="I132" s="115">
        <v>0</v>
      </c>
      <c r="J132" s="116">
        <v>0</v>
      </c>
      <c r="K132" s="117"/>
      <c r="L132" s="127">
        <v>0</v>
      </c>
      <c r="M132" s="117"/>
      <c r="O132" s="99"/>
      <c r="P132" s="10"/>
      <c r="R132" s="10"/>
      <c r="S132" s="10"/>
      <c r="U132" s="10"/>
    </row>
    <row r="133" spans="1:21" x14ac:dyDescent="0.35">
      <c r="A133" s="126">
        <f t="shared" si="5"/>
        <v>46152</v>
      </c>
      <c r="B133" s="118" t="str">
        <f t="shared" ref="B133:B196" si="6">TEXT(A133,"MMM/AA")</f>
        <v>mai/26</v>
      </c>
      <c r="C133" s="115" t="e">
        <f>SUMIFS([1]PRODUÇÃO!$F:$F,[1]PRODUÇÃO!$A:$A,$A133,[1]PRODUÇÃO!$H:$H,C$1)-SUMIFS('[1]Lastro infra'!$G:$G,'[1]Lastro infra'!$A:$A,$A133)</f>
        <v>#VALUE!</v>
      </c>
      <c r="D133" s="116" t="e">
        <f>SUMIFS([1]ENTREGA!$H:$H,[1]ENTREGA!$A:$A,$A133,[1]ENTREGA!$C:$C,C$1)</f>
        <v>#VALUE!</v>
      </c>
      <c r="E133" s="117"/>
      <c r="F133" s="115" t="e">
        <f>SUMIFS([1]PRODUÇÃO!$F:$F,[1]PRODUÇÃO!$A:$A,$A133,[1]PRODUÇÃO!$H:$H,F$1)-SUMIFS('[1]Lastro infra'!$G:$G,'[1]Lastro infra'!$A:$A,$A133)</f>
        <v>#VALUE!</v>
      </c>
      <c r="G133" s="116" t="e">
        <f>SUMIFS([1]ENTREGA!$H:$H,[1]ENTREGA!$A:$A,$A133,[1]ENTREGA!$C:$C,F$1)</f>
        <v>#VALUE!</v>
      </c>
      <c r="H133" s="117"/>
      <c r="I133" s="115">
        <v>0</v>
      </c>
      <c r="J133" s="116">
        <v>0</v>
      </c>
      <c r="K133" s="117"/>
      <c r="L133" s="127">
        <v>0</v>
      </c>
      <c r="M133" s="117"/>
      <c r="O133" s="99"/>
      <c r="P133" s="10"/>
      <c r="R133" s="10"/>
      <c r="S133" s="10"/>
      <c r="U133" s="10"/>
    </row>
    <row r="134" spans="1:21" x14ac:dyDescent="0.35">
      <c r="A134" s="126">
        <f t="shared" si="5"/>
        <v>46153</v>
      </c>
      <c r="B134" s="118" t="str">
        <f t="shared" si="6"/>
        <v>mai/26</v>
      </c>
      <c r="C134" s="115" t="e">
        <f>SUMIFS([1]PRODUÇÃO!$F:$F,[1]PRODUÇÃO!$A:$A,$A134,[1]PRODUÇÃO!$H:$H,C$1)-SUMIFS('[1]Lastro infra'!$G:$G,'[1]Lastro infra'!$A:$A,$A134)</f>
        <v>#VALUE!</v>
      </c>
      <c r="D134" s="116" t="e">
        <f>SUMIFS([1]ENTREGA!$H:$H,[1]ENTREGA!$A:$A,$A134,[1]ENTREGA!$C:$C,C$1)</f>
        <v>#VALUE!</v>
      </c>
      <c r="E134" s="117"/>
      <c r="F134" s="115" t="e">
        <f>SUMIFS([1]PRODUÇÃO!$F:$F,[1]PRODUÇÃO!$A:$A,$A134,[1]PRODUÇÃO!$H:$H,F$1)-SUMIFS('[1]Lastro infra'!$G:$G,'[1]Lastro infra'!$A:$A,$A134)</f>
        <v>#VALUE!</v>
      </c>
      <c r="G134" s="116" t="e">
        <f>SUMIFS([1]ENTREGA!$H:$H,[1]ENTREGA!$A:$A,$A134,[1]ENTREGA!$C:$C,F$1)</f>
        <v>#VALUE!</v>
      </c>
      <c r="H134" s="117"/>
      <c r="I134" s="115">
        <v>0</v>
      </c>
      <c r="J134" s="116">
        <v>0</v>
      </c>
      <c r="K134" s="117"/>
      <c r="L134" s="127">
        <v>0</v>
      </c>
      <c r="M134" s="117"/>
      <c r="O134" s="99"/>
      <c r="P134" s="10"/>
      <c r="R134" s="10"/>
      <c r="S134" s="10"/>
      <c r="U134" s="10"/>
    </row>
    <row r="135" spans="1:21" x14ac:dyDescent="0.35">
      <c r="A135" s="126">
        <f t="shared" si="5"/>
        <v>46154</v>
      </c>
      <c r="B135" s="118" t="str">
        <f t="shared" si="6"/>
        <v>mai/26</v>
      </c>
      <c r="C135" s="115" t="e">
        <f>SUMIFS([1]PRODUÇÃO!$F:$F,[1]PRODUÇÃO!$A:$A,$A135,[1]PRODUÇÃO!$H:$H,C$1)-SUMIFS('[1]Lastro infra'!$G:$G,'[1]Lastro infra'!$A:$A,$A135)</f>
        <v>#VALUE!</v>
      </c>
      <c r="D135" s="116" t="e">
        <f>SUMIFS([1]ENTREGA!$H:$H,[1]ENTREGA!$A:$A,$A135,[1]ENTREGA!$C:$C,C$1)</f>
        <v>#VALUE!</v>
      </c>
      <c r="E135" s="117"/>
      <c r="F135" s="115" t="e">
        <f>SUMIFS([1]PRODUÇÃO!$F:$F,[1]PRODUÇÃO!$A:$A,$A135,[1]PRODUÇÃO!$H:$H,F$1)-SUMIFS('[1]Lastro infra'!$G:$G,'[1]Lastro infra'!$A:$A,$A135)</f>
        <v>#VALUE!</v>
      </c>
      <c r="G135" s="116" t="e">
        <f>SUMIFS([1]ENTREGA!$H:$H,[1]ENTREGA!$A:$A,$A135,[1]ENTREGA!$C:$C,F$1)</f>
        <v>#VALUE!</v>
      </c>
      <c r="H135" s="117"/>
      <c r="I135" s="115">
        <v>0</v>
      </c>
      <c r="J135" s="116">
        <v>0</v>
      </c>
      <c r="K135" s="117"/>
      <c r="L135" s="127">
        <v>0</v>
      </c>
      <c r="M135" s="117"/>
      <c r="O135" s="99"/>
      <c r="P135" s="10"/>
      <c r="R135" s="10"/>
      <c r="S135" s="10"/>
      <c r="U135" s="10"/>
    </row>
    <row r="136" spans="1:21" x14ac:dyDescent="0.35">
      <c r="A136" s="126">
        <f t="shared" si="5"/>
        <v>46155</v>
      </c>
      <c r="B136" s="118" t="str">
        <f t="shared" si="6"/>
        <v>mai/26</v>
      </c>
      <c r="C136" s="115" t="e">
        <f>SUMIFS([1]PRODUÇÃO!$F:$F,[1]PRODUÇÃO!$A:$A,$A136,[1]PRODUÇÃO!$H:$H,C$1)-SUMIFS('[1]Lastro infra'!$G:$G,'[1]Lastro infra'!$A:$A,$A136)</f>
        <v>#VALUE!</v>
      </c>
      <c r="D136" s="116" t="e">
        <f>SUMIFS([1]ENTREGA!$H:$H,[1]ENTREGA!$A:$A,$A136,[1]ENTREGA!$C:$C,C$1)</f>
        <v>#VALUE!</v>
      </c>
      <c r="E136" s="117"/>
      <c r="F136" s="115" t="e">
        <f>SUMIFS([1]PRODUÇÃO!$F:$F,[1]PRODUÇÃO!$A:$A,$A136,[1]PRODUÇÃO!$H:$H,F$1)-SUMIFS('[1]Lastro infra'!$G:$G,'[1]Lastro infra'!$A:$A,$A136)</f>
        <v>#VALUE!</v>
      </c>
      <c r="G136" s="116" t="e">
        <f>SUMIFS([1]ENTREGA!$H:$H,[1]ENTREGA!$A:$A,$A136,[1]ENTREGA!$C:$C,F$1)</f>
        <v>#VALUE!</v>
      </c>
      <c r="H136" s="117"/>
      <c r="I136" s="115">
        <v>0</v>
      </c>
      <c r="J136" s="116">
        <v>0</v>
      </c>
      <c r="K136" s="117"/>
      <c r="L136" s="127">
        <v>4567.5</v>
      </c>
      <c r="M136" s="117"/>
      <c r="O136" s="99"/>
      <c r="P136" s="10"/>
      <c r="R136" s="10"/>
      <c r="S136" s="10"/>
      <c r="U136" s="10"/>
    </row>
    <row r="137" spans="1:21" x14ac:dyDescent="0.35">
      <c r="A137" s="126">
        <f t="shared" si="5"/>
        <v>46156</v>
      </c>
      <c r="B137" s="118" t="str">
        <f t="shared" si="6"/>
        <v>mai/26</v>
      </c>
      <c r="C137" s="115" t="e">
        <f>SUMIFS([1]PRODUÇÃO!$F:$F,[1]PRODUÇÃO!$A:$A,$A137,[1]PRODUÇÃO!$H:$H,C$1)-SUMIFS('[1]Lastro infra'!$G:$G,'[1]Lastro infra'!$A:$A,$A137)</f>
        <v>#VALUE!</v>
      </c>
      <c r="D137" s="116" t="e">
        <f>SUMIFS([1]ENTREGA!$H:$H,[1]ENTREGA!$A:$A,$A137,[1]ENTREGA!$C:$C,C$1)</f>
        <v>#VALUE!</v>
      </c>
      <c r="E137" s="117"/>
      <c r="F137" s="115" t="e">
        <f>SUMIFS([1]PRODUÇÃO!$F:$F,[1]PRODUÇÃO!$A:$A,$A137,[1]PRODUÇÃO!$H:$H,F$1)-SUMIFS('[1]Lastro infra'!$G:$G,'[1]Lastro infra'!$A:$A,$A137)</f>
        <v>#VALUE!</v>
      </c>
      <c r="G137" s="116" t="e">
        <f>SUMIFS([1]ENTREGA!$H:$H,[1]ENTREGA!$A:$A,$A137,[1]ENTREGA!$C:$C,F$1)</f>
        <v>#VALUE!</v>
      </c>
      <c r="H137" s="117"/>
      <c r="I137" s="115">
        <v>0</v>
      </c>
      <c r="J137" s="116">
        <v>0</v>
      </c>
      <c r="K137" s="117"/>
      <c r="L137" s="127">
        <v>548.1</v>
      </c>
      <c r="M137" s="117"/>
      <c r="O137" s="99"/>
      <c r="P137" s="10"/>
      <c r="R137" s="10"/>
      <c r="S137" s="10"/>
      <c r="U137" s="10"/>
    </row>
    <row r="138" spans="1:21" x14ac:dyDescent="0.35">
      <c r="A138" s="126">
        <f t="shared" si="5"/>
        <v>46157</v>
      </c>
      <c r="B138" s="118" t="str">
        <f t="shared" si="6"/>
        <v>mai/26</v>
      </c>
      <c r="C138" s="115" t="e">
        <f>SUMIFS([1]PRODUÇÃO!$F:$F,[1]PRODUÇÃO!$A:$A,$A138,[1]PRODUÇÃO!$H:$H,C$1)-SUMIFS('[1]Lastro infra'!$G:$G,'[1]Lastro infra'!$A:$A,$A138)</f>
        <v>#VALUE!</v>
      </c>
      <c r="D138" s="116" t="e">
        <f>SUMIFS([1]ENTREGA!$H:$H,[1]ENTREGA!$A:$A,$A138,[1]ENTREGA!$C:$C,C$1)</f>
        <v>#VALUE!</v>
      </c>
      <c r="E138" s="117"/>
      <c r="F138" s="115" t="e">
        <f>SUMIFS([1]PRODUÇÃO!$F:$F,[1]PRODUÇÃO!$A:$A,$A138,[1]PRODUÇÃO!$H:$H,F$1)-SUMIFS('[1]Lastro infra'!$G:$G,'[1]Lastro infra'!$A:$A,$A138)</f>
        <v>#VALUE!</v>
      </c>
      <c r="G138" s="116" t="e">
        <f>SUMIFS([1]ENTREGA!$H:$H,[1]ENTREGA!$A:$A,$A138,[1]ENTREGA!$C:$C,F$1)</f>
        <v>#VALUE!</v>
      </c>
      <c r="H138" s="117"/>
      <c r="I138" s="115">
        <v>0</v>
      </c>
      <c r="J138" s="116">
        <v>0</v>
      </c>
      <c r="K138" s="117"/>
      <c r="L138" s="127">
        <v>0</v>
      </c>
      <c r="M138" s="117"/>
      <c r="O138" s="99"/>
      <c r="P138" s="10"/>
      <c r="R138" s="10"/>
      <c r="S138" s="10"/>
      <c r="U138" s="10"/>
    </row>
    <row r="139" spans="1:21" x14ac:dyDescent="0.35">
      <c r="A139" s="126">
        <f t="shared" si="5"/>
        <v>46158</v>
      </c>
      <c r="B139" s="118" t="str">
        <f t="shared" si="6"/>
        <v>mai/26</v>
      </c>
      <c r="C139" s="115" t="e">
        <f>SUMIFS([1]PRODUÇÃO!$F:$F,[1]PRODUÇÃO!$A:$A,$A139,[1]PRODUÇÃO!$H:$H,C$1)-SUMIFS('[1]Lastro infra'!$G:$G,'[1]Lastro infra'!$A:$A,$A139)</f>
        <v>#VALUE!</v>
      </c>
      <c r="D139" s="116" t="e">
        <f>SUMIFS([1]ENTREGA!$H:$H,[1]ENTREGA!$A:$A,$A139,[1]ENTREGA!$C:$C,C$1)</f>
        <v>#VALUE!</v>
      </c>
      <c r="E139" s="117"/>
      <c r="F139" s="115" t="e">
        <f>SUMIFS([1]PRODUÇÃO!$F:$F,[1]PRODUÇÃO!$A:$A,$A139,[1]PRODUÇÃO!$H:$H,F$1)-SUMIFS('[1]Lastro infra'!$G:$G,'[1]Lastro infra'!$A:$A,$A139)</f>
        <v>#VALUE!</v>
      </c>
      <c r="G139" s="116" t="e">
        <f>SUMIFS([1]ENTREGA!$H:$H,[1]ENTREGA!$A:$A,$A139,[1]ENTREGA!$C:$C,F$1)</f>
        <v>#VALUE!</v>
      </c>
      <c r="H139" s="117"/>
      <c r="I139" s="115">
        <v>0</v>
      </c>
      <c r="J139" s="116">
        <v>0</v>
      </c>
      <c r="K139" s="117"/>
      <c r="L139" s="127">
        <v>2131.5</v>
      </c>
      <c r="M139" s="117"/>
      <c r="O139" s="99"/>
      <c r="P139" s="10"/>
      <c r="R139" s="10"/>
      <c r="S139" s="10"/>
      <c r="U139" s="10"/>
    </row>
    <row r="140" spans="1:21" x14ac:dyDescent="0.35">
      <c r="A140" s="126">
        <f t="shared" si="5"/>
        <v>46159</v>
      </c>
      <c r="B140" s="118" t="str">
        <f t="shared" si="6"/>
        <v>mai/26</v>
      </c>
      <c r="C140" s="115" t="e">
        <f>SUMIFS([1]PRODUÇÃO!$F:$F,[1]PRODUÇÃO!$A:$A,$A140,[1]PRODUÇÃO!$H:$H,C$1)-SUMIFS('[1]Lastro infra'!$G:$G,'[1]Lastro infra'!$A:$A,$A140)</f>
        <v>#VALUE!</v>
      </c>
      <c r="D140" s="116" t="e">
        <f>SUMIFS([1]ENTREGA!$H:$H,[1]ENTREGA!$A:$A,$A140,[1]ENTREGA!$C:$C,C$1)</f>
        <v>#VALUE!</v>
      </c>
      <c r="E140" s="117"/>
      <c r="F140" s="115" t="e">
        <f>SUMIFS([1]PRODUÇÃO!$F:$F,[1]PRODUÇÃO!$A:$A,$A140,[1]PRODUÇÃO!$H:$H,F$1)-SUMIFS('[1]Lastro infra'!$G:$G,'[1]Lastro infra'!$A:$A,$A140)</f>
        <v>#VALUE!</v>
      </c>
      <c r="G140" s="116" t="e">
        <f>SUMIFS([1]ENTREGA!$H:$H,[1]ENTREGA!$A:$A,$A140,[1]ENTREGA!$C:$C,F$1)</f>
        <v>#VALUE!</v>
      </c>
      <c r="H140" s="117"/>
      <c r="I140" s="115">
        <v>0</v>
      </c>
      <c r="J140" s="116">
        <v>0</v>
      </c>
      <c r="K140" s="117"/>
      <c r="L140" s="127">
        <v>0</v>
      </c>
      <c r="M140" s="117"/>
      <c r="O140" s="99"/>
      <c r="P140" s="10"/>
      <c r="R140" s="10"/>
      <c r="S140" s="10"/>
      <c r="U140" s="10"/>
    </row>
    <row r="141" spans="1:21" x14ac:dyDescent="0.35">
      <c r="A141" s="126">
        <f t="shared" si="5"/>
        <v>46160</v>
      </c>
      <c r="B141" s="118" t="str">
        <f t="shared" si="6"/>
        <v>mai/26</v>
      </c>
      <c r="C141" s="115" t="e">
        <f>SUMIFS([1]PRODUÇÃO!$F:$F,[1]PRODUÇÃO!$A:$A,$A141,[1]PRODUÇÃO!$H:$H,C$1)-SUMIFS('[1]Lastro infra'!$G:$G,'[1]Lastro infra'!$A:$A,$A141)</f>
        <v>#VALUE!</v>
      </c>
      <c r="D141" s="116" t="e">
        <f>SUMIFS([1]ENTREGA!$H:$H,[1]ENTREGA!$A:$A,$A141,[1]ENTREGA!$C:$C,C$1)</f>
        <v>#VALUE!</v>
      </c>
      <c r="E141" s="117"/>
      <c r="F141" s="115" t="e">
        <f>SUMIFS([1]PRODUÇÃO!$F:$F,[1]PRODUÇÃO!$A:$A,$A141,[1]PRODUÇÃO!$H:$H,F$1)-SUMIFS('[1]Lastro infra'!$G:$G,'[1]Lastro infra'!$A:$A,$A141)</f>
        <v>#VALUE!</v>
      </c>
      <c r="G141" s="116" t="e">
        <f>SUMIFS([1]ENTREGA!$H:$H,[1]ENTREGA!$A:$A,$A141,[1]ENTREGA!$C:$C,F$1)</f>
        <v>#VALUE!</v>
      </c>
      <c r="H141" s="117"/>
      <c r="I141" s="115">
        <v>0</v>
      </c>
      <c r="J141" s="116">
        <v>0</v>
      </c>
      <c r="K141" s="117"/>
      <c r="L141" s="127">
        <v>20.3</v>
      </c>
      <c r="M141" s="117"/>
      <c r="O141" s="99"/>
      <c r="P141" s="10"/>
      <c r="R141" s="10"/>
      <c r="S141" s="10"/>
      <c r="U141" s="10"/>
    </row>
    <row r="142" spans="1:21" x14ac:dyDescent="0.35">
      <c r="A142" s="126">
        <f t="shared" si="5"/>
        <v>46161</v>
      </c>
      <c r="B142" s="118" t="str">
        <f t="shared" si="6"/>
        <v>mai/26</v>
      </c>
      <c r="C142" s="115" t="e">
        <f>SUMIFS([1]PRODUÇÃO!$F:$F,[1]PRODUÇÃO!$A:$A,$A142,[1]PRODUÇÃO!$H:$H,C$1)-SUMIFS('[1]Lastro infra'!$G:$G,'[1]Lastro infra'!$A:$A,$A142)</f>
        <v>#VALUE!</v>
      </c>
      <c r="D142" s="116" t="e">
        <f>SUMIFS([1]ENTREGA!$H:$H,[1]ENTREGA!$A:$A,$A142,[1]ENTREGA!$C:$C,C$1)</f>
        <v>#VALUE!</v>
      </c>
      <c r="E142" s="117"/>
      <c r="F142" s="115" t="e">
        <f>SUMIFS([1]PRODUÇÃO!$F:$F,[1]PRODUÇÃO!$A:$A,$A142,[1]PRODUÇÃO!$H:$H,F$1)-SUMIFS('[1]Lastro infra'!$G:$G,'[1]Lastro infra'!$A:$A,$A142)</f>
        <v>#VALUE!</v>
      </c>
      <c r="G142" s="116" t="e">
        <f>SUMIFS([1]ENTREGA!$H:$H,[1]ENTREGA!$A:$A,$A142,[1]ENTREGA!$C:$C,F$1)</f>
        <v>#VALUE!</v>
      </c>
      <c r="H142" s="117"/>
      <c r="I142" s="115">
        <v>0</v>
      </c>
      <c r="J142" s="116">
        <v>0</v>
      </c>
      <c r="K142" s="117"/>
      <c r="L142" s="127">
        <v>0</v>
      </c>
      <c r="M142" s="117"/>
      <c r="O142" s="99"/>
      <c r="P142" s="10"/>
      <c r="R142" s="10"/>
      <c r="S142" s="10"/>
      <c r="U142" s="10"/>
    </row>
    <row r="143" spans="1:21" x14ac:dyDescent="0.35">
      <c r="A143" s="126">
        <f t="shared" si="5"/>
        <v>46162</v>
      </c>
      <c r="B143" s="118" t="str">
        <f t="shared" si="6"/>
        <v>mai/26</v>
      </c>
      <c r="C143" s="115" t="e">
        <f>SUMIFS([1]PRODUÇÃO!$F:$F,[1]PRODUÇÃO!$A:$A,$A143,[1]PRODUÇÃO!$H:$H,C$1)-SUMIFS('[1]Lastro infra'!$G:$G,'[1]Lastro infra'!$A:$A,$A143)</f>
        <v>#VALUE!</v>
      </c>
      <c r="D143" s="116" t="e">
        <f>SUMIFS([1]ENTREGA!$H:$H,[1]ENTREGA!$A:$A,$A143,[1]ENTREGA!$C:$C,C$1)</f>
        <v>#VALUE!</v>
      </c>
      <c r="E143" s="117"/>
      <c r="F143" s="115" t="e">
        <f>SUMIFS([1]PRODUÇÃO!$F:$F,[1]PRODUÇÃO!$A:$A,$A143,[1]PRODUÇÃO!$H:$H,F$1)-SUMIFS('[1]Lastro infra'!$G:$G,'[1]Lastro infra'!$A:$A,$A143)</f>
        <v>#VALUE!</v>
      </c>
      <c r="G143" s="116" t="e">
        <f>SUMIFS([1]ENTREGA!$H:$H,[1]ENTREGA!$A:$A,$A143,[1]ENTREGA!$C:$C,F$1)</f>
        <v>#VALUE!</v>
      </c>
      <c r="H143" s="117"/>
      <c r="I143" s="115">
        <v>0</v>
      </c>
      <c r="J143" s="116">
        <v>0</v>
      </c>
      <c r="K143" s="117"/>
      <c r="L143" s="127">
        <v>0</v>
      </c>
      <c r="M143" s="117"/>
      <c r="O143" s="99"/>
      <c r="P143" s="10"/>
      <c r="R143" s="10"/>
      <c r="S143" s="10"/>
      <c r="U143" s="10"/>
    </row>
    <row r="144" spans="1:21" x14ac:dyDescent="0.35">
      <c r="A144" s="126">
        <f t="shared" si="5"/>
        <v>46163</v>
      </c>
      <c r="B144" s="118" t="str">
        <f t="shared" si="6"/>
        <v>mai/26</v>
      </c>
      <c r="C144" s="115" t="e">
        <f>SUMIFS([1]PRODUÇÃO!$F:$F,[1]PRODUÇÃO!$A:$A,$A144,[1]PRODUÇÃO!$H:$H,C$1)-SUMIFS('[1]Lastro infra'!$G:$G,'[1]Lastro infra'!$A:$A,$A144)</f>
        <v>#VALUE!</v>
      </c>
      <c r="D144" s="116" t="e">
        <f>SUMIFS([1]ENTREGA!$H:$H,[1]ENTREGA!$A:$A,$A144,[1]ENTREGA!$C:$C,C$1)</f>
        <v>#VALUE!</v>
      </c>
      <c r="E144" s="117"/>
      <c r="F144" s="115" t="e">
        <f>SUMIFS([1]PRODUÇÃO!$F:$F,[1]PRODUÇÃO!$A:$A,$A144,[1]PRODUÇÃO!$H:$H,F$1)-SUMIFS('[1]Lastro infra'!$G:$G,'[1]Lastro infra'!$A:$A,$A144)</f>
        <v>#VALUE!</v>
      </c>
      <c r="G144" s="116" t="e">
        <f>SUMIFS([1]ENTREGA!$H:$H,[1]ENTREGA!$A:$A,$A144,[1]ENTREGA!$C:$C,F$1)</f>
        <v>#VALUE!</v>
      </c>
      <c r="H144" s="117"/>
      <c r="I144" s="115">
        <v>0</v>
      </c>
      <c r="J144" s="116">
        <v>0</v>
      </c>
      <c r="K144" s="117"/>
      <c r="L144" s="127">
        <v>2101.0499999999997</v>
      </c>
      <c r="M144" s="117"/>
      <c r="O144" s="99"/>
      <c r="P144" s="10"/>
      <c r="R144" s="10"/>
      <c r="S144" s="10"/>
      <c r="U144" s="10"/>
    </row>
    <row r="145" spans="1:21" x14ac:dyDescent="0.35">
      <c r="A145" s="126">
        <f t="shared" si="5"/>
        <v>46164</v>
      </c>
      <c r="B145" s="118" t="str">
        <f t="shared" si="6"/>
        <v>mai/26</v>
      </c>
      <c r="C145" s="115" t="e">
        <f>SUMIFS([1]PRODUÇÃO!$F:$F,[1]PRODUÇÃO!$A:$A,$A145,[1]PRODUÇÃO!$H:$H,C$1)-SUMIFS('[1]Lastro infra'!$G:$G,'[1]Lastro infra'!$A:$A,$A145)</f>
        <v>#VALUE!</v>
      </c>
      <c r="D145" s="116" t="e">
        <f>SUMIFS([1]ENTREGA!$H:$H,[1]ENTREGA!$A:$A,$A145,[1]ENTREGA!$C:$C,C$1)</f>
        <v>#VALUE!</v>
      </c>
      <c r="E145" s="117"/>
      <c r="F145" s="115" t="e">
        <f>SUMIFS([1]PRODUÇÃO!$F:$F,[1]PRODUÇÃO!$A:$A,$A145,[1]PRODUÇÃO!$H:$H,F$1)-SUMIFS('[1]Lastro infra'!$G:$G,'[1]Lastro infra'!$A:$A,$A145)</f>
        <v>#VALUE!</v>
      </c>
      <c r="G145" s="116" t="e">
        <f>SUMIFS([1]ENTREGA!$H:$H,[1]ENTREGA!$A:$A,$A145,[1]ENTREGA!$C:$C,F$1)</f>
        <v>#VALUE!</v>
      </c>
      <c r="H145" s="117"/>
      <c r="I145" s="115">
        <v>0</v>
      </c>
      <c r="J145" s="116">
        <v>0</v>
      </c>
      <c r="K145" s="117"/>
      <c r="L145" s="127">
        <v>1552.95</v>
      </c>
      <c r="M145" s="117"/>
      <c r="O145" s="99"/>
      <c r="P145" s="10"/>
      <c r="R145" s="10"/>
      <c r="S145" s="10"/>
      <c r="U145" s="10"/>
    </row>
    <row r="146" spans="1:21" x14ac:dyDescent="0.35">
      <c r="A146" s="126">
        <f t="shared" si="5"/>
        <v>46165</v>
      </c>
      <c r="B146" s="118" t="str">
        <f t="shared" si="6"/>
        <v>mai/26</v>
      </c>
      <c r="C146" s="115" t="e">
        <f>SUMIFS([1]PRODUÇÃO!$F:$F,[1]PRODUÇÃO!$A:$A,$A146,[1]PRODUÇÃO!$H:$H,C$1)-SUMIFS('[1]Lastro infra'!$G:$G,'[1]Lastro infra'!$A:$A,$A146)</f>
        <v>#VALUE!</v>
      </c>
      <c r="D146" s="116" t="e">
        <f>SUMIFS([1]ENTREGA!$H:$H,[1]ENTREGA!$A:$A,$A146,[1]ENTREGA!$C:$C,C$1)</f>
        <v>#VALUE!</v>
      </c>
      <c r="E146" s="117"/>
      <c r="F146" s="115" t="e">
        <f>SUMIFS([1]PRODUÇÃO!$F:$F,[1]PRODUÇÃO!$A:$A,$A146,[1]PRODUÇÃO!$H:$H,F$1)-SUMIFS('[1]Lastro infra'!$G:$G,'[1]Lastro infra'!$A:$A,$A146)</f>
        <v>#VALUE!</v>
      </c>
      <c r="G146" s="116" t="e">
        <f>SUMIFS([1]ENTREGA!$H:$H,[1]ENTREGA!$A:$A,$A146,[1]ENTREGA!$C:$C,F$1)</f>
        <v>#VALUE!</v>
      </c>
      <c r="H146" s="117"/>
      <c r="I146" s="115">
        <v>0</v>
      </c>
      <c r="J146" s="116">
        <v>0</v>
      </c>
      <c r="K146" s="117"/>
      <c r="L146" s="127">
        <v>0</v>
      </c>
      <c r="M146" s="117"/>
      <c r="O146" s="99"/>
      <c r="P146" s="10"/>
      <c r="R146" s="10"/>
      <c r="S146" s="10"/>
      <c r="U146" s="10"/>
    </row>
    <row r="147" spans="1:21" x14ac:dyDescent="0.35">
      <c r="A147" s="126">
        <f t="shared" si="5"/>
        <v>46166</v>
      </c>
      <c r="B147" s="118" t="str">
        <f t="shared" si="6"/>
        <v>mai/26</v>
      </c>
      <c r="C147" s="115" t="e">
        <f>SUMIFS([1]PRODUÇÃO!$F:$F,[1]PRODUÇÃO!$A:$A,$A147,[1]PRODUÇÃO!$H:$H,C$1)-SUMIFS('[1]Lastro infra'!$G:$G,'[1]Lastro infra'!$A:$A,$A147)</f>
        <v>#VALUE!</v>
      </c>
      <c r="D147" s="116" t="e">
        <f>SUMIFS([1]ENTREGA!$H:$H,[1]ENTREGA!$A:$A,$A147,[1]ENTREGA!$C:$C,C$1)</f>
        <v>#VALUE!</v>
      </c>
      <c r="E147" s="117"/>
      <c r="F147" s="115" t="e">
        <f>SUMIFS([1]PRODUÇÃO!$F:$F,[1]PRODUÇÃO!$A:$A,$A147,[1]PRODUÇÃO!$H:$H,F$1)-SUMIFS('[1]Lastro infra'!$G:$G,'[1]Lastro infra'!$A:$A,$A147)</f>
        <v>#VALUE!</v>
      </c>
      <c r="G147" s="116" t="e">
        <f>SUMIFS([1]ENTREGA!$H:$H,[1]ENTREGA!$A:$A,$A147,[1]ENTREGA!$C:$C,F$1)</f>
        <v>#VALUE!</v>
      </c>
      <c r="H147" s="117"/>
      <c r="I147" s="115">
        <v>0</v>
      </c>
      <c r="J147" s="116">
        <v>0</v>
      </c>
      <c r="K147" s="117"/>
      <c r="L147" s="127">
        <v>0</v>
      </c>
      <c r="M147" s="117"/>
      <c r="O147" s="99"/>
      <c r="P147" s="10"/>
      <c r="R147" s="10"/>
      <c r="S147" s="10"/>
      <c r="U147" s="10"/>
    </row>
    <row r="148" spans="1:21" x14ac:dyDescent="0.35">
      <c r="A148" s="126">
        <f t="shared" si="5"/>
        <v>46167</v>
      </c>
      <c r="B148" s="118" t="str">
        <f t="shared" si="6"/>
        <v>mai/26</v>
      </c>
      <c r="C148" s="115" t="e">
        <f>SUMIFS([1]PRODUÇÃO!$F:$F,[1]PRODUÇÃO!$A:$A,$A148,[1]PRODUÇÃO!$H:$H,C$1)-SUMIFS('[1]Lastro infra'!$G:$G,'[1]Lastro infra'!$A:$A,$A148)</f>
        <v>#VALUE!</v>
      </c>
      <c r="D148" s="116" t="e">
        <f>SUMIFS([1]ENTREGA!$H:$H,[1]ENTREGA!$A:$A,$A148,[1]ENTREGA!$C:$C,C$1)</f>
        <v>#VALUE!</v>
      </c>
      <c r="E148" s="117"/>
      <c r="F148" s="115" t="e">
        <f>SUMIFS([1]PRODUÇÃO!$F:$F,[1]PRODUÇÃO!$A:$A,$A148,[1]PRODUÇÃO!$H:$H,F$1)-SUMIFS('[1]Lastro infra'!$G:$G,'[1]Lastro infra'!$A:$A,$A148)</f>
        <v>#VALUE!</v>
      </c>
      <c r="G148" s="116" t="e">
        <f>SUMIFS([1]ENTREGA!$H:$H,[1]ENTREGA!$A:$A,$A148,[1]ENTREGA!$C:$C,F$1)</f>
        <v>#VALUE!</v>
      </c>
      <c r="H148" s="117"/>
      <c r="I148" s="115">
        <v>0</v>
      </c>
      <c r="J148" s="116">
        <v>0</v>
      </c>
      <c r="K148" s="117"/>
      <c r="L148" s="127">
        <v>0</v>
      </c>
      <c r="M148" s="117"/>
      <c r="O148" s="99"/>
      <c r="P148" s="10"/>
      <c r="R148" s="10"/>
      <c r="S148" s="10"/>
      <c r="U148" s="10"/>
    </row>
    <row r="149" spans="1:21" x14ac:dyDescent="0.35">
      <c r="A149" s="126">
        <f t="shared" si="5"/>
        <v>46168</v>
      </c>
      <c r="B149" s="118" t="str">
        <f t="shared" si="6"/>
        <v>mai/26</v>
      </c>
      <c r="C149" s="115" t="e">
        <f>SUMIFS([1]PRODUÇÃO!$F:$F,[1]PRODUÇÃO!$A:$A,$A149,[1]PRODUÇÃO!$H:$H,C$1)-SUMIFS('[1]Lastro infra'!$G:$G,'[1]Lastro infra'!$A:$A,$A149)</f>
        <v>#VALUE!</v>
      </c>
      <c r="D149" s="116" t="e">
        <f>SUMIFS([1]ENTREGA!$H:$H,[1]ENTREGA!$A:$A,$A149,[1]ENTREGA!$C:$C,C$1)</f>
        <v>#VALUE!</v>
      </c>
      <c r="E149" s="117"/>
      <c r="F149" s="115" t="e">
        <f>SUMIFS([1]PRODUÇÃO!$F:$F,[1]PRODUÇÃO!$A:$A,$A149,[1]PRODUÇÃO!$H:$H,F$1)-SUMIFS('[1]Lastro infra'!$G:$G,'[1]Lastro infra'!$A:$A,$A149)</f>
        <v>#VALUE!</v>
      </c>
      <c r="G149" s="116" t="e">
        <f>SUMIFS([1]ENTREGA!$H:$H,[1]ENTREGA!$A:$A,$A149,[1]ENTREGA!$C:$C,F$1)</f>
        <v>#VALUE!</v>
      </c>
      <c r="H149" s="117"/>
      <c r="I149" s="115">
        <v>0</v>
      </c>
      <c r="J149" s="116">
        <v>0</v>
      </c>
      <c r="K149" s="117"/>
      <c r="L149" s="127">
        <v>1827</v>
      </c>
      <c r="M149" s="117"/>
      <c r="O149" s="99"/>
      <c r="P149" s="10"/>
      <c r="R149" s="10"/>
      <c r="S149" s="10"/>
      <c r="U149" s="10"/>
    </row>
    <row r="150" spans="1:21" x14ac:dyDescent="0.35">
      <c r="A150" s="126">
        <f t="shared" si="5"/>
        <v>46169</v>
      </c>
      <c r="B150" s="118" t="str">
        <f t="shared" si="6"/>
        <v>mai/26</v>
      </c>
      <c r="C150" s="115" t="e">
        <f>SUMIFS([1]PRODUÇÃO!$F:$F,[1]PRODUÇÃO!$A:$A,$A150,[1]PRODUÇÃO!$H:$H,C$1)-SUMIFS('[1]Lastro infra'!$G:$G,'[1]Lastro infra'!$A:$A,$A150)</f>
        <v>#VALUE!</v>
      </c>
      <c r="D150" s="116" t="e">
        <f>SUMIFS([1]ENTREGA!$H:$H,[1]ENTREGA!$A:$A,$A150,[1]ENTREGA!$C:$C,C$1)</f>
        <v>#VALUE!</v>
      </c>
      <c r="E150" s="117"/>
      <c r="F150" s="115" t="e">
        <f>SUMIFS([1]PRODUÇÃO!$F:$F,[1]PRODUÇÃO!$A:$A,$A150,[1]PRODUÇÃO!$H:$H,F$1)-SUMIFS('[1]Lastro infra'!$G:$G,'[1]Lastro infra'!$A:$A,$A150)</f>
        <v>#VALUE!</v>
      </c>
      <c r="G150" s="116" t="e">
        <f>SUMIFS([1]ENTREGA!$H:$H,[1]ENTREGA!$A:$A,$A150,[1]ENTREGA!$C:$C,F$1)</f>
        <v>#VALUE!</v>
      </c>
      <c r="H150" s="117"/>
      <c r="I150" s="115">
        <v>0</v>
      </c>
      <c r="J150" s="116">
        <v>0</v>
      </c>
      <c r="K150" s="117"/>
      <c r="L150" s="127">
        <v>1644.3</v>
      </c>
      <c r="M150" s="117"/>
      <c r="O150" s="99"/>
      <c r="P150" s="10"/>
      <c r="R150" s="10"/>
      <c r="S150" s="10"/>
      <c r="U150" s="10"/>
    </row>
    <row r="151" spans="1:21" x14ac:dyDescent="0.35">
      <c r="A151" s="126">
        <f t="shared" si="5"/>
        <v>46170</v>
      </c>
      <c r="B151" s="118" t="str">
        <f t="shared" si="6"/>
        <v>mai/26</v>
      </c>
      <c r="C151" s="115" t="e">
        <f>SUMIFS([1]PRODUÇÃO!$F:$F,[1]PRODUÇÃO!$A:$A,$A151,[1]PRODUÇÃO!$H:$H,C$1)-SUMIFS('[1]Lastro infra'!$G:$G,'[1]Lastro infra'!$A:$A,$A151)</f>
        <v>#VALUE!</v>
      </c>
      <c r="D151" s="116" t="e">
        <f>SUMIFS([1]ENTREGA!$H:$H,[1]ENTREGA!$A:$A,$A151,[1]ENTREGA!$C:$C,C$1)</f>
        <v>#VALUE!</v>
      </c>
      <c r="E151" s="117"/>
      <c r="F151" s="115" t="e">
        <f>SUMIFS([1]PRODUÇÃO!$F:$F,[1]PRODUÇÃO!$A:$A,$A151,[1]PRODUÇÃO!$H:$H,F$1)-SUMIFS('[1]Lastro infra'!$G:$G,'[1]Lastro infra'!$A:$A,$A151)</f>
        <v>#VALUE!</v>
      </c>
      <c r="G151" s="116" t="e">
        <f>SUMIFS([1]ENTREGA!$H:$H,[1]ENTREGA!$A:$A,$A151,[1]ENTREGA!$C:$C,F$1)</f>
        <v>#VALUE!</v>
      </c>
      <c r="H151" s="117"/>
      <c r="I151" s="115">
        <v>0</v>
      </c>
      <c r="J151" s="116">
        <v>0</v>
      </c>
      <c r="K151" s="117"/>
      <c r="L151" s="127">
        <v>0</v>
      </c>
      <c r="M151" s="117"/>
      <c r="O151" s="99"/>
      <c r="P151" s="10"/>
      <c r="R151" s="10"/>
      <c r="S151" s="10"/>
      <c r="U151" s="10"/>
    </row>
    <row r="152" spans="1:21" x14ac:dyDescent="0.35">
      <c r="A152" s="126">
        <f t="shared" si="5"/>
        <v>46171</v>
      </c>
      <c r="B152" s="118" t="str">
        <f t="shared" si="6"/>
        <v>mai/26</v>
      </c>
      <c r="C152" s="115" t="e">
        <f>SUMIFS([1]PRODUÇÃO!$F:$F,[1]PRODUÇÃO!$A:$A,$A152,[1]PRODUÇÃO!$H:$H,C$1)-SUMIFS('[1]Lastro infra'!$G:$G,'[1]Lastro infra'!$A:$A,$A152)</f>
        <v>#VALUE!</v>
      </c>
      <c r="D152" s="116" t="e">
        <f>SUMIFS([1]ENTREGA!$H:$H,[1]ENTREGA!$A:$A,$A152,[1]ENTREGA!$C:$C,C$1)</f>
        <v>#VALUE!</v>
      </c>
      <c r="E152" s="117"/>
      <c r="F152" s="115" t="e">
        <f>SUMIFS([1]PRODUÇÃO!$F:$F,[1]PRODUÇÃO!$A:$A,$A152,[1]PRODUÇÃO!$H:$H,F$1)-SUMIFS('[1]Lastro infra'!$G:$G,'[1]Lastro infra'!$A:$A,$A152)</f>
        <v>#VALUE!</v>
      </c>
      <c r="G152" s="116" t="e">
        <f>SUMIFS([1]ENTREGA!$H:$H,[1]ENTREGA!$A:$A,$A152,[1]ENTREGA!$C:$C,F$1)</f>
        <v>#VALUE!</v>
      </c>
      <c r="H152" s="117"/>
      <c r="I152" s="115">
        <v>0</v>
      </c>
      <c r="J152" s="116">
        <v>0</v>
      </c>
      <c r="K152" s="117"/>
      <c r="L152" s="127">
        <v>0</v>
      </c>
      <c r="M152" s="117"/>
      <c r="O152" s="99"/>
      <c r="P152" s="10"/>
      <c r="R152" s="10"/>
      <c r="S152" s="10"/>
      <c r="U152" s="10"/>
    </row>
    <row r="153" spans="1:21" x14ac:dyDescent="0.35">
      <c r="A153" s="126">
        <f t="shared" si="5"/>
        <v>46172</v>
      </c>
      <c r="B153" s="118" t="str">
        <f t="shared" si="6"/>
        <v>mai/26</v>
      </c>
      <c r="C153" s="115" t="e">
        <f>SUMIFS([1]PRODUÇÃO!$F:$F,[1]PRODUÇÃO!$A:$A,$A153,[1]PRODUÇÃO!$H:$H,C$1)-SUMIFS('[1]Lastro infra'!$G:$G,'[1]Lastro infra'!$A:$A,$A153)</f>
        <v>#VALUE!</v>
      </c>
      <c r="D153" s="116" t="e">
        <f>SUMIFS([1]ENTREGA!$H:$H,[1]ENTREGA!$A:$A,$A153,[1]ENTREGA!$C:$C,C$1)</f>
        <v>#VALUE!</v>
      </c>
      <c r="E153" s="117"/>
      <c r="F153" s="115" t="e">
        <f>SUMIFS([1]PRODUÇÃO!$F:$F,[1]PRODUÇÃO!$A:$A,$A153,[1]PRODUÇÃO!$H:$H,F$1)-SUMIFS('[1]Lastro infra'!$G:$G,'[1]Lastro infra'!$A:$A,$A153)</f>
        <v>#VALUE!</v>
      </c>
      <c r="G153" s="116" t="e">
        <f>SUMIFS([1]ENTREGA!$H:$H,[1]ENTREGA!$A:$A,$A153,[1]ENTREGA!$C:$C,F$1)</f>
        <v>#VALUE!</v>
      </c>
      <c r="H153" s="117"/>
      <c r="I153" s="115">
        <v>0</v>
      </c>
      <c r="J153" s="116">
        <v>0</v>
      </c>
      <c r="K153" s="117"/>
      <c r="L153" s="127">
        <v>0</v>
      </c>
      <c r="M153" s="117"/>
      <c r="O153" s="99"/>
      <c r="P153" s="10"/>
      <c r="R153" s="10"/>
      <c r="S153" s="10"/>
      <c r="U153" s="10"/>
    </row>
    <row r="154" spans="1:21" x14ac:dyDescent="0.35">
      <c r="A154" s="126">
        <f t="shared" si="5"/>
        <v>46173</v>
      </c>
      <c r="B154" s="118" t="str">
        <f t="shared" si="6"/>
        <v>mai/26</v>
      </c>
      <c r="C154" s="115" t="e">
        <f>SUMIFS([1]PRODUÇÃO!$F:$F,[1]PRODUÇÃO!$A:$A,$A154,[1]PRODUÇÃO!$H:$H,C$1)-SUMIFS('[1]Lastro infra'!$G:$G,'[1]Lastro infra'!$A:$A,$A154)</f>
        <v>#VALUE!</v>
      </c>
      <c r="D154" s="116" t="e">
        <f>SUMIFS([1]ENTREGA!$H:$H,[1]ENTREGA!$A:$A,$A154,[1]ENTREGA!$C:$C,C$1)</f>
        <v>#VALUE!</v>
      </c>
      <c r="E154" s="117"/>
      <c r="F154" s="115" t="e">
        <f>SUMIFS([1]PRODUÇÃO!$F:$F,[1]PRODUÇÃO!$A:$A,$A154,[1]PRODUÇÃO!$H:$H,F$1)-SUMIFS('[1]Lastro infra'!$G:$G,'[1]Lastro infra'!$A:$A,$A154)</f>
        <v>#VALUE!</v>
      </c>
      <c r="G154" s="116" t="e">
        <f>SUMIFS([1]ENTREGA!$H:$H,[1]ENTREGA!$A:$A,$A154,[1]ENTREGA!$C:$C,F$1)</f>
        <v>#VALUE!</v>
      </c>
      <c r="H154" s="117"/>
      <c r="I154" s="115">
        <v>0</v>
      </c>
      <c r="J154" s="116">
        <v>0</v>
      </c>
      <c r="K154" s="117"/>
      <c r="L154" s="127">
        <v>0</v>
      </c>
      <c r="M154" s="117"/>
      <c r="O154" s="99"/>
      <c r="P154" s="10"/>
      <c r="R154" s="10"/>
      <c r="S154" s="10"/>
      <c r="U154" s="10"/>
    </row>
    <row r="155" spans="1:21" x14ac:dyDescent="0.35">
      <c r="A155" s="126">
        <f t="shared" si="5"/>
        <v>46174</v>
      </c>
      <c r="B155" s="118" t="str">
        <f t="shared" si="6"/>
        <v>jun/26</v>
      </c>
      <c r="C155" s="115" t="e">
        <f>SUMIFS([1]PRODUÇÃO!$F:$F,[1]PRODUÇÃO!$A:$A,$A155,[1]PRODUÇÃO!$H:$H,C$1)-SUMIFS('[1]Lastro infra'!$G:$G,'[1]Lastro infra'!$A:$A,$A155)</f>
        <v>#VALUE!</v>
      </c>
      <c r="D155" s="116" t="e">
        <f>SUMIFS([1]ENTREGA!$H:$H,[1]ENTREGA!$A:$A,$A155,[1]ENTREGA!$C:$C,C$1)</f>
        <v>#VALUE!</v>
      </c>
      <c r="E155" s="117"/>
      <c r="F155" s="115" t="e">
        <f>SUMIFS([1]PRODUÇÃO!$F:$F,[1]PRODUÇÃO!$A:$A,$A155,[1]PRODUÇÃO!$H:$H,F$1)-SUMIFS('[1]Lastro infra'!$G:$G,'[1]Lastro infra'!$A:$A,$A155)</f>
        <v>#VALUE!</v>
      </c>
      <c r="G155" s="116" t="e">
        <f>SUMIFS([1]ENTREGA!$H:$H,[1]ENTREGA!$A:$A,$A155,[1]ENTREGA!$C:$C,F$1)</f>
        <v>#VALUE!</v>
      </c>
      <c r="H155" s="117"/>
      <c r="I155" s="115">
        <v>0</v>
      </c>
      <c r="J155" s="116">
        <v>0</v>
      </c>
      <c r="K155" s="117"/>
      <c r="L155" s="127">
        <v>0</v>
      </c>
      <c r="M155" s="117"/>
      <c r="O155" s="99"/>
      <c r="P155" s="10"/>
      <c r="R155" s="10"/>
      <c r="S155" s="10"/>
      <c r="U155" s="10"/>
    </row>
    <row r="156" spans="1:21" x14ac:dyDescent="0.35">
      <c r="A156" s="126">
        <f t="shared" si="5"/>
        <v>46175</v>
      </c>
      <c r="B156" s="118" t="str">
        <f t="shared" si="6"/>
        <v>jun/26</v>
      </c>
      <c r="C156" s="115" t="e">
        <f>SUMIFS([1]PRODUÇÃO!$F:$F,[1]PRODUÇÃO!$A:$A,$A156,[1]PRODUÇÃO!$H:$H,C$1)-SUMIFS('[1]Lastro infra'!$G:$G,'[1]Lastro infra'!$A:$A,$A156)</f>
        <v>#VALUE!</v>
      </c>
      <c r="D156" s="116" t="e">
        <f>SUMIFS([1]ENTREGA!$H:$H,[1]ENTREGA!$A:$A,$A156,[1]ENTREGA!$C:$C,C$1)</f>
        <v>#VALUE!</v>
      </c>
      <c r="E156" s="117"/>
      <c r="F156" s="115" t="e">
        <f>SUMIFS([1]PRODUÇÃO!$F:$F,[1]PRODUÇÃO!$A:$A,$A156,[1]PRODUÇÃO!$H:$H,F$1)-SUMIFS('[1]Lastro infra'!$G:$G,'[1]Lastro infra'!$A:$A,$A156)</f>
        <v>#VALUE!</v>
      </c>
      <c r="G156" s="116" t="e">
        <f>SUMIFS([1]ENTREGA!$H:$H,[1]ENTREGA!$A:$A,$A156,[1]ENTREGA!$C:$C,F$1)</f>
        <v>#VALUE!</v>
      </c>
      <c r="H156" s="117"/>
      <c r="I156" s="115">
        <v>0</v>
      </c>
      <c r="J156" s="116">
        <v>0</v>
      </c>
      <c r="K156" s="117"/>
      <c r="L156" s="127">
        <v>0</v>
      </c>
      <c r="M156" s="117"/>
      <c r="O156" s="99"/>
      <c r="P156" s="10"/>
      <c r="R156" s="10"/>
      <c r="S156" s="10"/>
      <c r="U156" s="10"/>
    </row>
    <row r="157" spans="1:21" x14ac:dyDescent="0.35">
      <c r="A157" s="126">
        <f t="shared" si="5"/>
        <v>46176</v>
      </c>
      <c r="B157" s="118" t="str">
        <f t="shared" si="6"/>
        <v>jun/26</v>
      </c>
      <c r="C157" s="115" t="e">
        <f>SUMIFS([1]PRODUÇÃO!$F:$F,[1]PRODUÇÃO!$A:$A,$A157,[1]PRODUÇÃO!$H:$H,C$1)-SUMIFS('[1]Lastro infra'!$G:$G,'[1]Lastro infra'!$A:$A,$A157)</f>
        <v>#VALUE!</v>
      </c>
      <c r="D157" s="116" t="e">
        <f>SUMIFS([1]ENTREGA!$H:$H,[1]ENTREGA!$A:$A,$A157,[1]ENTREGA!$C:$C,C$1)</f>
        <v>#VALUE!</v>
      </c>
      <c r="E157" s="117"/>
      <c r="F157" s="115" t="e">
        <f>SUMIFS([1]PRODUÇÃO!$F:$F,[1]PRODUÇÃO!$A:$A,$A157,[1]PRODUÇÃO!$H:$H,F$1)-SUMIFS('[1]Lastro infra'!$G:$G,'[1]Lastro infra'!$A:$A,$A157)</f>
        <v>#VALUE!</v>
      </c>
      <c r="G157" s="116" t="e">
        <f>SUMIFS([1]ENTREGA!$H:$H,[1]ENTREGA!$A:$A,$A157,[1]ENTREGA!$C:$C,F$1)</f>
        <v>#VALUE!</v>
      </c>
      <c r="H157" s="117"/>
      <c r="I157" s="115">
        <v>0</v>
      </c>
      <c r="J157" s="116">
        <v>0</v>
      </c>
      <c r="K157" s="117"/>
      <c r="L157" s="127">
        <v>365.4</v>
      </c>
      <c r="M157" s="117"/>
      <c r="O157" s="99"/>
      <c r="P157" s="10"/>
      <c r="R157" s="10"/>
      <c r="S157" s="10"/>
      <c r="U157" s="10"/>
    </row>
    <row r="158" spans="1:21" x14ac:dyDescent="0.35">
      <c r="A158" s="126">
        <f t="shared" si="5"/>
        <v>46177</v>
      </c>
      <c r="B158" s="118" t="str">
        <f t="shared" si="6"/>
        <v>jun/26</v>
      </c>
      <c r="C158" s="115" t="e">
        <f>SUMIFS([1]PRODUÇÃO!$F:$F,[1]PRODUÇÃO!$A:$A,$A158,[1]PRODUÇÃO!$H:$H,C$1)-SUMIFS('[1]Lastro infra'!$G:$G,'[1]Lastro infra'!$A:$A,$A158)</f>
        <v>#VALUE!</v>
      </c>
      <c r="D158" s="116" t="e">
        <f>SUMIFS([1]ENTREGA!$H:$H,[1]ENTREGA!$A:$A,$A158,[1]ENTREGA!$C:$C,C$1)</f>
        <v>#VALUE!</v>
      </c>
      <c r="E158" s="117"/>
      <c r="F158" s="115" t="e">
        <f>SUMIFS([1]PRODUÇÃO!$F:$F,[1]PRODUÇÃO!$A:$A,$A158,[1]PRODUÇÃO!$H:$H,F$1)-SUMIFS('[1]Lastro infra'!$G:$G,'[1]Lastro infra'!$A:$A,$A158)</f>
        <v>#VALUE!</v>
      </c>
      <c r="G158" s="116" t="e">
        <f>SUMIFS([1]ENTREGA!$H:$H,[1]ENTREGA!$A:$A,$A158,[1]ENTREGA!$C:$C,F$1)</f>
        <v>#VALUE!</v>
      </c>
      <c r="H158" s="117"/>
      <c r="I158" s="115">
        <v>0</v>
      </c>
      <c r="J158" s="116">
        <v>0</v>
      </c>
      <c r="K158" s="117"/>
      <c r="L158" s="127">
        <v>3288.6</v>
      </c>
      <c r="M158" s="117"/>
      <c r="O158" s="99"/>
      <c r="P158" s="10"/>
      <c r="R158" s="10"/>
      <c r="S158" s="10"/>
      <c r="U158" s="10"/>
    </row>
    <row r="159" spans="1:21" x14ac:dyDescent="0.35">
      <c r="A159" s="126">
        <f t="shared" si="5"/>
        <v>46178</v>
      </c>
      <c r="B159" s="118" t="str">
        <f t="shared" si="6"/>
        <v>jun/26</v>
      </c>
      <c r="C159" s="115" t="e">
        <f>SUMIFS([1]PRODUÇÃO!$F:$F,[1]PRODUÇÃO!$A:$A,$A159,[1]PRODUÇÃO!$H:$H,C$1)-SUMIFS('[1]Lastro infra'!$G:$G,'[1]Lastro infra'!$A:$A,$A159)</f>
        <v>#VALUE!</v>
      </c>
      <c r="D159" s="116" t="e">
        <f>SUMIFS([1]ENTREGA!$H:$H,[1]ENTREGA!$A:$A,$A159,[1]ENTREGA!$C:$C,C$1)</f>
        <v>#VALUE!</v>
      </c>
      <c r="E159" s="117"/>
      <c r="F159" s="115" t="e">
        <f>SUMIFS([1]PRODUÇÃO!$F:$F,[1]PRODUÇÃO!$A:$A,$A159,[1]PRODUÇÃO!$H:$H,F$1)-SUMIFS('[1]Lastro infra'!$G:$G,'[1]Lastro infra'!$A:$A,$A159)</f>
        <v>#VALUE!</v>
      </c>
      <c r="G159" s="116" t="e">
        <f>SUMIFS([1]ENTREGA!$H:$H,[1]ENTREGA!$A:$A,$A159,[1]ENTREGA!$C:$C,F$1)</f>
        <v>#VALUE!</v>
      </c>
      <c r="H159" s="117"/>
      <c r="I159" s="115">
        <v>0</v>
      </c>
      <c r="J159" s="116">
        <v>0</v>
      </c>
      <c r="K159" s="117"/>
      <c r="L159" s="127">
        <v>0</v>
      </c>
      <c r="M159" s="117"/>
      <c r="O159" s="99"/>
      <c r="P159" s="10"/>
      <c r="R159" s="10"/>
      <c r="S159" s="10"/>
      <c r="U159" s="10"/>
    </row>
    <row r="160" spans="1:21" x14ac:dyDescent="0.35">
      <c r="A160" s="126">
        <f t="shared" si="5"/>
        <v>46179</v>
      </c>
      <c r="B160" s="118" t="str">
        <f t="shared" si="6"/>
        <v>jun/26</v>
      </c>
      <c r="C160" s="115" t="e">
        <f>SUMIFS([1]PRODUÇÃO!$F:$F,[1]PRODUÇÃO!$A:$A,$A160,[1]PRODUÇÃO!$H:$H,C$1)-SUMIFS('[1]Lastro infra'!$G:$G,'[1]Lastro infra'!$A:$A,$A160)</f>
        <v>#VALUE!</v>
      </c>
      <c r="D160" s="116" t="e">
        <f>SUMIFS([1]ENTREGA!$H:$H,[1]ENTREGA!$A:$A,$A160,[1]ENTREGA!$C:$C,C$1)</f>
        <v>#VALUE!</v>
      </c>
      <c r="E160" s="117"/>
      <c r="F160" s="115" t="e">
        <f>SUMIFS([1]PRODUÇÃO!$F:$F,[1]PRODUÇÃO!$A:$A,$A160,[1]PRODUÇÃO!$H:$H,F$1)-SUMIFS('[1]Lastro infra'!$G:$G,'[1]Lastro infra'!$A:$A,$A160)</f>
        <v>#VALUE!</v>
      </c>
      <c r="G160" s="116" t="e">
        <f>SUMIFS([1]ENTREGA!$H:$H,[1]ENTREGA!$A:$A,$A160,[1]ENTREGA!$C:$C,F$1)</f>
        <v>#VALUE!</v>
      </c>
      <c r="H160" s="117"/>
      <c r="I160" s="115">
        <v>0</v>
      </c>
      <c r="J160" s="116">
        <v>0</v>
      </c>
      <c r="K160" s="117"/>
      <c r="L160" s="127">
        <v>0</v>
      </c>
      <c r="M160" s="117"/>
      <c r="O160" s="99"/>
      <c r="P160" s="10"/>
      <c r="R160" s="10"/>
      <c r="S160" s="10"/>
      <c r="U160" s="10"/>
    </row>
    <row r="161" spans="1:21" x14ac:dyDescent="0.35">
      <c r="A161" s="126">
        <f t="shared" si="5"/>
        <v>46180</v>
      </c>
      <c r="B161" s="118" t="str">
        <f t="shared" si="6"/>
        <v>jun/26</v>
      </c>
      <c r="C161" s="115" t="e">
        <f>SUMIFS([1]PRODUÇÃO!$F:$F,[1]PRODUÇÃO!$A:$A,$A161,[1]PRODUÇÃO!$H:$H,C$1)-SUMIFS('[1]Lastro infra'!$G:$G,'[1]Lastro infra'!$A:$A,$A161)</f>
        <v>#VALUE!</v>
      </c>
      <c r="D161" s="116" t="e">
        <f>SUMIFS([1]ENTREGA!$H:$H,[1]ENTREGA!$A:$A,$A161,[1]ENTREGA!$C:$C,C$1)</f>
        <v>#VALUE!</v>
      </c>
      <c r="E161" s="117"/>
      <c r="F161" s="115" t="e">
        <f>SUMIFS([1]PRODUÇÃO!$F:$F,[1]PRODUÇÃO!$A:$A,$A161,[1]PRODUÇÃO!$H:$H,F$1)-SUMIFS('[1]Lastro infra'!$G:$G,'[1]Lastro infra'!$A:$A,$A161)</f>
        <v>#VALUE!</v>
      </c>
      <c r="G161" s="116" t="e">
        <f>SUMIFS([1]ENTREGA!$H:$H,[1]ENTREGA!$A:$A,$A161,[1]ENTREGA!$C:$C,F$1)</f>
        <v>#VALUE!</v>
      </c>
      <c r="H161" s="117"/>
      <c r="I161" s="115">
        <v>0</v>
      </c>
      <c r="J161" s="116">
        <v>0</v>
      </c>
      <c r="K161" s="117"/>
      <c r="L161" s="127">
        <v>0</v>
      </c>
      <c r="M161" s="117"/>
      <c r="O161" s="99"/>
      <c r="P161" s="10"/>
      <c r="R161" s="10"/>
      <c r="S161" s="10"/>
      <c r="U161" s="10"/>
    </row>
    <row r="162" spans="1:21" x14ac:dyDescent="0.35">
      <c r="A162" s="126">
        <f t="shared" si="5"/>
        <v>46181</v>
      </c>
      <c r="B162" s="118" t="str">
        <f t="shared" si="6"/>
        <v>jun/26</v>
      </c>
      <c r="C162" s="115" t="e">
        <f>SUMIFS([1]PRODUÇÃO!$F:$F,[1]PRODUÇÃO!$A:$A,$A162,[1]PRODUÇÃO!$H:$H,C$1)-SUMIFS('[1]Lastro infra'!$G:$G,'[1]Lastro infra'!$A:$A,$A162)</f>
        <v>#VALUE!</v>
      </c>
      <c r="D162" s="116" t="e">
        <f>SUMIFS([1]ENTREGA!$H:$H,[1]ENTREGA!$A:$A,$A162,[1]ENTREGA!$C:$C,C$1)</f>
        <v>#VALUE!</v>
      </c>
      <c r="E162" s="117"/>
      <c r="F162" s="115" t="e">
        <f>SUMIFS([1]PRODUÇÃO!$F:$F,[1]PRODUÇÃO!$A:$A,$A162,[1]PRODUÇÃO!$H:$H,F$1)-SUMIFS('[1]Lastro infra'!$G:$G,'[1]Lastro infra'!$A:$A,$A162)</f>
        <v>#VALUE!</v>
      </c>
      <c r="G162" s="116" t="e">
        <f>SUMIFS([1]ENTREGA!$H:$H,[1]ENTREGA!$A:$A,$A162,[1]ENTREGA!$C:$C,F$1)</f>
        <v>#VALUE!</v>
      </c>
      <c r="H162" s="117"/>
      <c r="I162" s="115">
        <v>0</v>
      </c>
      <c r="J162" s="116">
        <v>0</v>
      </c>
      <c r="K162" s="117"/>
      <c r="L162" s="127">
        <v>0</v>
      </c>
      <c r="M162" s="117"/>
      <c r="O162" s="99"/>
      <c r="P162" s="10"/>
      <c r="R162" s="10"/>
      <c r="S162" s="10"/>
      <c r="U162" s="10"/>
    </row>
    <row r="163" spans="1:21" x14ac:dyDescent="0.35">
      <c r="A163" s="126">
        <f t="shared" si="5"/>
        <v>46182</v>
      </c>
      <c r="B163" s="118" t="str">
        <f t="shared" si="6"/>
        <v>jun/26</v>
      </c>
      <c r="C163" s="115" t="e">
        <f>SUMIFS([1]PRODUÇÃO!$F:$F,[1]PRODUÇÃO!$A:$A,$A163,[1]PRODUÇÃO!$H:$H,C$1)-SUMIFS('[1]Lastro infra'!$G:$G,'[1]Lastro infra'!$A:$A,$A163)</f>
        <v>#VALUE!</v>
      </c>
      <c r="D163" s="116" t="e">
        <f>SUMIFS([1]ENTREGA!$H:$H,[1]ENTREGA!$A:$A,$A163,[1]ENTREGA!$C:$C,C$1)</f>
        <v>#VALUE!</v>
      </c>
      <c r="E163" s="117"/>
      <c r="F163" s="115" t="e">
        <f>SUMIFS([1]PRODUÇÃO!$F:$F,[1]PRODUÇÃO!$A:$A,$A163,[1]PRODUÇÃO!$H:$H,F$1)-SUMIFS('[1]Lastro infra'!$G:$G,'[1]Lastro infra'!$A:$A,$A163)</f>
        <v>#VALUE!</v>
      </c>
      <c r="G163" s="116" t="e">
        <f>SUMIFS([1]ENTREGA!$H:$H,[1]ENTREGA!$A:$A,$A163,[1]ENTREGA!$C:$C,F$1)</f>
        <v>#VALUE!</v>
      </c>
      <c r="H163" s="117"/>
      <c r="I163" s="115">
        <v>0</v>
      </c>
      <c r="J163" s="116">
        <v>0</v>
      </c>
      <c r="K163" s="117"/>
      <c r="L163" s="127">
        <v>2375.1</v>
      </c>
      <c r="M163" s="117"/>
      <c r="O163" s="99"/>
      <c r="P163" s="10"/>
      <c r="R163" s="10"/>
      <c r="S163" s="10"/>
      <c r="U163" s="10"/>
    </row>
    <row r="164" spans="1:21" x14ac:dyDescent="0.35">
      <c r="A164" s="126">
        <f t="shared" si="5"/>
        <v>46183</v>
      </c>
      <c r="B164" s="118" t="str">
        <f t="shared" si="6"/>
        <v>jun/26</v>
      </c>
      <c r="C164" s="115" t="e">
        <f>SUMIFS([1]PRODUÇÃO!$F:$F,[1]PRODUÇÃO!$A:$A,$A164,[1]PRODUÇÃO!$H:$H,C$1)-SUMIFS('[1]Lastro infra'!$G:$G,'[1]Lastro infra'!$A:$A,$A164)</f>
        <v>#VALUE!</v>
      </c>
      <c r="D164" s="116" t="e">
        <f>SUMIFS([1]ENTREGA!$H:$H,[1]ENTREGA!$A:$A,$A164,[1]ENTREGA!$C:$C,C$1)</f>
        <v>#VALUE!</v>
      </c>
      <c r="E164" s="117"/>
      <c r="F164" s="115" t="e">
        <f>SUMIFS([1]PRODUÇÃO!$F:$F,[1]PRODUÇÃO!$A:$A,$A164,[1]PRODUÇÃO!$H:$H,F$1)-SUMIFS('[1]Lastro infra'!$G:$G,'[1]Lastro infra'!$A:$A,$A164)</f>
        <v>#VALUE!</v>
      </c>
      <c r="G164" s="116" t="e">
        <f>SUMIFS([1]ENTREGA!$H:$H,[1]ENTREGA!$A:$A,$A164,[1]ENTREGA!$C:$C,F$1)</f>
        <v>#VALUE!</v>
      </c>
      <c r="H164" s="117"/>
      <c r="I164" s="115">
        <v>0</v>
      </c>
      <c r="J164" s="116">
        <v>0</v>
      </c>
      <c r="K164" s="117"/>
      <c r="L164" s="127">
        <v>101.5</v>
      </c>
      <c r="M164" s="117"/>
      <c r="O164" s="99"/>
      <c r="P164" s="10"/>
      <c r="R164" s="10"/>
      <c r="S164" s="10"/>
      <c r="U164" s="10"/>
    </row>
    <row r="165" spans="1:21" x14ac:dyDescent="0.35">
      <c r="A165" s="126">
        <f t="shared" si="5"/>
        <v>46184</v>
      </c>
      <c r="B165" s="118" t="str">
        <f t="shared" si="6"/>
        <v>jun/26</v>
      </c>
      <c r="C165" s="115" t="e">
        <f>SUMIFS([1]PRODUÇÃO!$F:$F,[1]PRODUÇÃO!$A:$A,$A165,[1]PRODUÇÃO!$H:$H,C$1)-SUMIFS('[1]Lastro infra'!$G:$G,'[1]Lastro infra'!$A:$A,$A165)</f>
        <v>#VALUE!</v>
      </c>
      <c r="D165" s="116" t="e">
        <f>SUMIFS([1]ENTREGA!$H:$H,[1]ENTREGA!$A:$A,$A165,[1]ENTREGA!$C:$C,C$1)</f>
        <v>#VALUE!</v>
      </c>
      <c r="E165" s="117"/>
      <c r="F165" s="115" t="e">
        <f>SUMIFS([1]PRODUÇÃO!$F:$F,[1]PRODUÇÃO!$A:$A,$A165,[1]PRODUÇÃO!$H:$H,F$1)-SUMIFS('[1]Lastro infra'!$G:$G,'[1]Lastro infra'!$A:$A,$A165)</f>
        <v>#VALUE!</v>
      </c>
      <c r="G165" s="116" t="e">
        <f>SUMIFS([1]ENTREGA!$H:$H,[1]ENTREGA!$A:$A,$A165,[1]ENTREGA!$C:$C,F$1)</f>
        <v>#VALUE!</v>
      </c>
      <c r="H165" s="117"/>
      <c r="I165" s="115">
        <v>0</v>
      </c>
      <c r="J165" s="116">
        <v>0</v>
      </c>
      <c r="K165" s="117"/>
      <c r="L165" s="127">
        <v>1461.6</v>
      </c>
      <c r="M165" s="117"/>
      <c r="O165" s="99"/>
      <c r="P165" s="10"/>
      <c r="R165" s="10"/>
      <c r="S165" s="10"/>
      <c r="U165" s="10"/>
    </row>
    <row r="166" spans="1:21" x14ac:dyDescent="0.35">
      <c r="A166" s="126">
        <f t="shared" si="5"/>
        <v>46185</v>
      </c>
      <c r="B166" s="118" t="str">
        <f t="shared" si="6"/>
        <v>jun/26</v>
      </c>
      <c r="C166" s="115" t="e">
        <f>SUMIFS([1]PRODUÇÃO!$F:$F,[1]PRODUÇÃO!$A:$A,$A166,[1]PRODUÇÃO!$H:$H,C$1)-SUMIFS('[1]Lastro infra'!$G:$G,'[1]Lastro infra'!$A:$A,$A166)</f>
        <v>#VALUE!</v>
      </c>
      <c r="D166" s="116" t="e">
        <f>SUMIFS([1]ENTREGA!$H:$H,[1]ENTREGA!$A:$A,$A166,[1]ENTREGA!$C:$C,C$1)</f>
        <v>#VALUE!</v>
      </c>
      <c r="E166" s="117"/>
      <c r="F166" s="115" t="e">
        <f>SUMIFS([1]PRODUÇÃO!$F:$F,[1]PRODUÇÃO!$A:$A,$A166,[1]PRODUÇÃO!$H:$H,F$1)-SUMIFS('[1]Lastro infra'!$G:$G,'[1]Lastro infra'!$A:$A,$A166)</f>
        <v>#VALUE!</v>
      </c>
      <c r="G166" s="116" t="e">
        <f>SUMIFS([1]ENTREGA!$H:$H,[1]ENTREGA!$A:$A,$A166,[1]ENTREGA!$C:$C,F$1)</f>
        <v>#VALUE!</v>
      </c>
      <c r="H166" s="117"/>
      <c r="I166" s="115">
        <v>0</v>
      </c>
      <c r="J166" s="116">
        <v>0</v>
      </c>
      <c r="K166" s="117"/>
      <c r="L166" s="127">
        <v>0</v>
      </c>
      <c r="M166" s="117"/>
      <c r="O166" s="99"/>
      <c r="P166" s="10"/>
      <c r="R166" s="10"/>
      <c r="S166" s="10"/>
      <c r="U166" s="10"/>
    </row>
    <row r="167" spans="1:21" x14ac:dyDescent="0.35">
      <c r="A167" s="126">
        <f t="shared" si="5"/>
        <v>46186</v>
      </c>
      <c r="B167" s="118" t="str">
        <f t="shared" si="6"/>
        <v>jun/26</v>
      </c>
      <c r="C167" s="115" t="e">
        <f>SUMIFS([1]PRODUÇÃO!$F:$F,[1]PRODUÇÃO!$A:$A,$A167,[1]PRODUÇÃO!$H:$H,C$1)-SUMIFS('[1]Lastro infra'!$G:$G,'[1]Lastro infra'!$A:$A,$A167)</f>
        <v>#VALUE!</v>
      </c>
      <c r="D167" s="116" t="e">
        <f>SUMIFS([1]ENTREGA!$H:$H,[1]ENTREGA!$A:$A,$A167,[1]ENTREGA!$C:$C,C$1)</f>
        <v>#VALUE!</v>
      </c>
      <c r="E167" s="117"/>
      <c r="F167" s="115" t="e">
        <f>SUMIFS([1]PRODUÇÃO!$F:$F,[1]PRODUÇÃO!$A:$A,$A167,[1]PRODUÇÃO!$H:$H,F$1)-SUMIFS('[1]Lastro infra'!$G:$G,'[1]Lastro infra'!$A:$A,$A167)</f>
        <v>#VALUE!</v>
      </c>
      <c r="G167" s="116" t="e">
        <f>SUMIFS([1]ENTREGA!$H:$H,[1]ENTREGA!$A:$A,$A167,[1]ENTREGA!$C:$C,F$1)</f>
        <v>#VALUE!</v>
      </c>
      <c r="H167" s="117"/>
      <c r="I167" s="115">
        <v>0</v>
      </c>
      <c r="J167" s="116">
        <v>0</v>
      </c>
      <c r="K167" s="117"/>
      <c r="L167" s="127">
        <v>3288.6</v>
      </c>
      <c r="M167" s="117"/>
      <c r="O167" s="99"/>
      <c r="P167" s="10"/>
      <c r="R167" s="10"/>
      <c r="S167" s="10"/>
      <c r="U167" s="10"/>
    </row>
    <row r="168" spans="1:21" x14ac:dyDescent="0.35">
      <c r="A168" s="126">
        <f t="shared" si="5"/>
        <v>46187</v>
      </c>
      <c r="B168" s="118" t="str">
        <f t="shared" si="6"/>
        <v>jun/26</v>
      </c>
      <c r="C168" s="115" t="e">
        <f>SUMIFS([1]PRODUÇÃO!$F:$F,[1]PRODUÇÃO!$A:$A,$A168,[1]PRODUÇÃO!$H:$H,C$1)-SUMIFS('[1]Lastro infra'!$G:$G,'[1]Lastro infra'!$A:$A,$A168)</f>
        <v>#VALUE!</v>
      </c>
      <c r="D168" s="116" t="e">
        <f>SUMIFS([1]ENTREGA!$H:$H,[1]ENTREGA!$A:$A,$A168,[1]ENTREGA!$C:$C,C$1)</f>
        <v>#VALUE!</v>
      </c>
      <c r="E168" s="117"/>
      <c r="F168" s="115" t="e">
        <f>SUMIFS([1]PRODUÇÃO!$F:$F,[1]PRODUÇÃO!$A:$A,$A168,[1]PRODUÇÃO!$H:$H,F$1)-SUMIFS('[1]Lastro infra'!$G:$G,'[1]Lastro infra'!$A:$A,$A168)</f>
        <v>#VALUE!</v>
      </c>
      <c r="G168" s="116" t="e">
        <f>SUMIFS([1]ENTREGA!$H:$H,[1]ENTREGA!$A:$A,$A168,[1]ENTREGA!$C:$C,F$1)</f>
        <v>#VALUE!</v>
      </c>
      <c r="H168" s="117"/>
      <c r="I168" s="115">
        <v>0</v>
      </c>
      <c r="J168" s="116">
        <v>0</v>
      </c>
      <c r="K168" s="117"/>
      <c r="L168" s="127">
        <v>0</v>
      </c>
      <c r="M168" s="117"/>
      <c r="O168" s="99"/>
      <c r="P168" s="10"/>
      <c r="R168" s="10"/>
      <c r="S168" s="10"/>
      <c r="U168" s="10"/>
    </row>
    <row r="169" spans="1:21" x14ac:dyDescent="0.35">
      <c r="A169" s="126">
        <f t="shared" si="5"/>
        <v>46188</v>
      </c>
      <c r="B169" s="118" t="str">
        <f t="shared" si="6"/>
        <v>jun/26</v>
      </c>
      <c r="C169" s="115" t="e">
        <f>SUMIFS([1]PRODUÇÃO!$F:$F,[1]PRODUÇÃO!$A:$A,$A169,[1]PRODUÇÃO!$H:$H,C$1)-SUMIFS('[1]Lastro infra'!$G:$G,'[1]Lastro infra'!$A:$A,$A169)</f>
        <v>#VALUE!</v>
      </c>
      <c r="D169" s="116" t="e">
        <f>SUMIFS([1]ENTREGA!$H:$H,[1]ENTREGA!$A:$A,$A169,[1]ENTREGA!$C:$C,C$1)</f>
        <v>#VALUE!</v>
      </c>
      <c r="E169" s="117"/>
      <c r="F169" s="115" t="e">
        <f>SUMIFS([1]PRODUÇÃO!$F:$F,[1]PRODUÇÃO!$A:$A,$A169,[1]PRODUÇÃO!$H:$H,F$1)-SUMIFS('[1]Lastro infra'!$G:$G,'[1]Lastro infra'!$A:$A,$A169)</f>
        <v>#VALUE!</v>
      </c>
      <c r="G169" s="116" t="e">
        <f>SUMIFS([1]ENTREGA!$H:$H,[1]ENTREGA!$A:$A,$A169,[1]ENTREGA!$C:$C,F$1)</f>
        <v>#VALUE!</v>
      </c>
      <c r="H169" s="117"/>
      <c r="I169" s="115">
        <v>0</v>
      </c>
      <c r="J169" s="116">
        <v>0</v>
      </c>
      <c r="K169" s="117"/>
      <c r="L169" s="127">
        <v>0</v>
      </c>
      <c r="M169" s="117"/>
      <c r="O169" s="99"/>
      <c r="P169" s="10"/>
      <c r="R169" s="10"/>
      <c r="S169" s="10"/>
      <c r="U169" s="10"/>
    </row>
    <row r="170" spans="1:21" x14ac:dyDescent="0.35">
      <c r="A170" s="126">
        <f t="shared" si="5"/>
        <v>46189</v>
      </c>
      <c r="B170" s="118" t="str">
        <f t="shared" si="6"/>
        <v>jun/26</v>
      </c>
      <c r="C170" s="115" t="e">
        <f>SUMIFS([1]PRODUÇÃO!$F:$F,[1]PRODUÇÃO!$A:$A,$A170,[1]PRODUÇÃO!$H:$H,C$1)-SUMIFS('[1]Lastro infra'!$G:$G,'[1]Lastro infra'!$A:$A,$A170)</f>
        <v>#VALUE!</v>
      </c>
      <c r="D170" s="116" t="e">
        <f>SUMIFS([1]ENTREGA!$H:$H,[1]ENTREGA!$A:$A,$A170,[1]ENTREGA!$C:$C,C$1)</f>
        <v>#VALUE!</v>
      </c>
      <c r="E170" s="117"/>
      <c r="F170" s="115" t="e">
        <f>SUMIFS([1]PRODUÇÃO!$F:$F,[1]PRODUÇÃO!$A:$A,$A170,[1]PRODUÇÃO!$H:$H,F$1)-SUMIFS('[1]Lastro infra'!$G:$G,'[1]Lastro infra'!$A:$A,$A170)</f>
        <v>#VALUE!</v>
      </c>
      <c r="G170" s="116" t="e">
        <f>SUMIFS([1]ENTREGA!$H:$H,[1]ENTREGA!$A:$A,$A170,[1]ENTREGA!$C:$C,F$1)</f>
        <v>#VALUE!</v>
      </c>
      <c r="H170" s="117"/>
      <c r="I170" s="115">
        <v>0</v>
      </c>
      <c r="J170" s="116">
        <v>0</v>
      </c>
      <c r="K170" s="117"/>
      <c r="L170" s="127">
        <v>1461.6</v>
      </c>
      <c r="M170" s="117"/>
      <c r="O170" s="99"/>
      <c r="P170" s="10"/>
      <c r="R170" s="10"/>
      <c r="S170" s="10"/>
      <c r="U170" s="10"/>
    </row>
    <row r="171" spans="1:21" x14ac:dyDescent="0.35">
      <c r="A171" s="126">
        <f t="shared" si="5"/>
        <v>46190</v>
      </c>
      <c r="B171" s="118" t="str">
        <f t="shared" si="6"/>
        <v>jun/26</v>
      </c>
      <c r="C171" s="115" t="e">
        <f>SUMIFS([1]PRODUÇÃO!$F:$F,[1]PRODUÇÃO!$A:$A,$A171,[1]PRODUÇÃO!$H:$H,C$1)-SUMIFS('[1]Lastro infra'!$G:$G,'[1]Lastro infra'!$A:$A,$A171)</f>
        <v>#VALUE!</v>
      </c>
      <c r="D171" s="116" t="e">
        <f>SUMIFS([1]ENTREGA!$H:$H,[1]ENTREGA!$A:$A,$A171,[1]ENTREGA!$C:$C,C$1)</f>
        <v>#VALUE!</v>
      </c>
      <c r="E171" s="117"/>
      <c r="F171" s="115" t="e">
        <f>SUMIFS([1]PRODUÇÃO!$F:$F,[1]PRODUÇÃO!$A:$A,$A171,[1]PRODUÇÃO!$H:$H,F$1)-SUMIFS('[1]Lastro infra'!$G:$G,'[1]Lastro infra'!$A:$A,$A171)</f>
        <v>#VALUE!</v>
      </c>
      <c r="G171" s="116" t="e">
        <f>SUMIFS([1]ENTREGA!$H:$H,[1]ENTREGA!$A:$A,$A171,[1]ENTREGA!$C:$C,F$1)</f>
        <v>#VALUE!</v>
      </c>
      <c r="H171" s="117"/>
      <c r="I171" s="115">
        <v>0</v>
      </c>
      <c r="J171" s="116">
        <v>0</v>
      </c>
      <c r="K171" s="117"/>
      <c r="L171" s="127">
        <v>0</v>
      </c>
      <c r="M171" s="117"/>
      <c r="O171" s="99"/>
      <c r="P171" s="10"/>
      <c r="R171" s="10"/>
      <c r="S171" s="10"/>
      <c r="U171" s="10"/>
    </row>
    <row r="172" spans="1:21" x14ac:dyDescent="0.35">
      <c r="A172" s="126">
        <f t="shared" ref="A172:A208" si="7">A171+1</f>
        <v>46191</v>
      </c>
      <c r="B172" s="118" t="str">
        <f t="shared" si="6"/>
        <v>jun/26</v>
      </c>
      <c r="C172" s="115" t="e">
        <f>SUMIFS([1]PRODUÇÃO!$F:$F,[1]PRODUÇÃO!$A:$A,$A172,[1]PRODUÇÃO!$H:$H,C$1)-SUMIFS('[1]Lastro infra'!$G:$G,'[1]Lastro infra'!$A:$A,$A172)</f>
        <v>#VALUE!</v>
      </c>
      <c r="D172" s="116" t="e">
        <f>SUMIFS([1]ENTREGA!$H:$H,[1]ENTREGA!$A:$A,$A172,[1]ENTREGA!$C:$C,C$1)</f>
        <v>#VALUE!</v>
      </c>
      <c r="E172" s="117"/>
      <c r="F172" s="115" t="e">
        <f>SUMIFS([1]PRODUÇÃO!$F:$F,[1]PRODUÇÃO!$A:$A,$A172,[1]PRODUÇÃO!$H:$H,F$1)-SUMIFS('[1]Lastro infra'!$G:$G,'[1]Lastro infra'!$A:$A,$A172)</f>
        <v>#VALUE!</v>
      </c>
      <c r="G172" s="116" t="e">
        <f>SUMIFS([1]ENTREGA!$H:$H,[1]ENTREGA!$A:$A,$A172,[1]ENTREGA!$C:$C,F$1)</f>
        <v>#VALUE!</v>
      </c>
      <c r="H172" s="117"/>
      <c r="I172" s="115">
        <v>0</v>
      </c>
      <c r="J172" s="116">
        <v>0</v>
      </c>
      <c r="K172" s="117"/>
      <c r="L172" s="127">
        <v>229.66</v>
      </c>
      <c r="M172" s="117"/>
      <c r="O172" s="99"/>
      <c r="P172" s="10"/>
      <c r="R172" s="10"/>
      <c r="S172" s="10"/>
      <c r="U172" s="10"/>
    </row>
    <row r="173" spans="1:21" x14ac:dyDescent="0.35">
      <c r="A173" s="126">
        <f t="shared" si="7"/>
        <v>46192</v>
      </c>
      <c r="B173" s="118" t="str">
        <f t="shared" si="6"/>
        <v>jun/26</v>
      </c>
      <c r="C173" s="115" t="e">
        <f>SUMIFS([1]PRODUÇÃO!$F:$F,[1]PRODUÇÃO!$A:$A,$A173,[1]PRODUÇÃO!$H:$H,C$1)-SUMIFS('[1]Lastro infra'!$G:$G,'[1]Lastro infra'!$A:$A,$A173)</f>
        <v>#VALUE!</v>
      </c>
      <c r="D173" s="116" t="e">
        <f>SUMIFS([1]ENTREGA!$H:$H,[1]ENTREGA!$A:$A,$A173,[1]ENTREGA!$C:$C,C$1)</f>
        <v>#VALUE!</v>
      </c>
      <c r="E173" s="117"/>
      <c r="F173" s="115" t="e">
        <f>SUMIFS([1]PRODUÇÃO!$F:$F,[1]PRODUÇÃO!$A:$A,$A173,[1]PRODUÇÃO!$H:$H,F$1)-SUMIFS('[1]Lastro infra'!$G:$G,'[1]Lastro infra'!$A:$A,$A173)</f>
        <v>#VALUE!</v>
      </c>
      <c r="G173" s="116" t="e">
        <f>SUMIFS([1]ENTREGA!$H:$H,[1]ENTREGA!$A:$A,$A173,[1]ENTREGA!$C:$C,F$1)</f>
        <v>#VALUE!</v>
      </c>
      <c r="H173" s="117"/>
      <c r="I173" s="115">
        <v>0</v>
      </c>
      <c r="J173" s="116">
        <v>0</v>
      </c>
      <c r="K173" s="117"/>
      <c r="L173" s="127">
        <v>503.88</v>
      </c>
      <c r="M173" s="117"/>
      <c r="O173" s="99"/>
      <c r="P173" s="10"/>
      <c r="R173" s="10"/>
      <c r="S173" s="10"/>
      <c r="U173" s="10"/>
    </row>
    <row r="174" spans="1:21" x14ac:dyDescent="0.35">
      <c r="A174" s="126">
        <f t="shared" si="7"/>
        <v>46193</v>
      </c>
      <c r="B174" s="118" t="str">
        <f t="shared" si="6"/>
        <v>jun/26</v>
      </c>
      <c r="C174" s="115" t="e">
        <f>SUMIFS([1]PRODUÇÃO!$F:$F,[1]PRODUÇÃO!$A:$A,$A174,[1]PRODUÇÃO!$H:$H,C$1)-SUMIFS('[1]Lastro infra'!$G:$G,'[1]Lastro infra'!$A:$A,$A174)</f>
        <v>#VALUE!</v>
      </c>
      <c r="D174" s="116" t="e">
        <f>SUMIFS([1]ENTREGA!$H:$H,[1]ENTREGA!$A:$A,$A174,[1]ENTREGA!$C:$C,C$1)</f>
        <v>#VALUE!</v>
      </c>
      <c r="E174" s="117"/>
      <c r="F174" s="115" t="e">
        <f>SUMIFS([1]PRODUÇÃO!$F:$F,[1]PRODUÇÃO!$A:$A,$A174,[1]PRODUÇÃO!$H:$H,F$1)-SUMIFS('[1]Lastro infra'!$G:$G,'[1]Lastro infra'!$A:$A,$A174)</f>
        <v>#VALUE!</v>
      </c>
      <c r="G174" s="116" t="e">
        <f>SUMIFS([1]ENTREGA!$H:$H,[1]ENTREGA!$A:$A,$A174,[1]ENTREGA!$C:$C,F$1)</f>
        <v>#VALUE!</v>
      </c>
      <c r="H174" s="117"/>
      <c r="I174" s="115">
        <v>0</v>
      </c>
      <c r="J174" s="116">
        <v>0</v>
      </c>
      <c r="K174" s="117"/>
      <c r="L174" s="127">
        <v>1561.36</v>
      </c>
      <c r="M174" s="117"/>
      <c r="O174" s="99"/>
      <c r="P174" s="10"/>
      <c r="R174" s="10"/>
      <c r="S174" s="10"/>
      <c r="U174" s="10"/>
    </row>
    <row r="175" spans="1:21" x14ac:dyDescent="0.35">
      <c r="A175" s="126">
        <f t="shared" si="7"/>
        <v>46194</v>
      </c>
      <c r="B175" s="118" t="str">
        <f t="shared" si="6"/>
        <v>jun/26</v>
      </c>
      <c r="C175" s="115" t="e">
        <f>SUMIFS([1]PRODUÇÃO!$F:$F,[1]PRODUÇÃO!$A:$A,$A175,[1]PRODUÇÃO!$H:$H,C$1)-SUMIFS('[1]Lastro infra'!$G:$G,'[1]Lastro infra'!$A:$A,$A175)</f>
        <v>#VALUE!</v>
      </c>
      <c r="D175" s="116" t="e">
        <f>SUMIFS([1]ENTREGA!$H:$H,[1]ENTREGA!$A:$A,$A175,[1]ENTREGA!$C:$C,C$1)</f>
        <v>#VALUE!</v>
      </c>
      <c r="E175" s="117"/>
      <c r="F175" s="115" t="e">
        <f>SUMIFS([1]PRODUÇÃO!$F:$F,[1]PRODUÇÃO!$A:$A,$A175,[1]PRODUÇÃO!$H:$H,F$1)-SUMIFS('[1]Lastro infra'!$G:$G,'[1]Lastro infra'!$A:$A,$A175)</f>
        <v>#VALUE!</v>
      </c>
      <c r="G175" s="116" t="e">
        <f>SUMIFS([1]ENTREGA!$H:$H,[1]ENTREGA!$A:$A,$A175,[1]ENTREGA!$C:$C,F$1)</f>
        <v>#VALUE!</v>
      </c>
      <c r="H175" s="117"/>
      <c r="I175" s="115">
        <v>0</v>
      </c>
      <c r="J175" s="116">
        <v>0</v>
      </c>
      <c r="K175" s="117"/>
      <c r="L175" s="127">
        <v>0</v>
      </c>
      <c r="M175" s="117"/>
      <c r="O175" s="99"/>
      <c r="P175" s="10"/>
      <c r="R175" s="10"/>
      <c r="S175" s="10"/>
      <c r="U175" s="10"/>
    </row>
    <row r="176" spans="1:21" x14ac:dyDescent="0.35">
      <c r="A176" s="126">
        <f t="shared" si="7"/>
        <v>46195</v>
      </c>
      <c r="B176" s="118" t="str">
        <f t="shared" si="6"/>
        <v>jun/26</v>
      </c>
      <c r="C176" s="115" t="e">
        <f>SUMIFS([1]PRODUÇÃO!$F:$F,[1]PRODUÇÃO!$A:$A,$A176,[1]PRODUÇÃO!$H:$H,C$1)-SUMIFS('[1]Lastro infra'!$G:$G,'[1]Lastro infra'!$A:$A,$A176)</f>
        <v>#VALUE!</v>
      </c>
      <c r="D176" s="116" t="e">
        <f>SUMIFS([1]ENTREGA!$H:$H,[1]ENTREGA!$A:$A,$A176,[1]ENTREGA!$C:$C,C$1)</f>
        <v>#VALUE!</v>
      </c>
      <c r="E176" s="117"/>
      <c r="F176" s="115" t="e">
        <f>SUMIFS([1]PRODUÇÃO!$F:$F,[1]PRODUÇÃO!$A:$A,$A176,[1]PRODUÇÃO!$H:$H,F$1)-SUMIFS('[1]Lastro infra'!$G:$G,'[1]Lastro infra'!$A:$A,$A176)</f>
        <v>#VALUE!</v>
      </c>
      <c r="G176" s="116" t="e">
        <f>SUMIFS([1]ENTREGA!$H:$H,[1]ENTREGA!$A:$A,$A176,[1]ENTREGA!$C:$C,F$1)</f>
        <v>#VALUE!</v>
      </c>
      <c r="H176" s="117"/>
      <c r="I176" s="115">
        <v>0</v>
      </c>
      <c r="J176" s="116">
        <v>0</v>
      </c>
      <c r="K176" s="117"/>
      <c r="L176" s="127">
        <v>0</v>
      </c>
      <c r="M176" s="117"/>
      <c r="O176" s="99"/>
      <c r="P176" s="10"/>
      <c r="R176" s="10"/>
      <c r="S176" s="10"/>
      <c r="U176" s="10"/>
    </row>
    <row r="177" spans="1:21" x14ac:dyDescent="0.35">
      <c r="A177" s="126">
        <f t="shared" si="7"/>
        <v>46196</v>
      </c>
      <c r="B177" s="118" t="str">
        <f t="shared" si="6"/>
        <v>jun/26</v>
      </c>
      <c r="C177" s="115" t="e">
        <f>SUMIFS([1]PRODUÇÃO!$F:$F,[1]PRODUÇÃO!$A:$A,$A177,[1]PRODUÇÃO!$H:$H,C$1)-SUMIFS('[1]Lastro infra'!$G:$G,'[1]Lastro infra'!$A:$A,$A177)</f>
        <v>#VALUE!</v>
      </c>
      <c r="D177" s="116" t="e">
        <f>SUMIFS([1]ENTREGA!$H:$H,[1]ENTREGA!$A:$A,$A177,[1]ENTREGA!$C:$C,C$1)</f>
        <v>#VALUE!</v>
      </c>
      <c r="E177" s="117"/>
      <c r="F177" s="115" t="e">
        <f>SUMIFS([1]PRODUÇÃO!$F:$F,[1]PRODUÇÃO!$A:$A,$A177,[1]PRODUÇÃO!$H:$H,F$1)-SUMIFS('[1]Lastro infra'!$G:$G,'[1]Lastro infra'!$A:$A,$A177)</f>
        <v>#VALUE!</v>
      </c>
      <c r="G177" s="116" t="e">
        <f>SUMIFS([1]ENTREGA!$H:$H,[1]ENTREGA!$A:$A,$A177,[1]ENTREGA!$C:$C,F$1)</f>
        <v>#VALUE!</v>
      </c>
      <c r="H177" s="117"/>
      <c r="I177" s="115">
        <v>0</v>
      </c>
      <c r="J177" s="116">
        <v>0</v>
      </c>
      <c r="K177" s="117"/>
      <c r="L177" s="127">
        <v>2831.85</v>
      </c>
      <c r="M177" s="117"/>
      <c r="O177" s="99"/>
      <c r="P177" s="10"/>
      <c r="R177" s="10"/>
      <c r="S177" s="10"/>
      <c r="U177" s="10"/>
    </row>
    <row r="178" spans="1:21" x14ac:dyDescent="0.35">
      <c r="A178" s="126">
        <f t="shared" si="7"/>
        <v>46197</v>
      </c>
      <c r="B178" s="118" t="str">
        <f t="shared" si="6"/>
        <v>jun/26</v>
      </c>
      <c r="C178" s="115" t="e">
        <f>SUMIFS([1]PRODUÇÃO!$F:$F,[1]PRODUÇÃO!$A:$A,$A178,[1]PRODUÇÃO!$H:$H,C$1)-SUMIFS('[1]Lastro infra'!$G:$G,'[1]Lastro infra'!$A:$A,$A178)</f>
        <v>#VALUE!</v>
      </c>
      <c r="D178" s="116" t="e">
        <f>SUMIFS([1]ENTREGA!$H:$H,[1]ENTREGA!$A:$A,$A178,[1]ENTREGA!$C:$C,C$1)</f>
        <v>#VALUE!</v>
      </c>
      <c r="E178" s="117"/>
      <c r="F178" s="115" t="e">
        <f>SUMIFS([1]PRODUÇÃO!$F:$F,[1]PRODUÇÃO!$A:$A,$A178,[1]PRODUÇÃO!$H:$H,F$1)-SUMIFS('[1]Lastro infra'!$G:$G,'[1]Lastro infra'!$A:$A,$A178)</f>
        <v>#VALUE!</v>
      </c>
      <c r="G178" s="116" t="e">
        <f>SUMIFS([1]ENTREGA!$H:$H,[1]ENTREGA!$A:$A,$A178,[1]ENTREGA!$C:$C,F$1)</f>
        <v>#VALUE!</v>
      </c>
      <c r="H178" s="117"/>
      <c r="I178" s="115">
        <v>0</v>
      </c>
      <c r="J178" s="116">
        <v>0</v>
      </c>
      <c r="K178" s="117"/>
      <c r="L178" s="127">
        <v>2831.85</v>
      </c>
      <c r="M178" s="117"/>
      <c r="O178" s="99"/>
      <c r="P178" s="10"/>
      <c r="R178" s="10"/>
      <c r="S178" s="10"/>
      <c r="U178" s="10"/>
    </row>
    <row r="179" spans="1:21" x14ac:dyDescent="0.35">
      <c r="A179" s="126">
        <f t="shared" si="7"/>
        <v>46198</v>
      </c>
      <c r="B179" s="118" t="str">
        <f t="shared" si="6"/>
        <v>jun/26</v>
      </c>
      <c r="C179" s="115" t="e">
        <f>SUMIFS([1]PRODUÇÃO!$F:$F,[1]PRODUÇÃO!$A:$A,$A179,[1]PRODUÇÃO!$H:$H,C$1)-SUMIFS('[1]Lastro infra'!$G:$G,'[1]Lastro infra'!$A:$A,$A179)</f>
        <v>#VALUE!</v>
      </c>
      <c r="D179" s="116" t="e">
        <f>SUMIFS([1]ENTREGA!$H:$H,[1]ENTREGA!$A:$A,$A179,[1]ENTREGA!$C:$C,C$1)</f>
        <v>#VALUE!</v>
      </c>
      <c r="E179" s="117"/>
      <c r="F179" s="115" t="e">
        <f>SUMIFS([1]PRODUÇÃO!$F:$F,[1]PRODUÇÃO!$A:$A,$A179,[1]PRODUÇÃO!$H:$H,F$1)-SUMIFS('[1]Lastro infra'!$G:$G,'[1]Lastro infra'!$A:$A,$A179)</f>
        <v>#VALUE!</v>
      </c>
      <c r="G179" s="116" t="e">
        <f>SUMIFS([1]ENTREGA!$H:$H,[1]ENTREGA!$A:$A,$A179,[1]ENTREGA!$C:$C,F$1)</f>
        <v>#VALUE!</v>
      </c>
      <c r="H179" s="117"/>
      <c r="I179" s="115">
        <v>0</v>
      </c>
      <c r="J179" s="116">
        <v>0</v>
      </c>
      <c r="K179" s="117"/>
      <c r="L179" s="127">
        <v>3501.75</v>
      </c>
      <c r="M179" s="117"/>
      <c r="O179" s="99"/>
      <c r="P179" s="10"/>
      <c r="R179" s="10"/>
      <c r="S179" s="10"/>
      <c r="U179" s="10"/>
    </row>
    <row r="180" spans="1:21" x14ac:dyDescent="0.35">
      <c r="A180" s="126">
        <f t="shared" si="7"/>
        <v>46199</v>
      </c>
      <c r="B180" s="118" t="str">
        <f t="shared" si="6"/>
        <v>jun/26</v>
      </c>
      <c r="C180" s="115" t="e">
        <f>SUMIFS([1]PRODUÇÃO!$F:$F,[1]PRODUÇÃO!$A:$A,$A180,[1]PRODUÇÃO!$H:$H,C$1)-SUMIFS('[1]Lastro infra'!$G:$G,'[1]Lastro infra'!$A:$A,$A180)</f>
        <v>#VALUE!</v>
      </c>
      <c r="D180" s="116" t="e">
        <f>SUMIFS([1]ENTREGA!$H:$H,[1]ENTREGA!$A:$A,$A180,[1]ENTREGA!$C:$C,C$1)</f>
        <v>#VALUE!</v>
      </c>
      <c r="E180" s="117"/>
      <c r="F180" s="115" t="e">
        <f>SUMIFS([1]PRODUÇÃO!$F:$F,[1]PRODUÇÃO!$A:$A,$A180,[1]PRODUÇÃO!$H:$H,F$1)-SUMIFS('[1]Lastro infra'!$G:$G,'[1]Lastro infra'!$A:$A,$A180)</f>
        <v>#VALUE!</v>
      </c>
      <c r="G180" s="116" t="e">
        <f>SUMIFS([1]ENTREGA!$H:$H,[1]ENTREGA!$A:$A,$A180,[1]ENTREGA!$C:$C,F$1)</f>
        <v>#VALUE!</v>
      </c>
      <c r="H180" s="117"/>
      <c r="I180" s="115">
        <v>0</v>
      </c>
      <c r="J180" s="116">
        <v>0</v>
      </c>
      <c r="K180" s="117"/>
      <c r="L180" s="127">
        <v>0</v>
      </c>
      <c r="M180" s="117"/>
      <c r="O180" s="99"/>
      <c r="P180" s="10"/>
      <c r="R180" s="10"/>
      <c r="S180" s="10"/>
      <c r="U180" s="10"/>
    </row>
    <row r="181" spans="1:21" x14ac:dyDescent="0.35">
      <c r="A181" s="126">
        <f t="shared" si="7"/>
        <v>46200</v>
      </c>
      <c r="B181" s="118" t="str">
        <f t="shared" si="6"/>
        <v>jun/26</v>
      </c>
      <c r="C181" s="115" t="e">
        <f>SUMIFS([1]PRODUÇÃO!$F:$F,[1]PRODUÇÃO!$A:$A,$A181,[1]PRODUÇÃO!$H:$H,C$1)-SUMIFS('[1]Lastro infra'!$G:$G,'[1]Lastro infra'!$A:$A,$A181)</f>
        <v>#VALUE!</v>
      </c>
      <c r="D181" s="116" t="e">
        <f>SUMIFS([1]ENTREGA!$H:$H,[1]ENTREGA!$A:$A,$A181,[1]ENTREGA!$C:$C,C$1)</f>
        <v>#VALUE!</v>
      </c>
      <c r="E181" s="117"/>
      <c r="F181" s="115" t="e">
        <f>SUMIFS([1]PRODUÇÃO!$F:$F,[1]PRODUÇÃO!$A:$A,$A181,[1]PRODUÇÃO!$H:$H,F$1)-SUMIFS('[1]Lastro infra'!$G:$G,'[1]Lastro infra'!$A:$A,$A181)</f>
        <v>#VALUE!</v>
      </c>
      <c r="G181" s="116" t="e">
        <f>SUMIFS([1]ENTREGA!$H:$H,[1]ENTREGA!$A:$A,$A181,[1]ENTREGA!$C:$C,F$1)</f>
        <v>#VALUE!</v>
      </c>
      <c r="H181" s="117"/>
      <c r="I181" s="115">
        <v>0</v>
      </c>
      <c r="J181" s="116">
        <v>0</v>
      </c>
      <c r="K181" s="117"/>
      <c r="L181" s="127">
        <v>2831.85</v>
      </c>
      <c r="M181" s="117"/>
      <c r="O181" s="99"/>
      <c r="P181" s="10"/>
      <c r="R181" s="10"/>
      <c r="S181" s="10"/>
      <c r="U181" s="10"/>
    </row>
    <row r="182" spans="1:21" x14ac:dyDescent="0.35">
      <c r="A182" s="126">
        <f t="shared" si="7"/>
        <v>46201</v>
      </c>
      <c r="B182" s="118" t="str">
        <f t="shared" si="6"/>
        <v>jun/26</v>
      </c>
      <c r="C182" s="115" t="e">
        <f>SUMIFS([1]PRODUÇÃO!$F:$F,[1]PRODUÇÃO!$A:$A,$A182,[1]PRODUÇÃO!$H:$H,C$1)-SUMIFS('[1]Lastro infra'!$G:$G,'[1]Lastro infra'!$A:$A,$A182)</f>
        <v>#VALUE!</v>
      </c>
      <c r="D182" s="116" t="e">
        <f>SUMIFS([1]ENTREGA!$H:$H,[1]ENTREGA!$A:$A,$A182,[1]ENTREGA!$C:$C,C$1)</f>
        <v>#VALUE!</v>
      </c>
      <c r="E182" s="117"/>
      <c r="F182" s="115" t="e">
        <f>SUMIFS([1]PRODUÇÃO!$F:$F,[1]PRODUÇÃO!$A:$A,$A182,[1]PRODUÇÃO!$H:$H,F$1)-SUMIFS('[1]Lastro infra'!$G:$G,'[1]Lastro infra'!$A:$A,$A182)</f>
        <v>#VALUE!</v>
      </c>
      <c r="G182" s="116" t="e">
        <f>SUMIFS([1]ENTREGA!$H:$H,[1]ENTREGA!$A:$A,$A182,[1]ENTREGA!$C:$C,F$1)</f>
        <v>#VALUE!</v>
      </c>
      <c r="H182" s="117"/>
      <c r="I182" s="115">
        <v>0</v>
      </c>
      <c r="J182" s="116">
        <v>0</v>
      </c>
      <c r="K182" s="117"/>
      <c r="L182" s="127">
        <v>0</v>
      </c>
      <c r="M182" s="117"/>
      <c r="O182" s="99"/>
      <c r="P182" s="10"/>
      <c r="R182" s="10"/>
      <c r="S182" s="10"/>
      <c r="U182" s="10"/>
    </row>
    <row r="183" spans="1:21" x14ac:dyDescent="0.35">
      <c r="A183" s="126">
        <f t="shared" si="7"/>
        <v>46202</v>
      </c>
      <c r="B183" s="118" t="str">
        <f t="shared" si="6"/>
        <v>jun/26</v>
      </c>
      <c r="C183" s="115" t="e">
        <f>SUMIFS([1]PRODUÇÃO!$F:$F,[1]PRODUÇÃO!$A:$A,$A183,[1]PRODUÇÃO!$H:$H,C$1)-SUMIFS('[1]Lastro infra'!$G:$G,'[1]Lastro infra'!$A:$A,$A183)</f>
        <v>#VALUE!</v>
      </c>
      <c r="D183" s="116" t="e">
        <f>SUMIFS([1]ENTREGA!$H:$H,[1]ENTREGA!$A:$A,$A183,[1]ENTREGA!$C:$C,C$1)</f>
        <v>#VALUE!</v>
      </c>
      <c r="E183" s="117"/>
      <c r="F183" s="115" t="e">
        <f>SUMIFS([1]PRODUÇÃO!$F:$F,[1]PRODUÇÃO!$A:$A,$A183,[1]PRODUÇÃO!$H:$H,F$1)-SUMIFS('[1]Lastro infra'!$G:$G,'[1]Lastro infra'!$A:$A,$A183)</f>
        <v>#VALUE!</v>
      </c>
      <c r="G183" s="116" t="e">
        <f>SUMIFS([1]ENTREGA!$H:$H,[1]ENTREGA!$A:$A,$A183,[1]ENTREGA!$C:$C,F$1)</f>
        <v>#VALUE!</v>
      </c>
      <c r="H183" s="117"/>
      <c r="I183" s="115">
        <v>0</v>
      </c>
      <c r="J183" s="116">
        <v>0</v>
      </c>
      <c r="K183" s="117"/>
      <c r="L183" s="127">
        <v>0</v>
      </c>
      <c r="M183" s="117"/>
      <c r="O183" s="99"/>
      <c r="P183" s="10"/>
      <c r="R183" s="10"/>
      <c r="S183" s="10"/>
      <c r="U183" s="10"/>
    </row>
    <row r="184" spans="1:21" x14ac:dyDescent="0.35">
      <c r="A184" s="126">
        <f t="shared" si="7"/>
        <v>46203</v>
      </c>
      <c r="B184" s="118" t="str">
        <f t="shared" si="6"/>
        <v>jun/26</v>
      </c>
      <c r="C184" s="115" t="e">
        <f>SUMIFS([1]PRODUÇÃO!$F:$F,[1]PRODUÇÃO!$A:$A,$A184,[1]PRODUÇÃO!$H:$H,C$1)-SUMIFS('[1]Lastro infra'!$G:$G,'[1]Lastro infra'!$A:$A,$A184)</f>
        <v>#VALUE!</v>
      </c>
      <c r="D184" s="116" t="e">
        <f>SUMIFS([1]ENTREGA!$H:$H,[1]ENTREGA!$A:$A,$A184,[1]ENTREGA!$C:$C,C$1)</f>
        <v>#VALUE!</v>
      </c>
      <c r="E184" s="117"/>
      <c r="F184" s="115" t="e">
        <f>SUMIFS([1]PRODUÇÃO!$F:$F,[1]PRODUÇÃO!$A:$A,$A184,[1]PRODUÇÃO!$H:$H,F$1)-SUMIFS('[1]Lastro infra'!$G:$G,'[1]Lastro infra'!$A:$A,$A184)</f>
        <v>#VALUE!</v>
      </c>
      <c r="G184" s="116" t="e">
        <f>SUMIFS([1]ENTREGA!$H:$H,[1]ENTREGA!$A:$A,$A184,[1]ENTREGA!$C:$C,F$1)</f>
        <v>#VALUE!</v>
      </c>
      <c r="H184" s="117"/>
      <c r="I184" s="115">
        <v>0</v>
      </c>
      <c r="J184" s="116">
        <v>0</v>
      </c>
      <c r="K184" s="117"/>
      <c r="L184" s="127">
        <v>0</v>
      </c>
      <c r="M184" s="117"/>
      <c r="O184" s="99"/>
      <c r="P184" s="10"/>
      <c r="R184" s="10"/>
      <c r="S184" s="10"/>
      <c r="U184" s="10"/>
    </row>
    <row r="185" spans="1:21" x14ac:dyDescent="0.35">
      <c r="A185" s="126">
        <f t="shared" si="7"/>
        <v>46204</v>
      </c>
      <c r="B185" s="118" t="str">
        <f t="shared" si="6"/>
        <v>jul/26</v>
      </c>
      <c r="C185" s="115" t="e">
        <f>SUMIFS([1]PRODUÇÃO!$F:$F,[1]PRODUÇÃO!$A:$A,$A185,[1]PRODUÇÃO!$H:$H,C$1)-SUMIFS('[1]Lastro infra'!$G:$G,'[1]Lastro infra'!$A:$A,$A185)</f>
        <v>#VALUE!</v>
      </c>
      <c r="D185" s="116" t="e">
        <f>SUMIFS([1]ENTREGA!$H:$H,[1]ENTREGA!$A:$A,$A185,[1]ENTREGA!$C:$C,C$1)</f>
        <v>#VALUE!</v>
      </c>
      <c r="E185" s="118"/>
      <c r="F185" s="115" t="e">
        <f>SUMIFS([1]PRODUÇÃO!$F:$F,[1]PRODUÇÃO!$A:$A,$A185,[1]PRODUÇÃO!$H:$H,F$1)-SUMIFS('[1]Lastro infra'!$G:$G,'[1]Lastro infra'!$A:$A,$A185)</f>
        <v>#VALUE!</v>
      </c>
      <c r="G185" s="116" t="e">
        <f>SUMIFS([1]ENTREGA!$H:$H,[1]ENTREGA!$A:$A,$A185,[1]ENTREGA!$C:$C,F$1)</f>
        <v>#VALUE!</v>
      </c>
      <c r="H185" s="118"/>
      <c r="I185" s="115">
        <v>0</v>
      </c>
      <c r="J185" s="116">
        <v>0</v>
      </c>
      <c r="K185" s="117"/>
      <c r="L185" s="127">
        <v>1827</v>
      </c>
      <c r="M185" s="117"/>
      <c r="O185" s="99"/>
      <c r="P185" s="10"/>
      <c r="R185" s="10"/>
      <c r="S185" s="10"/>
      <c r="U185" s="10"/>
    </row>
    <row r="186" spans="1:21" x14ac:dyDescent="0.35">
      <c r="A186" s="126">
        <f t="shared" si="7"/>
        <v>46205</v>
      </c>
      <c r="B186" s="118" t="str">
        <f t="shared" si="6"/>
        <v>jul/26</v>
      </c>
      <c r="C186" s="115" t="e">
        <f>SUMIFS([1]PRODUÇÃO!$F:$F,[1]PRODUÇÃO!$A:$A,$A186,[1]PRODUÇÃO!$H:$H,C$1)-SUMIFS('[1]Lastro infra'!$G:$G,'[1]Lastro infra'!$A:$A,$A186)</f>
        <v>#VALUE!</v>
      </c>
      <c r="D186" s="116" t="e">
        <f>SUMIFS([1]ENTREGA!$H:$H,[1]ENTREGA!$A:$A,$A186,[1]ENTREGA!$C:$C,C$1)</f>
        <v>#VALUE!</v>
      </c>
      <c r="E186" s="118"/>
      <c r="F186" s="115" t="e">
        <f>SUMIFS([1]PRODUÇÃO!$F:$F,[1]PRODUÇÃO!$A:$A,$A186,[1]PRODUÇÃO!$H:$H,F$1)-SUMIFS('[1]Lastro infra'!$G:$G,'[1]Lastro infra'!$A:$A,$A186)</f>
        <v>#VALUE!</v>
      </c>
      <c r="G186" s="116" t="e">
        <f>SUMIFS([1]ENTREGA!$H:$H,[1]ENTREGA!$A:$A,$A186,[1]ENTREGA!$C:$C,F$1)</f>
        <v>#VALUE!</v>
      </c>
      <c r="H186" s="118"/>
      <c r="I186" s="115">
        <v>0</v>
      </c>
      <c r="J186" s="116">
        <v>0</v>
      </c>
      <c r="K186" s="117"/>
      <c r="L186" s="127">
        <v>2283.75</v>
      </c>
      <c r="M186" s="117"/>
      <c r="O186" s="99"/>
      <c r="P186" s="10"/>
      <c r="R186" s="10"/>
      <c r="S186" s="10"/>
      <c r="U186" s="10"/>
    </row>
    <row r="187" spans="1:21" x14ac:dyDescent="0.35">
      <c r="A187" s="126">
        <f t="shared" si="7"/>
        <v>46206</v>
      </c>
      <c r="B187" s="118" t="str">
        <f t="shared" si="6"/>
        <v>jul/26</v>
      </c>
      <c r="C187" s="115" t="e">
        <f>SUMIFS([1]PRODUÇÃO!$F:$F,[1]PRODUÇÃO!$A:$A,$A187,[1]PRODUÇÃO!$H:$H,C$1)-SUMIFS('[1]Lastro infra'!$G:$G,'[1]Lastro infra'!$A:$A,$A187)</f>
        <v>#VALUE!</v>
      </c>
      <c r="D187" s="116" t="e">
        <f>SUMIFS([1]ENTREGA!$H:$H,[1]ENTREGA!$A:$A,$A187,[1]ENTREGA!$C:$C,C$1)</f>
        <v>#VALUE!</v>
      </c>
      <c r="E187" s="119"/>
      <c r="F187" s="115" t="e">
        <f>SUMIFS([1]PRODUÇÃO!$F:$F,[1]PRODUÇÃO!$A:$A,$A187,[1]PRODUÇÃO!$H:$H,F$1)-SUMIFS('[1]Lastro infra'!$G:$G,'[1]Lastro infra'!$A:$A,$A187)</f>
        <v>#VALUE!</v>
      </c>
      <c r="G187" s="116" t="e">
        <f>SUMIFS([1]ENTREGA!$H:$H,[1]ENTREGA!$A:$A,$A187,[1]ENTREGA!$C:$C,F$1)</f>
        <v>#VALUE!</v>
      </c>
      <c r="H187" s="119"/>
      <c r="I187" s="115">
        <v>0</v>
      </c>
      <c r="J187" s="116">
        <v>0</v>
      </c>
      <c r="K187" s="117"/>
      <c r="L187" s="127">
        <v>284.2</v>
      </c>
      <c r="M187" s="117"/>
      <c r="O187" s="99"/>
      <c r="P187" s="10"/>
      <c r="R187" s="10"/>
      <c r="S187" s="10"/>
      <c r="U187" s="10"/>
    </row>
    <row r="188" spans="1:21" x14ac:dyDescent="0.35">
      <c r="A188" s="126">
        <f t="shared" si="7"/>
        <v>46207</v>
      </c>
      <c r="B188" s="118" t="str">
        <f t="shared" si="6"/>
        <v>jul/26</v>
      </c>
      <c r="C188" s="115" t="e">
        <f>SUMIFS([1]PRODUÇÃO!$F:$F,[1]PRODUÇÃO!$A:$A,$A188,[1]PRODUÇÃO!$H:$H,C$1)-SUMIFS('[1]Lastro infra'!$G:$G,'[1]Lastro infra'!$A:$A,$A188)</f>
        <v>#VALUE!</v>
      </c>
      <c r="D188" s="116" t="e">
        <f>SUMIFS([1]ENTREGA!$H:$H,[1]ENTREGA!$A:$A,$A188,[1]ENTREGA!$C:$C,C$1)</f>
        <v>#VALUE!</v>
      </c>
      <c r="E188" s="119"/>
      <c r="F188" s="115" t="e">
        <f>SUMIFS([1]PRODUÇÃO!$F:$F,[1]PRODUÇÃO!$A:$A,$A188,[1]PRODUÇÃO!$H:$H,F$1)-SUMIFS('[1]Lastro infra'!$G:$G,'[1]Lastro infra'!$A:$A,$A188)</f>
        <v>#VALUE!</v>
      </c>
      <c r="G188" s="116" t="e">
        <f>SUMIFS([1]ENTREGA!$H:$H,[1]ENTREGA!$A:$A,$A188,[1]ENTREGA!$C:$C,F$1)</f>
        <v>#VALUE!</v>
      </c>
      <c r="H188" s="119"/>
      <c r="I188" s="115">
        <v>0</v>
      </c>
      <c r="J188" s="116">
        <v>0</v>
      </c>
      <c r="K188" s="117"/>
      <c r="L188" s="127">
        <v>3877.2999999999997</v>
      </c>
      <c r="M188" s="117"/>
      <c r="O188" s="99"/>
      <c r="P188" s="10"/>
      <c r="R188" s="10"/>
      <c r="S188" s="10"/>
      <c r="U188" s="10"/>
    </row>
    <row r="189" spans="1:21" x14ac:dyDescent="0.35">
      <c r="A189" s="126">
        <f t="shared" si="7"/>
        <v>46208</v>
      </c>
      <c r="B189" s="118" t="str">
        <f t="shared" si="6"/>
        <v>jul/26</v>
      </c>
      <c r="C189" s="115" t="e">
        <f>SUMIFS([1]PRODUÇÃO!$F:$F,[1]PRODUÇÃO!$A:$A,$A189,[1]PRODUÇÃO!$H:$H,C$1)-SUMIFS('[1]Lastro infra'!$G:$G,'[1]Lastro infra'!$A:$A,$A189)</f>
        <v>#VALUE!</v>
      </c>
      <c r="D189" s="116" t="e">
        <f>SUMIFS([1]ENTREGA!$H:$H,[1]ENTREGA!$A:$A,$A189,[1]ENTREGA!$C:$C,C$1)</f>
        <v>#VALUE!</v>
      </c>
      <c r="E189" s="119"/>
      <c r="F189" s="115" t="e">
        <f>SUMIFS([1]PRODUÇÃO!$F:$F,[1]PRODUÇÃO!$A:$A,$A189,[1]PRODUÇÃO!$H:$H,F$1)-SUMIFS('[1]Lastro infra'!$G:$G,'[1]Lastro infra'!$A:$A,$A189)</f>
        <v>#VALUE!</v>
      </c>
      <c r="G189" s="116" t="e">
        <f>SUMIFS([1]ENTREGA!$H:$H,[1]ENTREGA!$A:$A,$A189,[1]ENTREGA!$C:$C,F$1)</f>
        <v>#VALUE!</v>
      </c>
      <c r="H189" s="119"/>
      <c r="I189" s="115">
        <v>0</v>
      </c>
      <c r="J189" s="116">
        <v>0</v>
      </c>
      <c r="K189" s="117"/>
      <c r="L189" s="127">
        <v>0</v>
      </c>
      <c r="M189" s="117"/>
      <c r="O189" s="99"/>
      <c r="P189" s="10"/>
      <c r="R189" s="10"/>
      <c r="S189" s="10"/>
      <c r="U189" s="10"/>
    </row>
    <row r="190" spans="1:21" x14ac:dyDescent="0.35">
      <c r="A190" s="126">
        <f t="shared" si="7"/>
        <v>46209</v>
      </c>
      <c r="B190" s="118" t="str">
        <f t="shared" si="6"/>
        <v>jul/26</v>
      </c>
      <c r="C190" s="115" t="e">
        <f>SUMIFS([1]PRODUÇÃO!$F:$F,[1]PRODUÇÃO!$A:$A,$A190,[1]PRODUÇÃO!$H:$H,C$1)-SUMIFS('[1]Lastro infra'!$G:$G,'[1]Lastro infra'!$A:$A,$A190)</f>
        <v>#VALUE!</v>
      </c>
      <c r="D190" s="116" t="e">
        <f>SUMIFS([1]ENTREGA!$H:$H,[1]ENTREGA!$A:$A,$A190,[1]ENTREGA!$C:$C,C$1)</f>
        <v>#VALUE!</v>
      </c>
      <c r="E190" s="119"/>
      <c r="F190" s="115" t="e">
        <f>SUMIFS([1]PRODUÇÃO!$F:$F,[1]PRODUÇÃO!$A:$A,$A190,[1]PRODUÇÃO!$H:$H,F$1)-SUMIFS('[1]Lastro infra'!$G:$G,'[1]Lastro infra'!$A:$A,$A190)</f>
        <v>#VALUE!</v>
      </c>
      <c r="G190" s="116" t="e">
        <f>SUMIFS([1]ENTREGA!$H:$H,[1]ENTREGA!$A:$A,$A190,[1]ENTREGA!$C:$C,F$1)</f>
        <v>#VALUE!</v>
      </c>
      <c r="H190" s="119"/>
      <c r="I190" s="115">
        <v>0</v>
      </c>
      <c r="J190" s="116">
        <v>0</v>
      </c>
      <c r="K190" s="117"/>
      <c r="L190" s="127">
        <v>487.2</v>
      </c>
      <c r="M190" s="117"/>
      <c r="O190" s="99"/>
      <c r="P190" s="10"/>
      <c r="R190" s="10"/>
      <c r="S190" s="10"/>
      <c r="U190" s="10"/>
    </row>
    <row r="191" spans="1:21" x14ac:dyDescent="0.35">
      <c r="A191" s="126">
        <f t="shared" si="7"/>
        <v>46210</v>
      </c>
      <c r="B191" s="118" t="str">
        <f t="shared" si="6"/>
        <v>jul/26</v>
      </c>
      <c r="C191" s="115" t="e">
        <f>SUMIFS([1]PRODUÇÃO!$F:$F,[1]PRODUÇÃO!$A:$A,$A191,[1]PRODUÇÃO!$H:$H,C$1)-SUMIFS('[1]Lastro infra'!$G:$G,'[1]Lastro infra'!$A:$A,$A191)</f>
        <v>#VALUE!</v>
      </c>
      <c r="D191" s="116" t="e">
        <f>SUMIFS([1]ENTREGA!$H:$H,[1]ENTREGA!$A:$A,$A191,[1]ENTREGA!$C:$C,C$1)</f>
        <v>#VALUE!</v>
      </c>
      <c r="E191" s="119"/>
      <c r="F191" s="115" t="e">
        <f>SUMIFS([1]PRODUÇÃO!$F:$F,[1]PRODUÇÃO!$A:$A,$A191,[1]PRODUÇÃO!$H:$H,F$1)-SUMIFS('[1]Lastro infra'!$G:$G,'[1]Lastro infra'!$A:$A,$A191)</f>
        <v>#VALUE!</v>
      </c>
      <c r="G191" s="116" t="e">
        <f>SUMIFS([1]ENTREGA!$H:$H,[1]ENTREGA!$A:$A,$A191,[1]ENTREGA!$C:$C,F$1)</f>
        <v>#VALUE!</v>
      </c>
      <c r="H191" s="119"/>
      <c r="I191" s="115">
        <v>0</v>
      </c>
      <c r="J191" s="116">
        <v>0</v>
      </c>
      <c r="K191" s="117"/>
      <c r="L191" s="127">
        <v>5744.9</v>
      </c>
      <c r="M191" s="117"/>
      <c r="O191" s="99"/>
      <c r="P191" s="10"/>
      <c r="R191" s="10"/>
      <c r="S191" s="10"/>
      <c r="U191" s="10"/>
    </row>
    <row r="192" spans="1:21" x14ac:dyDescent="0.35">
      <c r="A192" s="126">
        <f t="shared" si="7"/>
        <v>46211</v>
      </c>
      <c r="B192" s="118" t="str">
        <f t="shared" si="6"/>
        <v>jul/26</v>
      </c>
      <c r="C192" s="115" t="e">
        <f>SUMIFS([1]PRODUÇÃO!$F:$F,[1]PRODUÇÃO!$A:$A,$A192,[1]PRODUÇÃO!$H:$H,C$1)-SUMIFS('[1]Lastro infra'!$G:$G,'[1]Lastro infra'!$A:$A,$A192)</f>
        <v>#VALUE!</v>
      </c>
      <c r="D192" s="116" t="e">
        <f>SUMIFS([1]ENTREGA!$H:$H,[1]ENTREGA!$A:$A,$A192,[1]ENTREGA!$C:$C,C$1)</f>
        <v>#VALUE!</v>
      </c>
      <c r="E192" s="119"/>
      <c r="F192" s="115" t="e">
        <f>SUMIFS([1]PRODUÇÃO!$F:$F,[1]PRODUÇÃO!$A:$A,$A192,[1]PRODUÇÃO!$H:$H,F$1)-SUMIFS('[1]Lastro infra'!$G:$G,'[1]Lastro infra'!$A:$A,$A192)</f>
        <v>#VALUE!</v>
      </c>
      <c r="G192" s="116" t="e">
        <f>SUMIFS([1]ENTREGA!$H:$H,[1]ENTREGA!$A:$A,$A192,[1]ENTREGA!$C:$C,F$1)</f>
        <v>#VALUE!</v>
      </c>
      <c r="H192" s="119"/>
      <c r="I192" s="115">
        <v>0</v>
      </c>
      <c r="J192" s="116">
        <v>0</v>
      </c>
      <c r="K192" s="117"/>
      <c r="L192" s="127">
        <v>852.6</v>
      </c>
      <c r="M192" s="117"/>
      <c r="O192" s="99"/>
      <c r="P192" s="10"/>
      <c r="R192" s="10"/>
      <c r="S192" s="10"/>
      <c r="U192" s="10"/>
    </row>
    <row r="193" spans="1:21" x14ac:dyDescent="0.35">
      <c r="A193" s="126">
        <f t="shared" si="7"/>
        <v>46212</v>
      </c>
      <c r="B193" s="118" t="str">
        <f t="shared" si="6"/>
        <v>jul/26</v>
      </c>
      <c r="C193" s="115" t="e">
        <f>SUMIFS([1]PRODUÇÃO!$F:$F,[1]PRODUÇÃO!$A:$A,$A193,[1]PRODUÇÃO!$H:$H,C$1)-SUMIFS('[1]Lastro infra'!$G:$G,'[1]Lastro infra'!$A:$A,$A193)</f>
        <v>#VALUE!</v>
      </c>
      <c r="D193" s="116" t="e">
        <f>SUMIFS([1]ENTREGA!$H:$H,[1]ENTREGA!$A:$A,$A193,[1]ENTREGA!$C:$C,C$1)</f>
        <v>#VALUE!</v>
      </c>
      <c r="E193" s="119"/>
      <c r="F193" s="115" t="e">
        <f>SUMIFS([1]PRODUÇÃO!$F:$F,[1]PRODUÇÃO!$A:$A,$A193,[1]PRODUÇÃO!$H:$H,F$1)-SUMIFS('[1]Lastro infra'!$G:$G,'[1]Lastro infra'!$A:$A,$A193)</f>
        <v>#VALUE!</v>
      </c>
      <c r="G193" s="116" t="e">
        <f>SUMIFS([1]ENTREGA!$H:$H,[1]ENTREGA!$A:$A,$A193,[1]ENTREGA!$C:$C,F$1)</f>
        <v>#VALUE!</v>
      </c>
      <c r="H193" s="119"/>
      <c r="I193" s="115">
        <v>0</v>
      </c>
      <c r="J193" s="116">
        <v>0</v>
      </c>
      <c r="K193" s="117"/>
      <c r="L193" s="127">
        <v>3308.8999999999996</v>
      </c>
      <c r="M193" s="117"/>
      <c r="O193" s="99"/>
      <c r="P193" s="10"/>
      <c r="R193" s="10"/>
      <c r="S193" s="10"/>
      <c r="U193" s="10"/>
    </row>
    <row r="194" spans="1:21" x14ac:dyDescent="0.35">
      <c r="A194" s="126">
        <f t="shared" si="7"/>
        <v>46213</v>
      </c>
      <c r="B194" s="118" t="str">
        <f t="shared" si="6"/>
        <v>jul/26</v>
      </c>
      <c r="C194" s="115" t="e">
        <f>SUMIFS([1]PRODUÇÃO!$F:$F,[1]PRODUÇÃO!$A:$A,$A194,[1]PRODUÇÃO!$H:$H,C$1)-SUMIFS('[1]Lastro infra'!$G:$G,'[1]Lastro infra'!$A:$A,$A194)</f>
        <v>#VALUE!</v>
      </c>
      <c r="D194" s="116" t="e">
        <f>SUMIFS([1]ENTREGA!$H:$H,[1]ENTREGA!$A:$A,$A194,[1]ENTREGA!$C:$C,C$1)</f>
        <v>#VALUE!</v>
      </c>
      <c r="E194" s="119"/>
      <c r="F194" s="115" t="e">
        <f>SUMIFS([1]PRODUÇÃO!$F:$F,[1]PRODUÇÃO!$A:$A,$A194,[1]PRODUÇÃO!$H:$H,F$1)-SUMIFS('[1]Lastro infra'!$G:$G,'[1]Lastro infra'!$A:$A,$A194)</f>
        <v>#VALUE!</v>
      </c>
      <c r="G194" s="116" t="e">
        <f>SUMIFS([1]ENTREGA!$H:$H,[1]ENTREGA!$A:$A,$A194,[1]ENTREGA!$C:$C,F$1)</f>
        <v>#VALUE!</v>
      </c>
      <c r="H194" s="119"/>
      <c r="I194" s="115">
        <v>0</v>
      </c>
      <c r="J194" s="116">
        <v>0</v>
      </c>
      <c r="K194" s="117"/>
      <c r="L194" s="127">
        <v>3166.7999999999997</v>
      </c>
      <c r="M194" s="117"/>
      <c r="O194" s="99"/>
      <c r="P194" s="10"/>
      <c r="R194" s="10"/>
      <c r="S194" s="10"/>
      <c r="U194" s="10"/>
    </row>
    <row r="195" spans="1:21" x14ac:dyDescent="0.35">
      <c r="A195" s="126">
        <f t="shared" si="7"/>
        <v>46214</v>
      </c>
      <c r="B195" s="118" t="str">
        <f t="shared" si="6"/>
        <v>jul/26</v>
      </c>
      <c r="C195" s="115" t="e">
        <f>SUMIFS([1]PRODUÇÃO!$F:$F,[1]PRODUÇÃO!$A:$A,$A195,[1]PRODUÇÃO!$H:$H,C$1)-SUMIFS('[1]Lastro infra'!$G:$G,'[1]Lastro infra'!$A:$A,$A195)</f>
        <v>#VALUE!</v>
      </c>
      <c r="D195" s="116" t="e">
        <f>SUMIFS([1]ENTREGA!$H:$H,[1]ENTREGA!$A:$A,$A195,[1]ENTREGA!$C:$C,C$1)</f>
        <v>#VALUE!</v>
      </c>
      <c r="E195" s="119"/>
      <c r="F195" s="115" t="e">
        <f>SUMIFS([1]PRODUÇÃO!$F:$F,[1]PRODUÇÃO!$A:$A,$A195,[1]PRODUÇÃO!$H:$H,F$1)-SUMIFS('[1]Lastro infra'!$G:$G,'[1]Lastro infra'!$A:$A,$A195)</f>
        <v>#VALUE!</v>
      </c>
      <c r="G195" s="116" t="e">
        <f>SUMIFS([1]ENTREGA!$H:$H,[1]ENTREGA!$A:$A,$A195,[1]ENTREGA!$C:$C,F$1)</f>
        <v>#VALUE!</v>
      </c>
      <c r="H195" s="119"/>
      <c r="I195" s="115">
        <v>0</v>
      </c>
      <c r="J195" s="116">
        <v>0</v>
      </c>
      <c r="K195" s="117"/>
      <c r="L195" s="127">
        <v>548.1</v>
      </c>
      <c r="M195" s="117"/>
      <c r="O195" s="99"/>
      <c r="P195" s="10"/>
      <c r="R195" s="10"/>
      <c r="S195" s="10"/>
      <c r="U195" s="10"/>
    </row>
    <row r="196" spans="1:21" x14ac:dyDescent="0.35">
      <c r="A196" s="126">
        <f t="shared" si="7"/>
        <v>46215</v>
      </c>
      <c r="B196" s="118" t="str">
        <f t="shared" si="6"/>
        <v>jul/26</v>
      </c>
      <c r="C196" s="115" t="e">
        <f>SUMIFS([1]PRODUÇÃO!$F:$F,[1]PRODUÇÃO!$A:$A,$A196,[1]PRODUÇÃO!$H:$H,C$1)-SUMIFS('[1]Lastro infra'!$G:$G,'[1]Lastro infra'!$A:$A,$A196)</f>
        <v>#VALUE!</v>
      </c>
      <c r="D196" s="116" t="e">
        <f>SUMIFS([1]ENTREGA!$H:$H,[1]ENTREGA!$A:$A,$A196,[1]ENTREGA!$C:$C,C$1)</f>
        <v>#VALUE!</v>
      </c>
      <c r="E196" s="119"/>
      <c r="F196" s="115" t="e">
        <f>SUMIFS([1]PRODUÇÃO!$F:$F,[1]PRODUÇÃO!$A:$A,$A196,[1]PRODUÇÃO!$H:$H,F$1)-SUMIFS('[1]Lastro infra'!$G:$G,'[1]Lastro infra'!$A:$A,$A196)</f>
        <v>#VALUE!</v>
      </c>
      <c r="G196" s="116" t="e">
        <f>SUMIFS([1]ENTREGA!$H:$H,[1]ENTREGA!$A:$A,$A196,[1]ENTREGA!$C:$C,F$1)</f>
        <v>#VALUE!</v>
      </c>
      <c r="H196" s="118"/>
      <c r="I196" s="115">
        <v>0</v>
      </c>
      <c r="J196" s="116">
        <v>0</v>
      </c>
      <c r="K196" s="117"/>
      <c r="L196" s="127">
        <v>0</v>
      </c>
      <c r="M196" s="117"/>
      <c r="O196" s="99"/>
      <c r="P196" s="10"/>
      <c r="R196" s="10"/>
      <c r="S196" s="10"/>
      <c r="U196" s="10"/>
    </row>
    <row r="197" spans="1:21" x14ac:dyDescent="0.35">
      <c r="A197" s="126">
        <f t="shared" si="7"/>
        <v>46216</v>
      </c>
      <c r="B197" s="118" t="str">
        <f t="shared" ref="B197:B260" si="8">TEXT(A197,"MMM/AA")</f>
        <v>jul/26</v>
      </c>
      <c r="C197" s="115" t="e">
        <f>SUMIFS([1]PRODUÇÃO!$F:$F,[1]PRODUÇÃO!$A:$A,$A197,[1]PRODUÇÃO!$H:$H,C$1)-SUMIFS('[1]Lastro infra'!$G:$G,'[1]Lastro infra'!$A:$A,$A197)</f>
        <v>#VALUE!</v>
      </c>
      <c r="D197" s="116" t="e">
        <f>SUMIFS([1]ENTREGA!$H:$H,[1]ENTREGA!$A:$A,$A197,[1]ENTREGA!$C:$C,C$1)</f>
        <v>#VALUE!</v>
      </c>
      <c r="E197" s="119"/>
      <c r="F197" s="115" t="e">
        <f>SUMIFS([1]PRODUÇÃO!$F:$F,[1]PRODUÇÃO!$A:$A,$A197,[1]PRODUÇÃO!$H:$H,F$1)-SUMIFS('[1]Lastro infra'!$G:$G,'[1]Lastro infra'!$A:$A,$A197)</f>
        <v>#VALUE!</v>
      </c>
      <c r="G197" s="116" t="e">
        <f>SUMIFS([1]ENTREGA!$H:$H,[1]ENTREGA!$A:$A,$A197,[1]ENTREGA!$C:$C,F$1)</f>
        <v>#VALUE!</v>
      </c>
      <c r="H197" s="118"/>
      <c r="I197" s="115">
        <v>0</v>
      </c>
      <c r="J197" s="116">
        <v>0</v>
      </c>
      <c r="K197" s="10"/>
      <c r="L197" s="127">
        <v>5267.85</v>
      </c>
      <c r="M197" s="117"/>
      <c r="O197" s="99"/>
      <c r="P197" s="10"/>
      <c r="R197" s="10"/>
      <c r="S197" s="10"/>
      <c r="U197" s="10"/>
    </row>
    <row r="198" spans="1:21" x14ac:dyDescent="0.35">
      <c r="A198" s="126">
        <f t="shared" si="7"/>
        <v>46217</v>
      </c>
      <c r="B198" s="118" t="str">
        <f t="shared" si="8"/>
        <v>jul/26</v>
      </c>
      <c r="C198" s="115" t="e">
        <f>SUMIFS([1]PRODUÇÃO!$F:$F,[1]PRODUÇÃO!$A:$A,$A198,[1]PRODUÇÃO!$H:$H,C$1)-SUMIFS('[1]Lastro infra'!$G:$G,'[1]Lastro infra'!$A:$A,$A198)</f>
        <v>#VALUE!</v>
      </c>
      <c r="D198" s="116" t="e">
        <f>SUMIFS([1]ENTREGA!$H:$H,[1]ENTREGA!$A:$A,$A198,[1]ENTREGA!$C:$C,C$1)</f>
        <v>#VALUE!</v>
      </c>
      <c r="E198" s="118"/>
      <c r="F198" s="115" t="e">
        <f>SUMIFS([1]PRODUÇÃO!$F:$F,[1]PRODUÇÃO!$A:$A,$A198,[1]PRODUÇÃO!$H:$H,F$1)-SUMIFS('[1]Lastro infra'!$G:$G,'[1]Lastro infra'!$A:$A,$A198)</f>
        <v>#VALUE!</v>
      </c>
      <c r="G198" s="116" t="e">
        <f>SUMIFS([1]ENTREGA!$H:$H,[1]ENTREGA!$A:$A,$A198,[1]ENTREGA!$C:$C,F$1)</f>
        <v>#VALUE!</v>
      </c>
      <c r="H198" s="118"/>
      <c r="I198" s="115">
        <v>0</v>
      </c>
      <c r="J198" s="116">
        <v>0</v>
      </c>
      <c r="K198" s="10"/>
      <c r="L198" s="127">
        <v>1827</v>
      </c>
      <c r="M198" s="117"/>
      <c r="O198" s="99"/>
      <c r="P198" s="10"/>
      <c r="R198" s="10"/>
      <c r="S198" s="10"/>
      <c r="U198" s="10"/>
    </row>
    <row r="199" spans="1:21" x14ac:dyDescent="0.35">
      <c r="A199" s="126">
        <f t="shared" si="7"/>
        <v>46218</v>
      </c>
      <c r="B199" s="118" t="str">
        <f t="shared" si="8"/>
        <v>jul/26</v>
      </c>
      <c r="C199" s="115" t="e">
        <f>SUMIFS([1]PRODUÇÃO!$F:$F,[1]PRODUÇÃO!$A:$A,$A199,[1]PRODUÇÃO!$H:$H,C$1)-SUMIFS('[1]Lastro infra'!$G:$G,'[1]Lastro infra'!$A:$A,$A199)</f>
        <v>#VALUE!</v>
      </c>
      <c r="D199" s="116" t="e">
        <f>SUMIFS([1]ENTREGA!$H:$H,[1]ENTREGA!$A:$A,$A199,[1]ENTREGA!$C:$C,C$1)</f>
        <v>#VALUE!</v>
      </c>
      <c r="E199" s="118"/>
      <c r="F199" s="115" t="e">
        <f>SUMIFS([1]PRODUÇÃO!$F:$F,[1]PRODUÇÃO!$A:$A,$A199,[1]PRODUÇÃO!$H:$H,F$1)-SUMIFS('[1]Lastro infra'!$G:$G,'[1]Lastro infra'!$A:$A,$A199)</f>
        <v>#VALUE!</v>
      </c>
      <c r="G199" s="116" t="e">
        <f>SUMIFS([1]ENTREGA!$H:$H,[1]ENTREGA!$A:$A,$A199,[1]ENTREGA!$C:$C,F$1)</f>
        <v>#VALUE!</v>
      </c>
      <c r="H199" s="118"/>
      <c r="I199" s="115">
        <v>0</v>
      </c>
      <c r="J199" s="116">
        <v>0</v>
      </c>
      <c r="K199" s="9"/>
      <c r="L199" s="127">
        <v>4872</v>
      </c>
      <c r="M199" s="117"/>
      <c r="O199" s="99"/>
      <c r="P199" s="10"/>
      <c r="R199" s="10"/>
      <c r="S199" s="10"/>
      <c r="U199" s="10"/>
    </row>
    <row r="200" spans="1:21" x14ac:dyDescent="0.35">
      <c r="A200" s="126">
        <f t="shared" si="7"/>
        <v>46219</v>
      </c>
      <c r="B200" s="118" t="str">
        <f t="shared" si="8"/>
        <v>jul/26</v>
      </c>
      <c r="C200" s="115" t="e">
        <f>SUMIFS([1]PRODUÇÃO!$F:$F,[1]PRODUÇÃO!$A:$A,$A200,[1]PRODUÇÃO!$H:$H,C$1)-SUMIFS('[1]Lastro infra'!$G:$G,'[1]Lastro infra'!$A:$A,$A200)</f>
        <v>#VALUE!</v>
      </c>
      <c r="D200" s="116" t="e">
        <f>SUMIFS([1]ENTREGA!$H:$H,[1]ENTREGA!$A:$A,$A200,[1]ENTREGA!$C:$C,C$1)</f>
        <v>#VALUE!</v>
      </c>
      <c r="E200" s="118"/>
      <c r="F200" s="115" t="e">
        <f>SUMIFS([1]PRODUÇÃO!$F:$F,[1]PRODUÇÃO!$A:$A,$A200,[1]PRODUÇÃO!$H:$H,F$1)-SUMIFS('[1]Lastro infra'!$G:$G,'[1]Lastro infra'!$A:$A,$A200)</f>
        <v>#VALUE!</v>
      </c>
      <c r="G200" s="116" t="e">
        <f>SUMIFS([1]ENTREGA!$H:$H,[1]ENTREGA!$A:$A,$A200,[1]ENTREGA!$C:$C,F$1)</f>
        <v>#VALUE!</v>
      </c>
      <c r="H200" s="118"/>
      <c r="I200" s="115">
        <v>0</v>
      </c>
      <c r="J200" s="116">
        <v>0</v>
      </c>
      <c r="K200" s="9"/>
      <c r="L200" s="127">
        <v>6364.95</v>
      </c>
      <c r="M200" s="117"/>
      <c r="O200" s="99"/>
      <c r="P200" s="10"/>
      <c r="R200" s="10"/>
      <c r="S200" s="10"/>
      <c r="U200" s="10"/>
    </row>
    <row r="201" spans="1:21" x14ac:dyDescent="0.35">
      <c r="A201" s="126">
        <f t="shared" si="7"/>
        <v>46220</v>
      </c>
      <c r="B201" s="118" t="str">
        <f t="shared" si="8"/>
        <v>jul/26</v>
      </c>
      <c r="C201" s="115" t="e">
        <f>SUMIFS([1]PRODUÇÃO!$F:$F,[1]PRODUÇÃO!$A:$A,$A201,[1]PRODUÇÃO!$H:$H,C$1)-SUMIFS('[1]Lastro infra'!$G:$G,'[1]Lastro infra'!$A:$A,$A201)</f>
        <v>#VALUE!</v>
      </c>
      <c r="D201" s="116" t="e">
        <f>SUMIFS([1]ENTREGA!$H:$H,[1]ENTREGA!$A:$A,$A201,[1]ENTREGA!$C:$C,C$1)</f>
        <v>#VALUE!</v>
      </c>
      <c r="E201" s="118"/>
      <c r="F201" s="115" t="e">
        <f>SUMIFS([1]PRODUÇÃO!$F:$F,[1]PRODUÇÃO!$A:$A,$A201,[1]PRODUÇÃO!$H:$H,F$1)-SUMIFS('[1]Lastro infra'!$G:$G,'[1]Lastro infra'!$A:$A,$A201)</f>
        <v>#VALUE!</v>
      </c>
      <c r="G201" s="116" t="e">
        <f>SUMIFS([1]ENTREGA!$H:$H,[1]ENTREGA!$A:$A,$A201,[1]ENTREGA!$C:$C,F$1)</f>
        <v>#VALUE!</v>
      </c>
      <c r="H201" s="118"/>
      <c r="I201" s="115">
        <v>0</v>
      </c>
      <c r="J201" s="116">
        <v>0</v>
      </c>
      <c r="K201" s="9"/>
      <c r="L201" s="127">
        <v>5755.05</v>
      </c>
      <c r="M201" s="117"/>
      <c r="O201" s="99"/>
      <c r="P201" s="10"/>
      <c r="R201" s="10"/>
      <c r="S201" s="10"/>
      <c r="U201" s="10"/>
    </row>
    <row r="202" spans="1:21" x14ac:dyDescent="0.35">
      <c r="A202" s="126">
        <f t="shared" si="7"/>
        <v>46221</v>
      </c>
      <c r="B202" s="118" t="str">
        <f t="shared" si="8"/>
        <v>jul/26</v>
      </c>
      <c r="C202" s="115" t="e">
        <f>SUMIFS([1]PRODUÇÃO!$F:$F,[1]PRODUÇÃO!$A:$A,$A202,[1]PRODUÇÃO!$H:$H,C$1)-SUMIFS('[1]Lastro infra'!$G:$G,'[1]Lastro infra'!$A:$A,$A202)</f>
        <v>#VALUE!</v>
      </c>
      <c r="D202" s="116" t="e">
        <f>SUMIFS([1]ENTREGA!$H:$H,[1]ENTREGA!$A:$A,$A202,[1]ENTREGA!$C:$C,C$1)</f>
        <v>#VALUE!</v>
      </c>
      <c r="E202" s="118"/>
      <c r="F202" s="115" t="e">
        <f>SUMIFS([1]PRODUÇÃO!$F:$F,[1]PRODUÇÃO!$A:$A,$A202,[1]PRODUÇÃO!$H:$H,F$1)-SUMIFS('[1]Lastro infra'!$G:$G,'[1]Lastro infra'!$A:$A,$A202)</f>
        <v>#VALUE!</v>
      </c>
      <c r="G202" s="116" t="e">
        <f>SUMIFS([1]ENTREGA!$H:$H,[1]ENTREGA!$A:$A,$A202,[1]ENTREGA!$C:$C,F$1)</f>
        <v>#VALUE!</v>
      </c>
      <c r="H202" s="118"/>
      <c r="I202" s="115">
        <v>0</v>
      </c>
      <c r="J202" s="116">
        <v>0</v>
      </c>
      <c r="K202" s="9"/>
      <c r="L202" s="127">
        <v>1735.6499999999999</v>
      </c>
      <c r="M202" s="117"/>
      <c r="O202" s="99"/>
      <c r="P202" s="10"/>
      <c r="R202" s="10"/>
      <c r="S202" s="10"/>
      <c r="U202" s="10"/>
    </row>
    <row r="203" spans="1:21" x14ac:dyDescent="0.35">
      <c r="A203" s="126">
        <f t="shared" si="7"/>
        <v>46222</v>
      </c>
      <c r="B203" s="118" t="str">
        <f t="shared" si="8"/>
        <v>jul/26</v>
      </c>
      <c r="C203" s="115" t="e">
        <f>SUMIFS([1]PRODUÇÃO!$F:$F,[1]PRODUÇÃO!$A:$A,$A203,[1]PRODUÇÃO!$H:$H,C$1)-SUMIFS('[1]Lastro infra'!$G:$G,'[1]Lastro infra'!$A:$A,$A203)</f>
        <v>#VALUE!</v>
      </c>
      <c r="D203" s="116" t="e">
        <f>SUMIFS([1]ENTREGA!$H:$H,[1]ENTREGA!$A:$A,$A203,[1]ENTREGA!$C:$C,C$1)</f>
        <v>#VALUE!</v>
      </c>
      <c r="E203" s="118"/>
      <c r="F203" s="115" t="e">
        <f>SUMIFS([1]PRODUÇÃO!$F:$F,[1]PRODUÇÃO!$A:$A,$A203,[1]PRODUÇÃO!$H:$H,F$1)-SUMIFS('[1]Lastro infra'!$G:$G,'[1]Lastro infra'!$A:$A,$A203)</f>
        <v>#VALUE!</v>
      </c>
      <c r="G203" s="116" t="e">
        <f>SUMIFS([1]ENTREGA!$H:$H,[1]ENTREGA!$A:$A,$A203,[1]ENTREGA!$C:$C,F$1)</f>
        <v>#VALUE!</v>
      </c>
      <c r="H203" s="118"/>
      <c r="I203" s="115">
        <v>0</v>
      </c>
      <c r="J203" s="116">
        <v>0</v>
      </c>
      <c r="K203" s="9"/>
      <c r="L203" s="127">
        <v>0</v>
      </c>
      <c r="M203" s="117"/>
      <c r="O203" s="99"/>
      <c r="P203" s="10"/>
      <c r="R203" s="10"/>
      <c r="S203" s="10"/>
      <c r="U203" s="10"/>
    </row>
    <row r="204" spans="1:21" x14ac:dyDescent="0.35">
      <c r="A204" s="126">
        <f t="shared" si="7"/>
        <v>46223</v>
      </c>
      <c r="B204" s="118" t="str">
        <f t="shared" si="8"/>
        <v>jul/26</v>
      </c>
      <c r="C204" s="115" t="e">
        <f>SUMIFS([1]PRODUÇÃO!$F:$F,[1]PRODUÇÃO!$A:$A,$A204,[1]PRODUÇÃO!$H:$H,C$1)-SUMIFS('[1]Lastro infra'!$G:$G,'[1]Lastro infra'!$A:$A,$A204)</f>
        <v>#VALUE!</v>
      </c>
      <c r="D204" s="116" t="e">
        <f>SUMIFS([1]ENTREGA!$H:$H,[1]ENTREGA!$A:$A,$A204,[1]ENTREGA!$C:$C,C$1)</f>
        <v>#VALUE!</v>
      </c>
      <c r="E204" s="118"/>
      <c r="F204" s="115" t="e">
        <f>SUMIFS([1]PRODUÇÃO!$F:$F,[1]PRODUÇÃO!$A:$A,$A204,[1]PRODUÇÃO!$H:$H,F$1)-SUMIFS('[1]Lastro infra'!$G:$G,'[1]Lastro infra'!$A:$A,$A204)</f>
        <v>#VALUE!</v>
      </c>
      <c r="G204" s="116" t="e">
        <f>SUMIFS([1]ENTREGA!$H:$H,[1]ENTREGA!$A:$A,$A204,[1]ENTREGA!$C:$C,F$1)</f>
        <v>#VALUE!</v>
      </c>
      <c r="H204" s="118"/>
      <c r="I204" s="115">
        <v>0</v>
      </c>
      <c r="J204" s="116">
        <v>0</v>
      </c>
      <c r="K204" s="9"/>
      <c r="L204" s="127">
        <v>2121.35</v>
      </c>
      <c r="M204" s="117"/>
      <c r="O204" s="99"/>
      <c r="P204" s="10"/>
      <c r="R204" s="10"/>
      <c r="S204" s="10"/>
      <c r="U204" s="10"/>
    </row>
    <row r="205" spans="1:21" x14ac:dyDescent="0.35">
      <c r="A205" s="126">
        <f t="shared" si="7"/>
        <v>46224</v>
      </c>
      <c r="B205" s="118" t="str">
        <f t="shared" si="8"/>
        <v>jul/26</v>
      </c>
      <c r="C205" s="115"/>
      <c r="D205" s="116"/>
      <c r="E205" s="118">
        <v>760</v>
      </c>
      <c r="F205" s="115"/>
      <c r="G205" s="116"/>
      <c r="H205" s="118">
        <v>800</v>
      </c>
      <c r="I205" s="115"/>
      <c r="J205" s="116"/>
      <c r="K205" s="9">
        <v>0</v>
      </c>
      <c r="L205" s="127"/>
      <c r="M205" s="117">
        <f>IFERROR(IF(WEEKDAY($A205)&lt;&gt;1,HLOOKUP($B205,'SERVIÇOS NOTÁVEIS'!$23:$32,10,FALSE)*1.39,0),0)</f>
        <v>2082.0758518518514</v>
      </c>
      <c r="O205" s="99"/>
      <c r="P205" s="10"/>
      <c r="R205" s="10"/>
      <c r="S205" s="10"/>
      <c r="U205" s="10"/>
    </row>
    <row r="206" spans="1:21" x14ac:dyDescent="0.35">
      <c r="A206" s="126">
        <f t="shared" si="7"/>
        <v>46225</v>
      </c>
      <c r="B206" s="118" t="str">
        <f t="shared" si="8"/>
        <v>jul/26</v>
      </c>
      <c r="C206" s="115"/>
      <c r="D206" s="116"/>
      <c r="E206" s="118">
        <v>760</v>
      </c>
      <c r="F206" s="115"/>
      <c r="G206" s="116"/>
      <c r="H206" s="118">
        <v>800</v>
      </c>
      <c r="I206" s="115"/>
      <c r="J206" s="116"/>
      <c r="K206" s="9">
        <v>0</v>
      </c>
      <c r="L206" s="127"/>
      <c r="M206" s="117">
        <f>IFERROR(IF(WEEKDAY($A206)&lt;&gt;1,HLOOKUP($B206,'SERVIÇOS NOTÁVEIS'!$23:$32,10,FALSE)*1.39,0),0)</f>
        <v>2082.0758518518514</v>
      </c>
      <c r="O206" s="99"/>
      <c r="P206" s="10"/>
      <c r="R206" s="10"/>
      <c r="S206" s="10"/>
      <c r="U206" s="10"/>
    </row>
    <row r="207" spans="1:21" x14ac:dyDescent="0.35">
      <c r="A207" s="126">
        <f t="shared" si="7"/>
        <v>46226</v>
      </c>
      <c r="B207" s="118" t="str">
        <f t="shared" si="8"/>
        <v>jul/26</v>
      </c>
      <c r="C207" s="115"/>
      <c r="D207" s="116"/>
      <c r="E207" s="118">
        <v>760</v>
      </c>
      <c r="F207" s="115"/>
      <c r="G207" s="116"/>
      <c r="H207" s="118">
        <v>800</v>
      </c>
      <c r="I207" s="115"/>
      <c r="J207" s="116"/>
      <c r="K207" s="9">
        <v>0</v>
      </c>
      <c r="L207" s="127"/>
      <c r="M207" s="117">
        <f>IFERROR(IF(WEEKDAY($A207)&lt;&gt;1,HLOOKUP($B207,'SERVIÇOS NOTÁVEIS'!$23:$32,10,FALSE)*1.39,0),0)</f>
        <v>2082.0758518518514</v>
      </c>
      <c r="O207" s="99"/>
      <c r="P207" s="10"/>
      <c r="R207" s="10"/>
      <c r="S207" s="10"/>
      <c r="U207" s="10"/>
    </row>
    <row r="208" spans="1:21" x14ac:dyDescent="0.35">
      <c r="A208" s="126">
        <f t="shared" si="7"/>
        <v>46227</v>
      </c>
      <c r="B208" s="118" t="str">
        <f t="shared" si="8"/>
        <v>jul/26</v>
      </c>
      <c r="C208" s="115"/>
      <c r="D208" s="116"/>
      <c r="E208" s="118">
        <v>760</v>
      </c>
      <c r="F208" s="115"/>
      <c r="G208" s="116"/>
      <c r="H208" s="118">
        <v>800</v>
      </c>
      <c r="I208" s="115"/>
      <c r="J208" s="116"/>
      <c r="K208" s="9">
        <v>0</v>
      </c>
      <c r="L208" s="127"/>
      <c r="M208" s="117">
        <f>IFERROR(IF(WEEKDAY($A208)&lt;&gt;1,HLOOKUP($B208,'SERVIÇOS NOTÁVEIS'!$23:$32,10,FALSE)*1.39,0),0)</f>
        <v>2082.0758518518514</v>
      </c>
      <c r="O208" s="99"/>
      <c r="P208" s="10"/>
      <c r="R208" s="10"/>
      <c r="S208" s="10"/>
      <c r="U208" s="10"/>
    </row>
    <row r="209" spans="1:21" x14ac:dyDescent="0.35">
      <c r="A209" s="126">
        <f>A208+1</f>
        <v>46228</v>
      </c>
      <c r="B209" s="118" t="str">
        <f t="shared" si="8"/>
        <v>jul/26</v>
      </c>
      <c r="C209" s="115"/>
      <c r="D209" s="116"/>
      <c r="E209" s="118">
        <v>760</v>
      </c>
      <c r="F209" s="115"/>
      <c r="G209" s="116"/>
      <c r="H209" s="118">
        <v>800</v>
      </c>
      <c r="I209" s="115"/>
      <c r="J209" s="116"/>
      <c r="K209" s="9">
        <v>0</v>
      </c>
      <c r="L209" s="127"/>
      <c r="M209" s="117">
        <f>IFERROR(IF(WEEKDAY($A209)&lt;&gt;1,HLOOKUP($B209,'SERVIÇOS NOTÁVEIS'!$23:$32,10,FALSE)*1.39,0),0)</f>
        <v>2082.0758518518514</v>
      </c>
      <c r="O209" s="99"/>
      <c r="P209" s="10"/>
      <c r="R209" s="10"/>
      <c r="S209" s="10"/>
      <c r="U209" s="10"/>
    </row>
    <row r="210" spans="1:21" x14ac:dyDescent="0.35">
      <c r="A210" s="126">
        <f t="shared" ref="A210:A273" si="9">A209+1</f>
        <v>46229</v>
      </c>
      <c r="B210" s="118" t="str">
        <f t="shared" si="8"/>
        <v>jul/26</v>
      </c>
      <c r="C210" s="115"/>
      <c r="D210" s="116"/>
      <c r="E210" s="118">
        <v>0</v>
      </c>
      <c r="F210" s="115"/>
      <c r="G210" s="116"/>
      <c r="H210" s="118">
        <v>0</v>
      </c>
      <c r="I210" s="115"/>
      <c r="J210" s="116"/>
      <c r="K210" s="9">
        <v>0</v>
      </c>
      <c r="L210" s="127"/>
      <c r="M210" s="117">
        <f>IFERROR(IF(WEEKDAY($A210)&lt;&gt;1,HLOOKUP($B210,'SERVIÇOS NOTÁVEIS'!$23:$32,10,FALSE)*1.39,0),0)</f>
        <v>0</v>
      </c>
      <c r="O210" s="99"/>
      <c r="P210" s="10"/>
      <c r="R210" s="10"/>
      <c r="S210" s="10"/>
      <c r="U210" s="10"/>
    </row>
    <row r="211" spans="1:21" x14ac:dyDescent="0.35">
      <c r="A211" s="126">
        <f t="shared" si="9"/>
        <v>46230</v>
      </c>
      <c r="B211" s="118" t="str">
        <f t="shared" si="8"/>
        <v>jul/26</v>
      </c>
      <c r="C211" s="115"/>
      <c r="D211" s="116"/>
      <c r="E211" s="118">
        <v>760</v>
      </c>
      <c r="F211" s="115"/>
      <c r="G211" s="116"/>
      <c r="H211" s="118">
        <v>800</v>
      </c>
      <c r="I211" s="115"/>
      <c r="J211" s="116"/>
      <c r="K211" s="9">
        <v>0</v>
      </c>
      <c r="L211" s="127"/>
      <c r="M211" s="117">
        <f>IFERROR(IF(WEEKDAY($A211)&lt;&gt;1,HLOOKUP($B211,'SERVIÇOS NOTÁVEIS'!$23:$32,10,FALSE)*1.39,0),0)</f>
        <v>2082.0758518518514</v>
      </c>
      <c r="O211" s="99"/>
      <c r="P211" s="10"/>
      <c r="R211" s="10"/>
      <c r="S211" s="10"/>
      <c r="U211" s="10"/>
    </row>
    <row r="212" spans="1:21" x14ac:dyDescent="0.35">
      <c r="A212" s="126">
        <f t="shared" si="9"/>
        <v>46231</v>
      </c>
      <c r="B212" s="118" t="str">
        <f t="shared" si="8"/>
        <v>jul/26</v>
      </c>
      <c r="C212" s="115"/>
      <c r="D212" s="116"/>
      <c r="E212" s="118">
        <v>760</v>
      </c>
      <c r="F212" s="115"/>
      <c r="G212" s="116"/>
      <c r="H212" s="118">
        <v>800</v>
      </c>
      <c r="I212" s="115"/>
      <c r="J212" s="116"/>
      <c r="K212" s="9">
        <v>0</v>
      </c>
      <c r="L212" s="127"/>
      <c r="M212" s="117">
        <f>IFERROR(IF(WEEKDAY($A212)&lt;&gt;1,HLOOKUP($B212,'SERVIÇOS NOTÁVEIS'!$23:$32,10,FALSE)*1.39,0),0)</f>
        <v>2082.0758518518514</v>
      </c>
      <c r="O212" s="99"/>
      <c r="P212" s="10"/>
      <c r="R212" s="10"/>
      <c r="S212" s="10"/>
      <c r="U212" s="10"/>
    </row>
    <row r="213" spans="1:21" x14ac:dyDescent="0.35">
      <c r="A213" s="126">
        <f t="shared" si="9"/>
        <v>46232</v>
      </c>
      <c r="B213" s="118" t="str">
        <f t="shared" si="8"/>
        <v>jul/26</v>
      </c>
      <c r="C213" s="115"/>
      <c r="D213" s="116"/>
      <c r="E213" s="118">
        <v>760</v>
      </c>
      <c r="F213" s="115"/>
      <c r="G213" s="116"/>
      <c r="H213" s="118">
        <v>800</v>
      </c>
      <c r="I213" s="115"/>
      <c r="J213" s="116"/>
      <c r="K213" s="9">
        <v>0</v>
      </c>
      <c r="L213" s="127"/>
      <c r="M213" s="117">
        <f>IFERROR(IF(WEEKDAY($A213)&lt;&gt;1,HLOOKUP($B213,'SERVIÇOS NOTÁVEIS'!$23:$32,10,FALSE)*1.39,0),0)</f>
        <v>2082.0758518518514</v>
      </c>
      <c r="O213" s="99"/>
      <c r="P213" s="10"/>
      <c r="R213" s="10"/>
      <c r="S213" s="10"/>
      <c r="U213" s="10"/>
    </row>
    <row r="214" spans="1:21" x14ac:dyDescent="0.35">
      <c r="A214" s="126">
        <f t="shared" si="9"/>
        <v>46233</v>
      </c>
      <c r="B214" s="118" t="str">
        <f t="shared" si="8"/>
        <v>jul/26</v>
      </c>
      <c r="C214" s="115"/>
      <c r="D214" s="116"/>
      <c r="E214" s="118">
        <v>760</v>
      </c>
      <c r="F214" s="115"/>
      <c r="G214" s="116"/>
      <c r="H214" s="118">
        <v>800</v>
      </c>
      <c r="I214" s="115"/>
      <c r="J214" s="116"/>
      <c r="K214" s="9">
        <v>0</v>
      </c>
      <c r="L214" s="127"/>
      <c r="M214" s="117">
        <f>IFERROR(IF(WEEKDAY($A214)&lt;&gt;1,HLOOKUP($B214,'SERVIÇOS NOTÁVEIS'!$23:$32,10,FALSE)*1.39,0),0)</f>
        <v>2082.0758518518514</v>
      </c>
      <c r="O214" s="99"/>
      <c r="P214" s="10"/>
      <c r="R214" s="10"/>
      <c r="S214" s="10"/>
      <c r="U214" s="10"/>
    </row>
    <row r="215" spans="1:21" x14ac:dyDescent="0.35">
      <c r="A215" s="126">
        <f t="shared" si="9"/>
        <v>46234</v>
      </c>
      <c r="B215" s="118" t="str">
        <f t="shared" si="8"/>
        <v>jul/26</v>
      </c>
      <c r="C215" s="115"/>
      <c r="D215" s="116"/>
      <c r="E215" s="118">
        <v>760</v>
      </c>
      <c r="F215" s="115"/>
      <c r="G215" s="116"/>
      <c r="H215" s="118">
        <v>800</v>
      </c>
      <c r="I215" s="115"/>
      <c r="J215" s="116"/>
      <c r="K215" s="9">
        <v>0</v>
      </c>
      <c r="L215" s="127"/>
      <c r="M215" s="117">
        <f>IFERROR(IF(WEEKDAY($A215)&lt;&gt;1,HLOOKUP($B215,'SERVIÇOS NOTÁVEIS'!$23:$32,10,FALSE)*1.39,0),0)</f>
        <v>2082.0758518518514</v>
      </c>
      <c r="O215" s="99"/>
      <c r="P215" s="10"/>
      <c r="R215" s="10"/>
      <c r="S215" s="10"/>
      <c r="U215" s="10"/>
    </row>
    <row r="216" spans="1:21" x14ac:dyDescent="0.35">
      <c r="A216" s="126">
        <f t="shared" si="9"/>
        <v>46235</v>
      </c>
      <c r="B216" s="118" t="str">
        <f t="shared" si="8"/>
        <v>ago/26</v>
      </c>
      <c r="C216" s="115"/>
      <c r="D216" s="116"/>
      <c r="E216" s="118">
        <v>760</v>
      </c>
      <c r="F216" s="115"/>
      <c r="G216" s="116"/>
      <c r="H216" s="118">
        <v>800</v>
      </c>
      <c r="I216" s="115"/>
      <c r="J216" s="116"/>
      <c r="K216" s="9">
        <v>1923.0769230769231</v>
      </c>
      <c r="L216" s="127"/>
      <c r="M216" s="117">
        <f>IFERROR(IF(WEEKDAY($A216)&lt;&gt;1,HLOOKUP($B216,'SERVIÇOS NOTÁVEIS'!$23:$32,10,FALSE)*1.39,0),0)</f>
        <v>2989.2377692307691</v>
      </c>
      <c r="O216" s="99"/>
      <c r="P216" s="10"/>
      <c r="R216" s="10"/>
      <c r="S216" s="10"/>
      <c r="U216" s="10"/>
    </row>
    <row r="217" spans="1:21" x14ac:dyDescent="0.35">
      <c r="A217" s="126">
        <f t="shared" si="9"/>
        <v>46236</v>
      </c>
      <c r="B217" s="118" t="str">
        <f t="shared" si="8"/>
        <v>ago/26</v>
      </c>
      <c r="C217" s="115"/>
      <c r="D217" s="116"/>
      <c r="E217" s="118">
        <v>0</v>
      </c>
      <c r="F217" s="115"/>
      <c r="G217" s="116"/>
      <c r="H217" s="118">
        <v>0</v>
      </c>
      <c r="I217" s="115"/>
      <c r="J217" s="116"/>
      <c r="K217" s="9">
        <v>0</v>
      </c>
      <c r="L217" s="127"/>
      <c r="M217" s="117">
        <f>IFERROR(IF(WEEKDAY($A217)&lt;&gt;1,HLOOKUP($B217,'SERVIÇOS NOTÁVEIS'!$23:$32,10,FALSE)*1.39,0),0)</f>
        <v>0</v>
      </c>
      <c r="O217" s="99"/>
      <c r="P217" s="10"/>
      <c r="R217" s="10"/>
      <c r="S217" s="10"/>
      <c r="U217" s="10"/>
    </row>
    <row r="218" spans="1:21" x14ac:dyDescent="0.35">
      <c r="A218" s="126">
        <f t="shared" si="9"/>
        <v>46237</v>
      </c>
      <c r="B218" s="118" t="str">
        <f t="shared" si="8"/>
        <v>ago/26</v>
      </c>
      <c r="C218" s="115"/>
      <c r="D218" s="116"/>
      <c r="E218" s="118">
        <v>760</v>
      </c>
      <c r="F218" s="115"/>
      <c r="G218" s="116"/>
      <c r="H218" s="118">
        <v>800</v>
      </c>
      <c r="I218" s="115"/>
      <c r="J218" s="116"/>
      <c r="K218" s="9">
        <v>1923.0769230769231</v>
      </c>
      <c r="L218" s="127"/>
      <c r="M218" s="117">
        <f>IFERROR(IF(WEEKDAY($A218)&lt;&gt;1,HLOOKUP($B218,'SERVIÇOS NOTÁVEIS'!$23:$32,10,FALSE)*1.39,0),0)</f>
        <v>2989.2377692307691</v>
      </c>
      <c r="O218" s="99"/>
      <c r="P218" s="10"/>
      <c r="R218" s="10"/>
      <c r="S218" s="10"/>
      <c r="U218" s="10"/>
    </row>
    <row r="219" spans="1:21" x14ac:dyDescent="0.35">
      <c r="A219" s="126">
        <f t="shared" si="9"/>
        <v>46238</v>
      </c>
      <c r="B219" s="118" t="str">
        <f t="shared" si="8"/>
        <v>ago/26</v>
      </c>
      <c r="C219" s="115"/>
      <c r="D219" s="116"/>
      <c r="E219" s="118">
        <v>760</v>
      </c>
      <c r="F219" s="115"/>
      <c r="G219" s="116"/>
      <c r="H219" s="118">
        <v>800</v>
      </c>
      <c r="I219" s="115"/>
      <c r="J219" s="116"/>
      <c r="K219" s="9">
        <v>1923.0769230769231</v>
      </c>
      <c r="L219" s="127"/>
      <c r="M219" s="117">
        <f>IFERROR(IF(WEEKDAY($A219)&lt;&gt;1,HLOOKUP($B219,'SERVIÇOS NOTÁVEIS'!$23:$32,10,FALSE)*1.39,0),0)</f>
        <v>2989.2377692307691</v>
      </c>
      <c r="O219" s="99"/>
      <c r="P219" s="10"/>
      <c r="R219" s="10"/>
      <c r="S219" s="10"/>
      <c r="U219" s="10"/>
    </row>
    <row r="220" spans="1:21" x14ac:dyDescent="0.35">
      <c r="A220" s="126">
        <f t="shared" si="9"/>
        <v>46239</v>
      </c>
      <c r="B220" s="118" t="str">
        <f t="shared" si="8"/>
        <v>ago/26</v>
      </c>
      <c r="C220" s="115"/>
      <c r="D220" s="116"/>
      <c r="E220" s="118">
        <v>760</v>
      </c>
      <c r="F220" s="115"/>
      <c r="G220" s="116"/>
      <c r="H220" s="118">
        <v>800</v>
      </c>
      <c r="I220" s="115"/>
      <c r="J220" s="116"/>
      <c r="K220" s="9">
        <v>1923.0769230769231</v>
      </c>
      <c r="L220" s="127"/>
      <c r="M220" s="117">
        <f>IFERROR(IF(WEEKDAY($A220)&lt;&gt;1,HLOOKUP($B220,'SERVIÇOS NOTÁVEIS'!$23:$32,10,FALSE)*1.39,0),0)</f>
        <v>2989.2377692307691</v>
      </c>
      <c r="O220" s="99"/>
      <c r="P220" s="10"/>
      <c r="R220" s="10"/>
      <c r="S220" s="10"/>
      <c r="U220" s="10"/>
    </row>
    <row r="221" spans="1:21" x14ac:dyDescent="0.35">
      <c r="A221" s="126">
        <f t="shared" si="9"/>
        <v>46240</v>
      </c>
      <c r="B221" s="118" t="str">
        <f t="shared" si="8"/>
        <v>ago/26</v>
      </c>
      <c r="C221" s="115"/>
      <c r="D221" s="116"/>
      <c r="E221" s="118">
        <v>760</v>
      </c>
      <c r="F221" s="115"/>
      <c r="G221" s="116"/>
      <c r="H221" s="118">
        <v>800</v>
      </c>
      <c r="I221" s="115"/>
      <c r="J221" s="116"/>
      <c r="K221" s="9">
        <v>1923.0769230769231</v>
      </c>
      <c r="L221" s="127"/>
      <c r="M221" s="117">
        <f>IFERROR(IF(WEEKDAY($A221)&lt;&gt;1,HLOOKUP($B221,'SERVIÇOS NOTÁVEIS'!$23:$32,10,FALSE)*1.39,0),0)</f>
        <v>2989.2377692307691</v>
      </c>
      <c r="O221" s="99"/>
      <c r="P221" s="10"/>
      <c r="R221" s="10"/>
      <c r="S221" s="10"/>
      <c r="U221" s="10"/>
    </row>
    <row r="222" spans="1:21" x14ac:dyDescent="0.35">
      <c r="A222" s="126">
        <f t="shared" si="9"/>
        <v>46241</v>
      </c>
      <c r="B222" s="118" t="str">
        <f t="shared" si="8"/>
        <v>ago/26</v>
      </c>
      <c r="C222" s="115"/>
      <c r="D222" s="116"/>
      <c r="E222" s="118">
        <v>760</v>
      </c>
      <c r="F222" s="115"/>
      <c r="G222" s="116"/>
      <c r="H222" s="118">
        <v>800</v>
      </c>
      <c r="I222" s="115"/>
      <c r="J222" s="116"/>
      <c r="K222" s="9">
        <v>1923.0769230769231</v>
      </c>
      <c r="L222" s="127"/>
      <c r="M222" s="117">
        <f>IFERROR(IF(WEEKDAY($A222)&lt;&gt;1,HLOOKUP($B222,'SERVIÇOS NOTÁVEIS'!$23:$32,10,FALSE)*1.39,0),0)</f>
        <v>2989.2377692307691</v>
      </c>
      <c r="O222" s="99"/>
      <c r="P222" s="10"/>
      <c r="R222" s="10"/>
      <c r="S222" s="10"/>
      <c r="U222" s="10"/>
    </row>
    <row r="223" spans="1:21" x14ac:dyDescent="0.35">
      <c r="A223" s="126">
        <f t="shared" si="9"/>
        <v>46242</v>
      </c>
      <c r="B223" s="118" t="str">
        <f t="shared" si="8"/>
        <v>ago/26</v>
      </c>
      <c r="C223" s="115"/>
      <c r="D223" s="116"/>
      <c r="E223" s="118">
        <v>760</v>
      </c>
      <c r="F223" s="115"/>
      <c r="G223" s="116"/>
      <c r="H223" s="118">
        <v>800</v>
      </c>
      <c r="I223" s="115"/>
      <c r="J223" s="116"/>
      <c r="K223" s="9">
        <v>1923.0769230769231</v>
      </c>
      <c r="L223" s="127"/>
      <c r="M223" s="117">
        <f>IFERROR(IF(WEEKDAY($A223)&lt;&gt;1,HLOOKUP($B223,'SERVIÇOS NOTÁVEIS'!$23:$32,10,FALSE)*1.39,0),0)</f>
        <v>2989.2377692307691</v>
      </c>
      <c r="O223" s="99"/>
      <c r="P223" s="10"/>
      <c r="R223" s="10"/>
      <c r="S223" s="10"/>
      <c r="U223" s="10"/>
    </row>
    <row r="224" spans="1:21" x14ac:dyDescent="0.35">
      <c r="A224" s="126">
        <f t="shared" si="9"/>
        <v>46243</v>
      </c>
      <c r="B224" s="118" t="str">
        <f t="shared" si="8"/>
        <v>ago/26</v>
      </c>
      <c r="C224" s="115"/>
      <c r="D224" s="116"/>
      <c r="E224" s="118">
        <v>0</v>
      </c>
      <c r="F224" s="115"/>
      <c r="G224" s="116"/>
      <c r="H224" s="118">
        <v>0</v>
      </c>
      <c r="I224" s="115"/>
      <c r="J224" s="116"/>
      <c r="K224" s="9">
        <v>0</v>
      </c>
      <c r="L224" s="127"/>
      <c r="M224" s="117">
        <f>IFERROR(IF(WEEKDAY($A224)&lt;&gt;1,HLOOKUP($B224,'SERVIÇOS NOTÁVEIS'!$23:$32,10,FALSE)*1.39,0),0)</f>
        <v>0</v>
      </c>
      <c r="O224" s="99"/>
      <c r="P224" s="10"/>
      <c r="R224" s="10"/>
      <c r="S224" s="10"/>
      <c r="U224" s="10"/>
    </row>
    <row r="225" spans="1:21" x14ac:dyDescent="0.35">
      <c r="A225" s="126">
        <f t="shared" si="9"/>
        <v>46244</v>
      </c>
      <c r="B225" s="118" t="str">
        <f t="shared" si="8"/>
        <v>ago/26</v>
      </c>
      <c r="C225" s="115"/>
      <c r="D225" s="116"/>
      <c r="E225" s="118">
        <v>760</v>
      </c>
      <c r="F225" s="115"/>
      <c r="G225" s="116"/>
      <c r="H225" s="118">
        <v>800</v>
      </c>
      <c r="I225" s="115"/>
      <c r="J225" s="116"/>
      <c r="K225" s="9">
        <v>1923.0769230769231</v>
      </c>
      <c r="L225" s="127"/>
      <c r="M225" s="117">
        <f>IFERROR(IF(WEEKDAY($A225)&lt;&gt;1,HLOOKUP($B225,'SERVIÇOS NOTÁVEIS'!$23:$32,10,FALSE)*1.39,0),0)</f>
        <v>2989.2377692307691</v>
      </c>
      <c r="O225" s="99"/>
      <c r="P225" s="10"/>
      <c r="R225" s="10"/>
      <c r="S225" s="10"/>
      <c r="U225" s="10"/>
    </row>
    <row r="226" spans="1:21" x14ac:dyDescent="0.35">
      <c r="A226" s="126">
        <f t="shared" si="9"/>
        <v>46245</v>
      </c>
      <c r="B226" s="118" t="str">
        <f t="shared" si="8"/>
        <v>ago/26</v>
      </c>
      <c r="C226" s="115"/>
      <c r="D226" s="116"/>
      <c r="E226" s="118">
        <v>760</v>
      </c>
      <c r="F226" s="115"/>
      <c r="G226" s="116"/>
      <c r="H226" s="118">
        <v>800</v>
      </c>
      <c r="I226" s="115"/>
      <c r="J226" s="116"/>
      <c r="K226" s="9">
        <v>1923.0769230769231</v>
      </c>
      <c r="L226" s="127"/>
      <c r="M226" s="117">
        <f>IFERROR(IF(WEEKDAY($A226)&lt;&gt;1,HLOOKUP($B226,'SERVIÇOS NOTÁVEIS'!$23:$32,10,FALSE)*1.39,0),0)</f>
        <v>2989.2377692307691</v>
      </c>
      <c r="O226" s="99"/>
      <c r="P226" s="10"/>
      <c r="R226" s="10"/>
      <c r="S226" s="10"/>
      <c r="U226" s="10"/>
    </row>
    <row r="227" spans="1:21" x14ac:dyDescent="0.35">
      <c r="A227" s="126">
        <f t="shared" si="9"/>
        <v>46246</v>
      </c>
      <c r="B227" s="118" t="str">
        <f t="shared" si="8"/>
        <v>ago/26</v>
      </c>
      <c r="C227" s="115"/>
      <c r="D227" s="116"/>
      <c r="E227" s="118">
        <v>760</v>
      </c>
      <c r="F227" s="115"/>
      <c r="G227" s="116"/>
      <c r="H227" s="118">
        <v>800</v>
      </c>
      <c r="I227" s="115"/>
      <c r="J227" s="116"/>
      <c r="K227" s="9">
        <v>1923.0769230769231</v>
      </c>
      <c r="L227" s="127"/>
      <c r="M227" s="117">
        <f>IFERROR(IF(WEEKDAY($A227)&lt;&gt;1,HLOOKUP($B227,'SERVIÇOS NOTÁVEIS'!$23:$32,10,FALSE)*1.39,0),0)</f>
        <v>2989.2377692307691</v>
      </c>
      <c r="O227" s="99"/>
      <c r="P227" s="10"/>
      <c r="R227" s="10"/>
      <c r="S227" s="10"/>
      <c r="U227" s="10"/>
    </row>
    <row r="228" spans="1:21" x14ac:dyDescent="0.35">
      <c r="A228" s="126">
        <f t="shared" si="9"/>
        <v>46247</v>
      </c>
      <c r="B228" s="118" t="str">
        <f t="shared" si="8"/>
        <v>ago/26</v>
      </c>
      <c r="C228" s="115"/>
      <c r="D228" s="116"/>
      <c r="E228" s="118">
        <v>760</v>
      </c>
      <c r="F228" s="115"/>
      <c r="G228" s="116"/>
      <c r="H228" s="118">
        <v>800</v>
      </c>
      <c r="I228" s="115"/>
      <c r="J228" s="116"/>
      <c r="K228" s="9">
        <v>1923.0769230769231</v>
      </c>
      <c r="L228" s="127"/>
      <c r="M228" s="117">
        <f>IFERROR(IF(WEEKDAY($A228)&lt;&gt;1,HLOOKUP($B228,'SERVIÇOS NOTÁVEIS'!$23:$32,10,FALSE)*1.39,0),0)</f>
        <v>2989.2377692307691</v>
      </c>
      <c r="O228" s="99"/>
      <c r="P228" s="10"/>
      <c r="R228" s="10"/>
      <c r="S228" s="10"/>
      <c r="U228" s="10"/>
    </row>
    <row r="229" spans="1:21" x14ac:dyDescent="0.35">
      <c r="A229" s="126">
        <f t="shared" si="9"/>
        <v>46248</v>
      </c>
      <c r="B229" s="118" t="str">
        <f t="shared" si="8"/>
        <v>ago/26</v>
      </c>
      <c r="C229" s="115"/>
      <c r="D229" s="116"/>
      <c r="E229" s="118">
        <v>760</v>
      </c>
      <c r="F229" s="115"/>
      <c r="G229" s="116"/>
      <c r="H229" s="118">
        <v>800</v>
      </c>
      <c r="I229" s="115"/>
      <c r="J229" s="116"/>
      <c r="K229" s="9">
        <v>1923.0769230769231</v>
      </c>
      <c r="L229" s="127"/>
      <c r="M229" s="117">
        <f>IFERROR(IF(WEEKDAY($A229)&lt;&gt;1,HLOOKUP($B229,'SERVIÇOS NOTÁVEIS'!$23:$32,10,FALSE)*1.39,0),0)</f>
        <v>2989.2377692307691</v>
      </c>
      <c r="O229" s="99"/>
      <c r="P229" s="10"/>
      <c r="R229" s="10"/>
      <c r="S229" s="10"/>
      <c r="U229" s="10"/>
    </row>
    <row r="230" spans="1:21" x14ac:dyDescent="0.35">
      <c r="A230" s="126">
        <f t="shared" si="9"/>
        <v>46249</v>
      </c>
      <c r="B230" s="118" t="str">
        <f t="shared" si="8"/>
        <v>ago/26</v>
      </c>
      <c r="C230" s="115"/>
      <c r="D230" s="116"/>
      <c r="E230" s="118">
        <v>760</v>
      </c>
      <c r="F230" s="115"/>
      <c r="G230" s="116"/>
      <c r="H230" s="118">
        <v>800</v>
      </c>
      <c r="I230" s="115"/>
      <c r="J230" s="116"/>
      <c r="K230" s="9">
        <v>1923.0769230769231</v>
      </c>
      <c r="L230" s="127"/>
      <c r="M230" s="117">
        <f>IFERROR(IF(WEEKDAY($A230)&lt;&gt;1,HLOOKUP($B230,'SERVIÇOS NOTÁVEIS'!$23:$32,10,FALSE)*1.39,0),0)</f>
        <v>2989.2377692307691</v>
      </c>
      <c r="O230" s="99"/>
      <c r="P230" s="10"/>
      <c r="R230" s="10"/>
      <c r="S230" s="10"/>
      <c r="U230" s="10"/>
    </row>
    <row r="231" spans="1:21" x14ac:dyDescent="0.35">
      <c r="A231" s="126">
        <f t="shared" si="9"/>
        <v>46250</v>
      </c>
      <c r="B231" s="118" t="str">
        <f t="shared" si="8"/>
        <v>ago/26</v>
      </c>
      <c r="C231" s="115"/>
      <c r="D231" s="116"/>
      <c r="E231" s="118">
        <v>0</v>
      </c>
      <c r="F231" s="115"/>
      <c r="G231" s="116"/>
      <c r="H231" s="118">
        <v>0</v>
      </c>
      <c r="I231" s="115"/>
      <c r="J231" s="116"/>
      <c r="K231" s="9">
        <v>0</v>
      </c>
      <c r="L231" s="127"/>
      <c r="M231" s="117">
        <f>IFERROR(IF(WEEKDAY($A231)&lt;&gt;1,HLOOKUP($B231,'SERVIÇOS NOTÁVEIS'!$23:$32,10,FALSE)*1.39,0),0)</f>
        <v>0</v>
      </c>
      <c r="O231" s="99"/>
      <c r="P231" s="10"/>
      <c r="R231" s="10"/>
      <c r="S231" s="10"/>
      <c r="U231" s="10"/>
    </row>
    <row r="232" spans="1:21" x14ac:dyDescent="0.35">
      <c r="A232" s="126">
        <f t="shared" si="9"/>
        <v>46251</v>
      </c>
      <c r="B232" s="118" t="str">
        <f t="shared" si="8"/>
        <v>ago/26</v>
      </c>
      <c r="C232" s="115"/>
      <c r="D232" s="116"/>
      <c r="E232" s="118">
        <v>760</v>
      </c>
      <c r="F232" s="115"/>
      <c r="G232" s="116"/>
      <c r="H232" s="118">
        <v>800</v>
      </c>
      <c r="I232" s="115"/>
      <c r="J232" s="116"/>
      <c r="K232" s="9">
        <v>1923.0769230769231</v>
      </c>
      <c r="L232" s="127"/>
      <c r="M232" s="117">
        <f>IFERROR(IF(WEEKDAY($A232)&lt;&gt;1,HLOOKUP($B232,'SERVIÇOS NOTÁVEIS'!$23:$32,10,FALSE)*1.39,0),0)</f>
        <v>2989.2377692307691</v>
      </c>
      <c r="O232" s="99"/>
      <c r="P232" s="10"/>
      <c r="R232" s="10"/>
      <c r="S232" s="10"/>
      <c r="U232" s="10"/>
    </row>
    <row r="233" spans="1:21" x14ac:dyDescent="0.35">
      <c r="A233" s="126">
        <f t="shared" si="9"/>
        <v>46252</v>
      </c>
      <c r="B233" s="118" t="str">
        <f t="shared" si="8"/>
        <v>ago/26</v>
      </c>
      <c r="C233" s="115"/>
      <c r="D233" s="116"/>
      <c r="E233" s="118">
        <v>760</v>
      </c>
      <c r="F233" s="115"/>
      <c r="G233" s="116"/>
      <c r="H233" s="118">
        <v>800</v>
      </c>
      <c r="I233" s="115"/>
      <c r="J233" s="116"/>
      <c r="K233" s="9">
        <v>1923.0769230769231</v>
      </c>
      <c r="L233" s="127"/>
      <c r="M233" s="117">
        <f>IFERROR(IF(WEEKDAY($A233)&lt;&gt;1,HLOOKUP($B233,'SERVIÇOS NOTÁVEIS'!$23:$32,10,FALSE)*1.39,0),0)</f>
        <v>2989.2377692307691</v>
      </c>
      <c r="O233" s="99"/>
      <c r="P233" s="10"/>
      <c r="R233" s="10"/>
      <c r="S233" s="10"/>
      <c r="U233" s="10"/>
    </row>
    <row r="234" spans="1:21" x14ac:dyDescent="0.35">
      <c r="A234" s="126">
        <f t="shared" si="9"/>
        <v>46253</v>
      </c>
      <c r="B234" s="118" t="str">
        <f t="shared" si="8"/>
        <v>ago/26</v>
      </c>
      <c r="C234" s="115"/>
      <c r="D234" s="116"/>
      <c r="E234" s="118">
        <v>760</v>
      </c>
      <c r="F234" s="115"/>
      <c r="G234" s="116"/>
      <c r="H234" s="118">
        <v>800</v>
      </c>
      <c r="I234" s="115"/>
      <c r="J234" s="116"/>
      <c r="K234" s="9">
        <v>1923.0769230769231</v>
      </c>
      <c r="L234" s="127"/>
      <c r="M234" s="117">
        <f>IFERROR(IF(WEEKDAY($A234)&lt;&gt;1,HLOOKUP($B234,'SERVIÇOS NOTÁVEIS'!$23:$32,10,FALSE)*1.39,0),0)</f>
        <v>2989.2377692307691</v>
      </c>
      <c r="O234" s="99"/>
      <c r="P234" s="10"/>
      <c r="R234" s="10"/>
      <c r="S234" s="10"/>
      <c r="U234" s="10"/>
    </row>
    <row r="235" spans="1:21" x14ac:dyDescent="0.35">
      <c r="A235" s="126">
        <f t="shared" si="9"/>
        <v>46254</v>
      </c>
      <c r="B235" s="118" t="str">
        <f t="shared" si="8"/>
        <v>ago/26</v>
      </c>
      <c r="C235" s="115"/>
      <c r="D235" s="116"/>
      <c r="E235" s="118">
        <v>760</v>
      </c>
      <c r="F235" s="115"/>
      <c r="G235" s="116"/>
      <c r="H235" s="118">
        <v>800</v>
      </c>
      <c r="I235" s="115"/>
      <c r="J235" s="116"/>
      <c r="K235" s="9">
        <v>1923.0769230769231</v>
      </c>
      <c r="L235" s="127"/>
      <c r="M235" s="117">
        <f>IFERROR(IF(WEEKDAY($A235)&lt;&gt;1,HLOOKUP($B235,'SERVIÇOS NOTÁVEIS'!$23:$32,10,FALSE)*1.39,0),0)</f>
        <v>2989.2377692307691</v>
      </c>
      <c r="O235" s="99"/>
      <c r="P235" s="10"/>
      <c r="R235" s="10"/>
      <c r="S235" s="10"/>
      <c r="U235" s="10"/>
    </row>
    <row r="236" spans="1:21" x14ac:dyDescent="0.35">
      <c r="A236" s="126">
        <f t="shared" si="9"/>
        <v>46255</v>
      </c>
      <c r="B236" s="118" t="str">
        <f t="shared" si="8"/>
        <v>ago/26</v>
      </c>
      <c r="C236" s="115"/>
      <c r="D236" s="116"/>
      <c r="E236" s="118">
        <v>760</v>
      </c>
      <c r="F236" s="115"/>
      <c r="G236" s="116"/>
      <c r="H236" s="118">
        <v>800</v>
      </c>
      <c r="I236" s="115"/>
      <c r="J236" s="116"/>
      <c r="K236" s="9">
        <v>1923.0769230769231</v>
      </c>
      <c r="L236" s="127"/>
      <c r="M236" s="117">
        <f>IFERROR(IF(WEEKDAY($A236)&lt;&gt;1,HLOOKUP($B236,'SERVIÇOS NOTÁVEIS'!$23:$32,10,FALSE)*1.39,0),0)</f>
        <v>2989.2377692307691</v>
      </c>
      <c r="O236" s="99"/>
      <c r="P236" s="10"/>
      <c r="R236" s="10"/>
      <c r="S236" s="10"/>
      <c r="U236" s="10"/>
    </row>
    <row r="237" spans="1:21" x14ac:dyDescent="0.35">
      <c r="A237" s="126">
        <f t="shared" si="9"/>
        <v>46256</v>
      </c>
      <c r="B237" s="118" t="str">
        <f t="shared" si="8"/>
        <v>ago/26</v>
      </c>
      <c r="C237" s="115"/>
      <c r="D237" s="116"/>
      <c r="E237" s="118">
        <v>760</v>
      </c>
      <c r="F237" s="115"/>
      <c r="G237" s="116"/>
      <c r="H237" s="118">
        <v>800</v>
      </c>
      <c r="I237" s="115"/>
      <c r="J237" s="116"/>
      <c r="K237" s="9">
        <v>1923.0769230769231</v>
      </c>
      <c r="L237" s="127"/>
      <c r="M237" s="117">
        <f>IFERROR(IF(WEEKDAY($A237)&lt;&gt;1,HLOOKUP($B237,'SERVIÇOS NOTÁVEIS'!$23:$32,10,FALSE)*1.39,0),0)</f>
        <v>2989.2377692307691</v>
      </c>
      <c r="O237" s="99"/>
      <c r="P237" s="10"/>
      <c r="R237" s="10"/>
      <c r="S237" s="10"/>
      <c r="U237" s="10"/>
    </row>
    <row r="238" spans="1:21" x14ac:dyDescent="0.35">
      <c r="A238" s="126">
        <f t="shared" si="9"/>
        <v>46257</v>
      </c>
      <c r="B238" s="118" t="str">
        <f t="shared" si="8"/>
        <v>ago/26</v>
      </c>
      <c r="C238" s="115"/>
      <c r="D238" s="116"/>
      <c r="E238" s="118">
        <v>0</v>
      </c>
      <c r="F238" s="115"/>
      <c r="G238" s="116"/>
      <c r="H238" s="118">
        <v>0</v>
      </c>
      <c r="I238" s="115"/>
      <c r="J238" s="116"/>
      <c r="K238" s="9">
        <v>0</v>
      </c>
      <c r="L238" s="127"/>
      <c r="M238" s="117">
        <f>IFERROR(IF(WEEKDAY($A238)&lt;&gt;1,HLOOKUP($B238,'SERVIÇOS NOTÁVEIS'!$23:$32,10,FALSE)*1.39,0),0)</f>
        <v>0</v>
      </c>
      <c r="O238" s="99"/>
      <c r="P238" s="10"/>
      <c r="R238" s="10"/>
      <c r="S238" s="10"/>
      <c r="U238" s="10"/>
    </row>
    <row r="239" spans="1:21" x14ac:dyDescent="0.35">
      <c r="A239" s="126">
        <f t="shared" si="9"/>
        <v>46258</v>
      </c>
      <c r="B239" s="118" t="str">
        <f t="shared" si="8"/>
        <v>ago/26</v>
      </c>
      <c r="C239" s="115"/>
      <c r="D239" s="116"/>
      <c r="E239" s="118">
        <v>760</v>
      </c>
      <c r="F239" s="115"/>
      <c r="G239" s="116"/>
      <c r="H239" s="118">
        <v>800</v>
      </c>
      <c r="I239" s="115"/>
      <c r="J239" s="116"/>
      <c r="K239" s="9">
        <v>1923.0769230769231</v>
      </c>
      <c r="L239" s="127"/>
      <c r="M239" s="117">
        <f>IFERROR(IF(WEEKDAY($A239)&lt;&gt;1,HLOOKUP($B239,'SERVIÇOS NOTÁVEIS'!$23:$32,10,FALSE)*1.39,0),0)</f>
        <v>2989.2377692307691</v>
      </c>
      <c r="O239" s="99"/>
      <c r="P239" s="10"/>
      <c r="R239" s="10"/>
      <c r="S239" s="10"/>
      <c r="U239" s="10"/>
    </row>
    <row r="240" spans="1:21" x14ac:dyDescent="0.35">
      <c r="A240" s="126">
        <f t="shared" si="9"/>
        <v>46259</v>
      </c>
      <c r="B240" s="118" t="str">
        <f t="shared" si="8"/>
        <v>ago/26</v>
      </c>
      <c r="C240" s="115"/>
      <c r="D240" s="116"/>
      <c r="E240" s="118">
        <v>760</v>
      </c>
      <c r="F240" s="115"/>
      <c r="G240" s="116"/>
      <c r="H240" s="118">
        <v>800</v>
      </c>
      <c r="I240" s="115"/>
      <c r="J240" s="116"/>
      <c r="K240" s="9">
        <v>1923.0769230769231</v>
      </c>
      <c r="L240" s="127"/>
      <c r="M240" s="117">
        <f>IFERROR(IF(WEEKDAY($A240)&lt;&gt;1,HLOOKUP($B240,'SERVIÇOS NOTÁVEIS'!$23:$32,10,FALSE)*1.39,0),0)</f>
        <v>2989.2377692307691</v>
      </c>
      <c r="O240" s="99"/>
      <c r="P240" s="10"/>
      <c r="R240" s="10"/>
      <c r="S240" s="10"/>
      <c r="U240" s="10"/>
    </row>
    <row r="241" spans="1:21" x14ac:dyDescent="0.35">
      <c r="A241" s="126">
        <f t="shared" si="9"/>
        <v>46260</v>
      </c>
      <c r="B241" s="118" t="str">
        <f t="shared" si="8"/>
        <v>ago/26</v>
      </c>
      <c r="C241" s="115"/>
      <c r="D241" s="116"/>
      <c r="E241" s="118">
        <v>760</v>
      </c>
      <c r="F241" s="115"/>
      <c r="G241" s="116"/>
      <c r="H241" s="118">
        <v>800</v>
      </c>
      <c r="I241" s="115"/>
      <c r="J241" s="116"/>
      <c r="K241" s="9">
        <v>1923.0769230769231</v>
      </c>
      <c r="L241" s="127"/>
      <c r="M241" s="117">
        <f>IFERROR(IF(WEEKDAY($A241)&lt;&gt;1,HLOOKUP($B241,'SERVIÇOS NOTÁVEIS'!$23:$32,10,FALSE)*1.39,0),0)</f>
        <v>2989.2377692307691</v>
      </c>
      <c r="O241" s="99"/>
      <c r="P241" s="10"/>
      <c r="R241" s="10"/>
      <c r="S241" s="10"/>
      <c r="U241" s="10"/>
    </row>
    <row r="242" spans="1:21" x14ac:dyDescent="0.35">
      <c r="A242" s="126">
        <f t="shared" si="9"/>
        <v>46261</v>
      </c>
      <c r="B242" s="118" t="str">
        <f t="shared" si="8"/>
        <v>ago/26</v>
      </c>
      <c r="C242" s="115"/>
      <c r="D242" s="116"/>
      <c r="E242" s="118">
        <v>760</v>
      </c>
      <c r="F242" s="115"/>
      <c r="G242" s="116"/>
      <c r="H242" s="118">
        <v>800</v>
      </c>
      <c r="I242" s="115"/>
      <c r="J242" s="116"/>
      <c r="K242" s="9">
        <v>1923.0769230769231</v>
      </c>
      <c r="L242" s="127"/>
      <c r="M242" s="117">
        <f>IFERROR(IF(WEEKDAY($A242)&lt;&gt;1,HLOOKUP($B242,'SERVIÇOS NOTÁVEIS'!$23:$32,10,FALSE)*1.39,0),0)</f>
        <v>2989.2377692307691</v>
      </c>
      <c r="O242" s="99"/>
      <c r="P242" s="10"/>
      <c r="R242" s="10"/>
      <c r="S242" s="10"/>
      <c r="U242" s="10"/>
    </row>
    <row r="243" spans="1:21" x14ac:dyDescent="0.35">
      <c r="A243" s="126">
        <f t="shared" si="9"/>
        <v>46262</v>
      </c>
      <c r="B243" s="118" t="str">
        <f t="shared" si="8"/>
        <v>ago/26</v>
      </c>
      <c r="C243" s="115"/>
      <c r="D243" s="116"/>
      <c r="E243" s="118">
        <v>760</v>
      </c>
      <c r="F243" s="115"/>
      <c r="G243" s="116"/>
      <c r="H243" s="118">
        <v>800</v>
      </c>
      <c r="I243" s="115"/>
      <c r="J243" s="116"/>
      <c r="K243" s="9">
        <v>1923.0769230769231</v>
      </c>
      <c r="L243" s="127"/>
      <c r="M243" s="117">
        <f>IFERROR(IF(WEEKDAY($A243)&lt;&gt;1,HLOOKUP($B243,'SERVIÇOS NOTÁVEIS'!$23:$32,10,FALSE)*1.39,0),0)</f>
        <v>2989.2377692307691</v>
      </c>
      <c r="O243" s="99"/>
      <c r="P243" s="10"/>
      <c r="R243" s="10"/>
      <c r="S243" s="10"/>
      <c r="U243" s="10"/>
    </row>
    <row r="244" spans="1:21" x14ac:dyDescent="0.35">
      <c r="A244" s="126">
        <f t="shared" si="9"/>
        <v>46263</v>
      </c>
      <c r="B244" s="118" t="str">
        <f t="shared" si="8"/>
        <v>ago/26</v>
      </c>
      <c r="C244" s="115"/>
      <c r="D244" s="116"/>
      <c r="E244" s="118">
        <v>760</v>
      </c>
      <c r="F244" s="115"/>
      <c r="G244" s="116"/>
      <c r="H244" s="118">
        <v>800</v>
      </c>
      <c r="I244" s="115"/>
      <c r="J244" s="116"/>
      <c r="K244" s="9">
        <v>1923.0769230769231</v>
      </c>
      <c r="L244" s="127"/>
      <c r="M244" s="117">
        <f>IFERROR(IF(WEEKDAY($A244)&lt;&gt;1,HLOOKUP($B244,'SERVIÇOS NOTÁVEIS'!$23:$32,10,FALSE)*1.39,0),0)</f>
        <v>2989.2377692307691</v>
      </c>
      <c r="O244" s="99"/>
      <c r="P244" s="10"/>
      <c r="R244" s="10"/>
      <c r="S244" s="10"/>
      <c r="U244" s="10"/>
    </row>
    <row r="245" spans="1:21" x14ac:dyDescent="0.35">
      <c r="A245" s="126">
        <f t="shared" si="9"/>
        <v>46264</v>
      </c>
      <c r="B245" s="118" t="str">
        <f t="shared" si="8"/>
        <v>ago/26</v>
      </c>
      <c r="C245" s="115"/>
      <c r="D245" s="116"/>
      <c r="E245" s="118">
        <v>0</v>
      </c>
      <c r="F245" s="115"/>
      <c r="G245" s="116"/>
      <c r="H245" s="118">
        <v>0</v>
      </c>
      <c r="I245" s="115"/>
      <c r="J245" s="116"/>
      <c r="K245" s="9">
        <v>0</v>
      </c>
      <c r="L245" s="127"/>
      <c r="M245" s="117">
        <f>IFERROR(IF(WEEKDAY($A245)&lt;&gt;1,HLOOKUP($B245,'SERVIÇOS NOTÁVEIS'!$23:$32,10,FALSE)*1.39,0),0)</f>
        <v>0</v>
      </c>
      <c r="O245" s="99"/>
      <c r="P245" s="10"/>
      <c r="R245" s="10"/>
      <c r="S245" s="10"/>
      <c r="U245" s="10"/>
    </row>
    <row r="246" spans="1:21" x14ac:dyDescent="0.35">
      <c r="A246" s="126">
        <f t="shared" si="9"/>
        <v>46265</v>
      </c>
      <c r="B246" s="118" t="str">
        <f t="shared" si="8"/>
        <v>ago/26</v>
      </c>
      <c r="C246" s="115"/>
      <c r="D246" s="116"/>
      <c r="E246" s="118">
        <v>760</v>
      </c>
      <c r="F246" s="115"/>
      <c r="G246" s="116"/>
      <c r="H246" s="118">
        <v>800</v>
      </c>
      <c r="I246" s="115"/>
      <c r="J246" s="116"/>
      <c r="K246" s="9">
        <v>1923.0769230769231</v>
      </c>
      <c r="L246" s="127"/>
      <c r="M246" s="117">
        <f>IFERROR(IF(WEEKDAY($A246)&lt;&gt;1,HLOOKUP($B246,'SERVIÇOS NOTÁVEIS'!$23:$32,10,FALSE)*1.39,0),0)</f>
        <v>2989.2377692307691</v>
      </c>
      <c r="O246" s="99"/>
      <c r="P246" s="10"/>
      <c r="R246" s="10"/>
      <c r="S246" s="10"/>
      <c r="U246" s="10"/>
    </row>
    <row r="247" spans="1:21" x14ac:dyDescent="0.35">
      <c r="A247" s="126">
        <f t="shared" si="9"/>
        <v>46266</v>
      </c>
      <c r="B247" s="118" t="str">
        <f t="shared" si="8"/>
        <v>set/26</v>
      </c>
      <c r="C247" s="115"/>
      <c r="D247" s="116"/>
      <c r="E247" s="118">
        <v>760</v>
      </c>
      <c r="F247" s="115"/>
      <c r="G247" s="116"/>
      <c r="H247" s="118">
        <v>800</v>
      </c>
      <c r="I247" s="115"/>
      <c r="J247" s="116"/>
      <c r="K247" s="9">
        <v>1923.0769230769231</v>
      </c>
      <c r="L247" s="127"/>
      <c r="M247" s="117">
        <f>IFERROR(IF(WEEKDAY($A247)&lt;&gt;1,HLOOKUP($B247,'SERVIÇOS NOTÁVEIS'!$23:$32,10,FALSE)*1.39,0),0)</f>
        <v>3003.3195384615387</v>
      </c>
      <c r="O247" s="99"/>
      <c r="P247" s="10"/>
      <c r="R247" s="10"/>
      <c r="S247" s="10"/>
      <c r="U247" s="10"/>
    </row>
    <row r="248" spans="1:21" x14ac:dyDescent="0.35">
      <c r="A248" s="126">
        <f t="shared" si="9"/>
        <v>46267</v>
      </c>
      <c r="B248" s="118" t="str">
        <f t="shared" si="8"/>
        <v>set/26</v>
      </c>
      <c r="C248" s="115"/>
      <c r="D248" s="116"/>
      <c r="E248" s="118">
        <v>760</v>
      </c>
      <c r="F248" s="115"/>
      <c r="G248" s="116"/>
      <c r="H248" s="118">
        <v>800</v>
      </c>
      <c r="I248" s="115"/>
      <c r="J248" s="116"/>
      <c r="K248" s="9">
        <v>1923.0769230769231</v>
      </c>
      <c r="L248" s="127"/>
      <c r="M248" s="117">
        <f>IFERROR(IF(WEEKDAY($A248)&lt;&gt;1,HLOOKUP($B248,'SERVIÇOS NOTÁVEIS'!$23:$32,10,FALSE)*1.39,0),0)</f>
        <v>3003.3195384615387</v>
      </c>
      <c r="O248" s="99"/>
      <c r="P248" s="10"/>
      <c r="R248" s="10"/>
      <c r="S248" s="10"/>
      <c r="U248" s="10"/>
    </row>
    <row r="249" spans="1:21" x14ac:dyDescent="0.35">
      <c r="A249" s="126">
        <f t="shared" si="9"/>
        <v>46268</v>
      </c>
      <c r="B249" s="118" t="str">
        <f t="shared" si="8"/>
        <v>set/26</v>
      </c>
      <c r="C249" s="115"/>
      <c r="D249" s="116"/>
      <c r="E249" s="118">
        <v>760</v>
      </c>
      <c r="F249" s="115"/>
      <c r="G249" s="116"/>
      <c r="H249" s="118">
        <v>800</v>
      </c>
      <c r="I249" s="115"/>
      <c r="J249" s="116"/>
      <c r="K249" s="9">
        <v>1923.0769230769231</v>
      </c>
      <c r="L249" s="127"/>
      <c r="M249" s="117">
        <f>IFERROR(IF(WEEKDAY($A249)&lt;&gt;1,HLOOKUP($B249,'SERVIÇOS NOTÁVEIS'!$23:$32,10,FALSE)*1.39,0),0)</f>
        <v>3003.3195384615387</v>
      </c>
      <c r="O249" s="99"/>
      <c r="P249" s="10"/>
      <c r="R249" s="10"/>
      <c r="S249" s="10"/>
      <c r="U249" s="10"/>
    </row>
    <row r="250" spans="1:21" x14ac:dyDescent="0.35">
      <c r="A250" s="126">
        <f t="shared" si="9"/>
        <v>46269</v>
      </c>
      <c r="B250" s="118" t="str">
        <f t="shared" si="8"/>
        <v>set/26</v>
      </c>
      <c r="C250" s="115"/>
      <c r="D250" s="116"/>
      <c r="E250" s="118">
        <v>760</v>
      </c>
      <c r="F250" s="115"/>
      <c r="G250" s="116"/>
      <c r="H250" s="118">
        <v>800</v>
      </c>
      <c r="I250" s="115"/>
      <c r="J250" s="116"/>
      <c r="K250" s="9">
        <v>1923.0769230769231</v>
      </c>
      <c r="L250" s="127"/>
      <c r="M250" s="117">
        <f>IFERROR(IF(WEEKDAY($A250)&lt;&gt;1,HLOOKUP($B250,'SERVIÇOS NOTÁVEIS'!$23:$32,10,FALSE)*1.39,0),0)</f>
        <v>3003.3195384615387</v>
      </c>
      <c r="O250" s="99"/>
      <c r="P250" s="10"/>
      <c r="R250" s="10"/>
      <c r="S250" s="10"/>
      <c r="U250" s="10"/>
    </row>
    <row r="251" spans="1:21" x14ac:dyDescent="0.35">
      <c r="A251" s="126">
        <f t="shared" si="9"/>
        <v>46270</v>
      </c>
      <c r="B251" s="118" t="str">
        <f t="shared" si="8"/>
        <v>set/26</v>
      </c>
      <c r="C251" s="115"/>
      <c r="D251" s="116"/>
      <c r="E251" s="118">
        <v>760</v>
      </c>
      <c r="F251" s="115"/>
      <c r="G251" s="116"/>
      <c r="H251" s="118">
        <v>800</v>
      </c>
      <c r="I251" s="115"/>
      <c r="J251" s="116"/>
      <c r="K251" s="9">
        <v>1923.0769230769231</v>
      </c>
      <c r="L251" s="127"/>
      <c r="M251" s="117">
        <f>IFERROR(IF(WEEKDAY($A251)&lt;&gt;1,HLOOKUP($B251,'SERVIÇOS NOTÁVEIS'!$23:$32,10,FALSE)*1.39,0),0)</f>
        <v>3003.3195384615387</v>
      </c>
      <c r="O251" s="99"/>
      <c r="P251" s="10"/>
      <c r="R251" s="10"/>
      <c r="S251" s="10"/>
      <c r="U251" s="10"/>
    </row>
    <row r="252" spans="1:21" x14ac:dyDescent="0.35">
      <c r="A252" s="126">
        <f t="shared" si="9"/>
        <v>46271</v>
      </c>
      <c r="B252" s="118" t="str">
        <f t="shared" si="8"/>
        <v>set/26</v>
      </c>
      <c r="C252" s="115"/>
      <c r="D252" s="116"/>
      <c r="E252" s="118">
        <v>0</v>
      </c>
      <c r="F252" s="115"/>
      <c r="G252" s="116"/>
      <c r="H252" s="118">
        <v>0</v>
      </c>
      <c r="I252" s="115"/>
      <c r="J252" s="116"/>
      <c r="K252" s="9">
        <v>0</v>
      </c>
      <c r="L252" s="127"/>
      <c r="M252" s="117">
        <f>IFERROR(IF(WEEKDAY($A252)&lt;&gt;1,HLOOKUP($B252,'SERVIÇOS NOTÁVEIS'!$23:$32,10,FALSE)*1.39,0),0)</f>
        <v>0</v>
      </c>
      <c r="O252" s="99"/>
      <c r="P252" s="10"/>
      <c r="R252" s="10"/>
      <c r="S252" s="10"/>
      <c r="U252" s="10"/>
    </row>
    <row r="253" spans="1:21" x14ac:dyDescent="0.35">
      <c r="A253" s="126">
        <f t="shared" si="9"/>
        <v>46272</v>
      </c>
      <c r="B253" s="118" t="str">
        <f t="shared" si="8"/>
        <v>set/26</v>
      </c>
      <c r="C253" s="115"/>
      <c r="D253" s="116"/>
      <c r="E253" s="118">
        <v>760</v>
      </c>
      <c r="F253" s="115"/>
      <c r="G253" s="116"/>
      <c r="H253" s="118">
        <v>800</v>
      </c>
      <c r="I253" s="115"/>
      <c r="J253" s="116"/>
      <c r="K253" s="9">
        <v>1923.0769230769231</v>
      </c>
      <c r="L253" s="127"/>
      <c r="M253" s="117">
        <f>IFERROR(IF(WEEKDAY($A253)&lt;&gt;1,HLOOKUP($B253,'SERVIÇOS NOTÁVEIS'!$23:$32,10,FALSE)*1.39,0),0)</f>
        <v>3003.3195384615387</v>
      </c>
      <c r="O253" s="99"/>
      <c r="P253" s="10"/>
      <c r="R253" s="10"/>
      <c r="S253" s="10"/>
      <c r="U253" s="10"/>
    </row>
    <row r="254" spans="1:21" x14ac:dyDescent="0.35">
      <c r="A254" s="126">
        <f t="shared" si="9"/>
        <v>46273</v>
      </c>
      <c r="B254" s="118" t="str">
        <f t="shared" si="8"/>
        <v>set/26</v>
      </c>
      <c r="C254" s="115"/>
      <c r="D254" s="116"/>
      <c r="E254" s="118">
        <v>760</v>
      </c>
      <c r="F254" s="115"/>
      <c r="G254" s="116"/>
      <c r="H254" s="118">
        <v>800</v>
      </c>
      <c r="I254" s="115"/>
      <c r="J254" s="116"/>
      <c r="K254" s="9">
        <v>1923.0769230769231</v>
      </c>
      <c r="L254" s="127"/>
      <c r="M254" s="117">
        <f>IFERROR(IF(WEEKDAY($A254)&lt;&gt;1,HLOOKUP($B254,'SERVIÇOS NOTÁVEIS'!$23:$32,10,FALSE)*1.39,0),0)</f>
        <v>3003.3195384615387</v>
      </c>
      <c r="O254" s="99"/>
      <c r="P254" s="10"/>
      <c r="R254" s="10"/>
      <c r="S254" s="10"/>
      <c r="U254" s="10"/>
    </row>
    <row r="255" spans="1:21" x14ac:dyDescent="0.35">
      <c r="A255" s="126">
        <f t="shared" si="9"/>
        <v>46274</v>
      </c>
      <c r="B255" s="118" t="str">
        <f t="shared" si="8"/>
        <v>set/26</v>
      </c>
      <c r="C255" s="115"/>
      <c r="D255" s="116"/>
      <c r="E255" s="118">
        <v>760</v>
      </c>
      <c r="F255" s="115"/>
      <c r="G255" s="116"/>
      <c r="H255" s="118">
        <v>800</v>
      </c>
      <c r="I255" s="115"/>
      <c r="J255" s="116"/>
      <c r="K255" s="9">
        <v>1923.0769230769231</v>
      </c>
      <c r="L255" s="127"/>
      <c r="M255" s="117">
        <f>IFERROR(IF(WEEKDAY($A255)&lt;&gt;1,HLOOKUP($B255,'SERVIÇOS NOTÁVEIS'!$23:$32,10,FALSE)*1.39,0),0)</f>
        <v>3003.3195384615387</v>
      </c>
      <c r="O255" s="99"/>
      <c r="P255" s="10"/>
      <c r="R255" s="10"/>
      <c r="S255" s="10"/>
      <c r="U255" s="10"/>
    </row>
    <row r="256" spans="1:21" x14ac:dyDescent="0.35">
      <c r="A256" s="126">
        <f t="shared" si="9"/>
        <v>46275</v>
      </c>
      <c r="B256" s="118" t="str">
        <f t="shared" si="8"/>
        <v>set/26</v>
      </c>
      <c r="C256" s="115"/>
      <c r="D256" s="116"/>
      <c r="E256" s="118">
        <v>760</v>
      </c>
      <c r="F256" s="115"/>
      <c r="G256" s="116"/>
      <c r="H256" s="118">
        <v>800</v>
      </c>
      <c r="I256" s="115"/>
      <c r="J256" s="116"/>
      <c r="K256" s="9">
        <v>1923.0769230769231</v>
      </c>
      <c r="L256" s="127"/>
      <c r="M256" s="117">
        <f>IFERROR(IF(WEEKDAY($A256)&lt;&gt;1,HLOOKUP($B256,'SERVIÇOS NOTÁVEIS'!$23:$32,10,FALSE)*1.39,0),0)</f>
        <v>3003.3195384615387</v>
      </c>
      <c r="O256" s="99"/>
      <c r="P256" s="10"/>
      <c r="R256" s="10"/>
      <c r="S256" s="10"/>
      <c r="U256" s="10"/>
    </row>
    <row r="257" spans="1:21" x14ac:dyDescent="0.35">
      <c r="A257" s="126">
        <f t="shared" si="9"/>
        <v>46276</v>
      </c>
      <c r="B257" s="118" t="str">
        <f t="shared" si="8"/>
        <v>set/26</v>
      </c>
      <c r="C257" s="115"/>
      <c r="D257" s="116"/>
      <c r="E257" s="118">
        <v>760</v>
      </c>
      <c r="F257" s="115"/>
      <c r="G257" s="116"/>
      <c r="H257" s="118">
        <v>800</v>
      </c>
      <c r="I257" s="115"/>
      <c r="J257" s="116"/>
      <c r="K257" s="9">
        <v>1923.0769230769231</v>
      </c>
      <c r="L257" s="127"/>
      <c r="M257" s="117">
        <f>IFERROR(IF(WEEKDAY($A257)&lt;&gt;1,HLOOKUP($B257,'SERVIÇOS NOTÁVEIS'!$23:$32,10,FALSE)*1.39,0),0)</f>
        <v>3003.3195384615387</v>
      </c>
      <c r="O257" s="99"/>
      <c r="P257" s="10"/>
      <c r="R257" s="10"/>
      <c r="S257" s="10"/>
      <c r="U257" s="10"/>
    </row>
    <row r="258" spans="1:21" x14ac:dyDescent="0.35">
      <c r="A258" s="126">
        <f t="shared" si="9"/>
        <v>46277</v>
      </c>
      <c r="B258" s="118" t="str">
        <f t="shared" si="8"/>
        <v>set/26</v>
      </c>
      <c r="C258" s="115"/>
      <c r="D258" s="116"/>
      <c r="E258" s="118">
        <v>760</v>
      </c>
      <c r="F258" s="115"/>
      <c r="G258" s="116"/>
      <c r="H258" s="118">
        <v>800</v>
      </c>
      <c r="I258" s="115"/>
      <c r="J258" s="116"/>
      <c r="K258" s="9">
        <v>1923.0769230769231</v>
      </c>
      <c r="L258" s="127"/>
      <c r="M258" s="117">
        <f>IFERROR(IF(WEEKDAY($A258)&lt;&gt;1,HLOOKUP($B258,'SERVIÇOS NOTÁVEIS'!$23:$32,10,FALSE)*1.39,0),0)</f>
        <v>3003.3195384615387</v>
      </c>
      <c r="O258" s="99"/>
      <c r="P258" s="10"/>
      <c r="R258" s="10"/>
      <c r="S258" s="10"/>
      <c r="U258" s="10"/>
    </row>
    <row r="259" spans="1:21" x14ac:dyDescent="0.35">
      <c r="A259" s="126">
        <f t="shared" si="9"/>
        <v>46278</v>
      </c>
      <c r="B259" s="118" t="str">
        <f t="shared" si="8"/>
        <v>set/26</v>
      </c>
      <c r="C259" s="115"/>
      <c r="D259" s="116"/>
      <c r="E259" s="118">
        <v>0</v>
      </c>
      <c r="F259" s="115"/>
      <c r="G259" s="116"/>
      <c r="H259" s="118">
        <v>0</v>
      </c>
      <c r="I259" s="115"/>
      <c r="J259" s="116"/>
      <c r="K259" s="9">
        <v>0</v>
      </c>
      <c r="L259" s="127"/>
      <c r="M259" s="117">
        <f>IFERROR(IF(WEEKDAY($A259)&lt;&gt;1,HLOOKUP($B259,'SERVIÇOS NOTÁVEIS'!$23:$32,10,FALSE)*1.39,0),0)</f>
        <v>0</v>
      </c>
      <c r="O259" s="99"/>
      <c r="P259" s="10"/>
      <c r="R259" s="10"/>
      <c r="S259" s="10"/>
      <c r="U259" s="10"/>
    </row>
    <row r="260" spans="1:21" x14ac:dyDescent="0.35">
      <c r="A260" s="126">
        <f t="shared" si="9"/>
        <v>46279</v>
      </c>
      <c r="B260" s="118" t="str">
        <f t="shared" si="8"/>
        <v>set/26</v>
      </c>
      <c r="C260" s="115"/>
      <c r="D260" s="116"/>
      <c r="E260" s="118">
        <v>760</v>
      </c>
      <c r="F260" s="115"/>
      <c r="G260" s="116"/>
      <c r="H260" s="118">
        <v>800</v>
      </c>
      <c r="I260" s="115"/>
      <c r="J260" s="116"/>
      <c r="K260" s="9">
        <v>1923.0769230769231</v>
      </c>
      <c r="L260" s="127"/>
      <c r="M260" s="117">
        <f>IFERROR(IF(WEEKDAY($A260)&lt;&gt;1,HLOOKUP($B260,'SERVIÇOS NOTÁVEIS'!$23:$32,10,FALSE)*1.39,0),0)</f>
        <v>3003.3195384615387</v>
      </c>
      <c r="O260" s="99"/>
      <c r="P260" s="10"/>
      <c r="R260" s="10"/>
      <c r="S260" s="10"/>
      <c r="U260" s="10"/>
    </row>
    <row r="261" spans="1:21" x14ac:dyDescent="0.35">
      <c r="A261" s="126">
        <f t="shared" si="9"/>
        <v>46280</v>
      </c>
      <c r="B261" s="118" t="str">
        <f t="shared" ref="B261:B324" si="10">TEXT(A261,"MMM/AA")</f>
        <v>set/26</v>
      </c>
      <c r="C261" s="115"/>
      <c r="D261" s="116"/>
      <c r="E261" s="118">
        <v>760</v>
      </c>
      <c r="F261" s="115"/>
      <c r="G261" s="116"/>
      <c r="H261" s="118">
        <v>800</v>
      </c>
      <c r="I261" s="115"/>
      <c r="J261" s="116"/>
      <c r="K261" s="9">
        <v>1923.0769230769231</v>
      </c>
      <c r="L261" s="127"/>
      <c r="M261" s="117">
        <f>IFERROR(IF(WEEKDAY($A261)&lt;&gt;1,HLOOKUP($B261,'SERVIÇOS NOTÁVEIS'!$23:$32,10,FALSE)*1.39,0),0)</f>
        <v>3003.3195384615387</v>
      </c>
      <c r="O261" s="99"/>
      <c r="P261" s="10"/>
      <c r="R261" s="10"/>
      <c r="S261" s="10"/>
      <c r="U261" s="10"/>
    </row>
    <row r="262" spans="1:21" x14ac:dyDescent="0.35">
      <c r="A262" s="126">
        <f t="shared" si="9"/>
        <v>46281</v>
      </c>
      <c r="B262" s="118" t="str">
        <f t="shared" si="10"/>
        <v>set/26</v>
      </c>
      <c r="C262" s="115"/>
      <c r="D262" s="116"/>
      <c r="E262" s="118">
        <v>760</v>
      </c>
      <c r="F262" s="115"/>
      <c r="G262" s="116"/>
      <c r="H262" s="118">
        <v>800</v>
      </c>
      <c r="I262" s="115"/>
      <c r="J262" s="116"/>
      <c r="K262" s="9">
        <v>1923.0769230769231</v>
      </c>
      <c r="L262" s="127"/>
      <c r="M262" s="117">
        <f>IFERROR(IF(WEEKDAY($A262)&lt;&gt;1,HLOOKUP($B262,'SERVIÇOS NOTÁVEIS'!$23:$32,10,FALSE)*1.39,0),0)</f>
        <v>3003.3195384615387</v>
      </c>
      <c r="O262" s="99"/>
      <c r="P262" s="10"/>
      <c r="R262" s="10"/>
      <c r="S262" s="10"/>
      <c r="U262" s="10"/>
    </row>
    <row r="263" spans="1:21" x14ac:dyDescent="0.35">
      <c r="A263" s="126">
        <f t="shared" si="9"/>
        <v>46282</v>
      </c>
      <c r="B263" s="118" t="str">
        <f t="shared" si="10"/>
        <v>set/26</v>
      </c>
      <c r="C263" s="115"/>
      <c r="D263" s="116"/>
      <c r="E263" s="118">
        <v>760</v>
      </c>
      <c r="F263" s="115"/>
      <c r="G263" s="116"/>
      <c r="H263" s="118">
        <v>800</v>
      </c>
      <c r="I263" s="115"/>
      <c r="J263" s="116"/>
      <c r="K263" s="9">
        <v>1923.0769230769231</v>
      </c>
      <c r="L263" s="127"/>
      <c r="M263" s="117">
        <f>IFERROR(IF(WEEKDAY($A263)&lt;&gt;1,HLOOKUP($B263,'SERVIÇOS NOTÁVEIS'!$23:$32,10,FALSE)*1.39,0),0)</f>
        <v>3003.3195384615387</v>
      </c>
      <c r="O263" s="99"/>
      <c r="P263" s="10"/>
      <c r="R263" s="10"/>
      <c r="S263" s="10"/>
      <c r="U263" s="10"/>
    </row>
    <row r="264" spans="1:21" x14ac:dyDescent="0.35">
      <c r="A264" s="126">
        <f t="shared" si="9"/>
        <v>46283</v>
      </c>
      <c r="B264" s="118" t="str">
        <f t="shared" si="10"/>
        <v>set/26</v>
      </c>
      <c r="C264" s="115"/>
      <c r="D264" s="116"/>
      <c r="E264" s="118">
        <v>760</v>
      </c>
      <c r="F264" s="115"/>
      <c r="G264" s="116"/>
      <c r="H264" s="118">
        <v>800</v>
      </c>
      <c r="I264" s="115"/>
      <c r="J264" s="116"/>
      <c r="K264" s="9">
        <v>1923.0769230769231</v>
      </c>
      <c r="L264" s="127"/>
      <c r="M264" s="117">
        <f>IFERROR(IF(WEEKDAY($A264)&lt;&gt;1,HLOOKUP($B264,'SERVIÇOS NOTÁVEIS'!$23:$32,10,FALSE)*1.39,0),0)</f>
        <v>3003.3195384615387</v>
      </c>
      <c r="O264" s="99"/>
      <c r="P264" s="10"/>
      <c r="R264" s="10"/>
      <c r="S264" s="10"/>
      <c r="U264" s="10"/>
    </row>
    <row r="265" spans="1:21" x14ac:dyDescent="0.35">
      <c r="A265" s="126">
        <f t="shared" si="9"/>
        <v>46284</v>
      </c>
      <c r="B265" s="118" t="str">
        <f t="shared" si="10"/>
        <v>set/26</v>
      </c>
      <c r="C265" s="115"/>
      <c r="D265" s="116"/>
      <c r="E265" s="118">
        <v>760</v>
      </c>
      <c r="F265" s="115"/>
      <c r="G265" s="116"/>
      <c r="H265" s="118">
        <v>800</v>
      </c>
      <c r="I265" s="115"/>
      <c r="J265" s="116"/>
      <c r="K265" s="9">
        <v>1923.0769230769231</v>
      </c>
      <c r="L265" s="127"/>
      <c r="M265" s="117">
        <f>IFERROR(IF(WEEKDAY($A265)&lt;&gt;1,HLOOKUP($B265,'SERVIÇOS NOTÁVEIS'!$23:$32,10,FALSE)*1.39,0),0)</f>
        <v>3003.3195384615387</v>
      </c>
      <c r="O265" s="99"/>
      <c r="P265" s="10"/>
      <c r="R265" s="10"/>
      <c r="S265" s="10"/>
      <c r="U265" s="10"/>
    </row>
    <row r="266" spans="1:21" x14ac:dyDescent="0.35">
      <c r="A266" s="126">
        <f t="shared" si="9"/>
        <v>46285</v>
      </c>
      <c r="B266" s="118" t="str">
        <f t="shared" si="10"/>
        <v>set/26</v>
      </c>
      <c r="C266" s="115"/>
      <c r="D266" s="116"/>
      <c r="E266" s="118">
        <v>0</v>
      </c>
      <c r="F266" s="115"/>
      <c r="G266" s="116"/>
      <c r="H266" s="118">
        <v>0</v>
      </c>
      <c r="I266" s="115"/>
      <c r="J266" s="116"/>
      <c r="K266" s="9">
        <v>0</v>
      </c>
      <c r="L266" s="127"/>
      <c r="M266" s="117">
        <f>IFERROR(IF(WEEKDAY($A266)&lt;&gt;1,HLOOKUP($B266,'SERVIÇOS NOTÁVEIS'!$23:$32,10,FALSE)*1.39,0),0)</f>
        <v>0</v>
      </c>
      <c r="O266" s="99"/>
      <c r="P266" s="10"/>
      <c r="R266" s="10"/>
      <c r="S266" s="10"/>
      <c r="U266" s="10"/>
    </row>
    <row r="267" spans="1:21" x14ac:dyDescent="0.35">
      <c r="A267" s="126">
        <f t="shared" si="9"/>
        <v>46286</v>
      </c>
      <c r="B267" s="118" t="str">
        <f t="shared" si="10"/>
        <v>set/26</v>
      </c>
      <c r="C267" s="115"/>
      <c r="D267" s="116"/>
      <c r="E267" s="118">
        <v>760</v>
      </c>
      <c r="F267" s="115"/>
      <c r="G267" s="116"/>
      <c r="H267" s="118">
        <v>800</v>
      </c>
      <c r="I267" s="115"/>
      <c r="J267" s="116"/>
      <c r="K267" s="9">
        <v>1923.0769230769231</v>
      </c>
      <c r="L267" s="127"/>
      <c r="M267" s="117">
        <f>IFERROR(IF(WEEKDAY($A267)&lt;&gt;1,HLOOKUP($B267,'SERVIÇOS NOTÁVEIS'!$23:$32,10,FALSE)*1.39,0),0)</f>
        <v>3003.3195384615387</v>
      </c>
      <c r="O267" s="99"/>
      <c r="P267" s="10"/>
      <c r="R267" s="10"/>
      <c r="S267" s="10"/>
      <c r="U267" s="10"/>
    </row>
    <row r="268" spans="1:21" x14ac:dyDescent="0.35">
      <c r="A268" s="126">
        <f t="shared" si="9"/>
        <v>46287</v>
      </c>
      <c r="B268" s="118" t="str">
        <f t="shared" si="10"/>
        <v>set/26</v>
      </c>
      <c r="C268" s="115"/>
      <c r="D268" s="116"/>
      <c r="E268" s="118">
        <v>760</v>
      </c>
      <c r="F268" s="115"/>
      <c r="G268" s="116"/>
      <c r="H268" s="118">
        <v>800</v>
      </c>
      <c r="I268" s="115"/>
      <c r="J268" s="116"/>
      <c r="K268" s="9">
        <v>1923.0769230769231</v>
      </c>
      <c r="L268" s="127"/>
      <c r="M268" s="117">
        <f>IFERROR(IF(WEEKDAY($A268)&lt;&gt;1,HLOOKUP($B268,'SERVIÇOS NOTÁVEIS'!$23:$32,10,FALSE)*1.39,0),0)</f>
        <v>3003.3195384615387</v>
      </c>
      <c r="O268" s="99"/>
      <c r="P268" s="10"/>
      <c r="R268" s="10"/>
      <c r="S268" s="10"/>
      <c r="U268" s="10"/>
    </row>
    <row r="269" spans="1:21" x14ac:dyDescent="0.35">
      <c r="A269" s="126">
        <f t="shared" si="9"/>
        <v>46288</v>
      </c>
      <c r="B269" s="118" t="str">
        <f t="shared" si="10"/>
        <v>set/26</v>
      </c>
      <c r="C269" s="115"/>
      <c r="D269" s="116"/>
      <c r="E269" s="118">
        <v>760</v>
      </c>
      <c r="F269" s="115"/>
      <c r="G269" s="116"/>
      <c r="H269" s="118">
        <v>800</v>
      </c>
      <c r="I269" s="115"/>
      <c r="J269" s="116"/>
      <c r="K269" s="9">
        <v>1923.0769230769231</v>
      </c>
      <c r="L269" s="127"/>
      <c r="M269" s="117">
        <f>IFERROR(IF(WEEKDAY($A269)&lt;&gt;1,HLOOKUP($B269,'SERVIÇOS NOTÁVEIS'!$23:$32,10,FALSE)*1.39,0),0)</f>
        <v>3003.3195384615387</v>
      </c>
      <c r="O269" s="99"/>
      <c r="P269" s="10"/>
      <c r="R269" s="10"/>
      <c r="S269" s="10"/>
      <c r="U269" s="10"/>
    </row>
    <row r="270" spans="1:21" x14ac:dyDescent="0.35">
      <c r="A270" s="126">
        <f t="shared" si="9"/>
        <v>46289</v>
      </c>
      <c r="B270" s="118" t="str">
        <f t="shared" si="10"/>
        <v>set/26</v>
      </c>
      <c r="C270" s="115"/>
      <c r="D270" s="116"/>
      <c r="E270" s="118">
        <v>760</v>
      </c>
      <c r="F270" s="115"/>
      <c r="G270" s="116"/>
      <c r="H270" s="118">
        <v>800</v>
      </c>
      <c r="I270" s="115"/>
      <c r="J270" s="116"/>
      <c r="K270" s="9">
        <v>1923.0769230769231</v>
      </c>
      <c r="L270" s="127"/>
      <c r="M270" s="117">
        <f>IFERROR(IF(WEEKDAY($A270)&lt;&gt;1,HLOOKUP($B270,'SERVIÇOS NOTÁVEIS'!$23:$32,10,FALSE)*1.39,0),0)</f>
        <v>3003.3195384615387</v>
      </c>
      <c r="O270" s="99"/>
      <c r="P270" s="10"/>
      <c r="R270" s="10"/>
      <c r="S270" s="10"/>
      <c r="U270" s="10"/>
    </row>
    <row r="271" spans="1:21" x14ac:dyDescent="0.35">
      <c r="A271" s="126">
        <f t="shared" si="9"/>
        <v>46290</v>
      </c>
      <c r="B271" s="118" t="str">
        <f t="shared" si="10"/>
        <v>set/26</v>
      </c>
      <c r="C271" s="115"/>
      <c r="D271" s="116"/>
      <c r="E271" s="118">
        <v>760</v>
      </c>
      <c r="F271" s="115"/>
      <c r="G271" s="116"/>
      <c r="H271" s="118">
        <v>800</v>
      </c>
      <c r="I271" s="115"/>
      <c r="J271" s="116"/>
      <c r="K271" s="9">
        <v>1923.0769230769231</v>
      </c>
      <c r="L271" s="127"/>
      <c r="M271" s="117">
        <f>IFERROR(IF(WEEKDAY($A271)&lt;&gt;1,HLOOKUP($B271,'SERVIÇOS NOTÁVEIS'!$23:$32,10,FALSE)*1.39,0),0)</f>
        <v>3003.3195384615387</v>
      </c>
      <c r="O271" s="99"/>
      <c r="P271" s="10"/>
      <c r="R271" s="10"/>
      <c r="S271" s="10"/>
      <c r="U271" s="10"/>
    </row>
    <row r="272" spans="1:21" x14ac:dyDescent="0.35">
      <c r="A272" s="126">
        <f t="shared" si="9"/>
        <v>46291</v>
      </c>
      <c r="B272" s="118" t="str">
        <f t="shared" si="10"/>
        <v>set/26</v>
      </c>
      <c r="C272" s="115"/>
      <c r="D272" s="116"/>
      <c r="E272" s="118">
        <v>760</v>
      </c>
      <c r="F272" s="115"/>
      <c r="G272" s="116"/>
      <c r="H272" s="118">
        <v>800</v>
      </c>
      <c r="I272" s="115"/>
      <c r="J272" s="116"/>
      <c r="K272" s="9">
        <v>1923.0769230769231</v>
      </c>
      <c r="L272" s="127"/>
      <c r="M272" s="117">
        <f>IFERROR(IF(WEEKDAY($A272)&lt;&gt;1,HLOOKUP($B272,'SERVIÇOS NOTÁVEIS'!$23:$32,10,FALSE)*1.39,0),0)</f>
        <v>3003.3195384615387</v>
      </c>
      <c r="O272" s="99"/>
      <c r="P272" s="10"/>
      <c r="R272" s="10"/>
      <c r="S272" s="10"/>
      <c r="U272" s="10"/>
    </row>
    <row r="273" spans="1:21" x14ac:dyDescent="0.35">
      <c r="A273" s="126">
        <f t="shared" si="9"/>
        <v>46292</v>
      </c>
      <c r="B273" s="118" t="str">
        <f t="shared" si="10"/>
        <v>set/26</v>
      </c>
      <c r="C273" s="115"/>
      <c r="D273" s="116"/>
      <c r="E273" s="118">
        <v>0</v>
      </c>
      <c r="F273" s="115"/>
      <c r="G273" s="116"/>
      <c r="H273" s="118">
        <v>0</v>
      </c>
      <c r="I273" s="115"/>
      <c r="J273" s="116"/>
      <c r="K273" s="9">
        <v>0</v>
      </c>
      <c r="L273" s="127"/>
      <c r="M273" s="117">
        <f>IFERROR(IF(WEEKDAY($A273)&lt;&gt;1,HLOOKUP($B273,'SERVIÇOS NOTÁVEIS'!$23:$32,10,FALSE)*1.39,0),0)</f>
        <v>0</v>
      </c>
      <c r="O273" s="99"/>
      <c r="P273" s="10"/>
      <c r="R273" s="10"/>
      <c r="S273" s="10"/>
      <c r="U273" s="10"/>
    </row>
    <row r="274" spans="1:21" x14ac:dyDescent="0.35">
      <c r="A274" s="126">
        <f t="shared" ref="A274:A310" si="11">A273+1</f>
        <v>46293</v>
      </c>
      <c r="B274" s="118" t="str">
        <f t="shared" si="10"/>
        <v>set/26</v>
      </c>
      <c r="C274" s="115"/>
      <c r="D274" s="116"/>
      <c r="E274" s="118">
        <v>760</v>
      </c>
      <c r="F274" s="115"/>
      <c r="G274" s="116"/>
      <c r="H274" s="118">
        <v>800</v>
      </c>
      <c r="I274" s="115"/>
      <c r="J274" s="116"/>
      <c r="K274" s="9">
        <v>1923.0769230769231</v>
      </c>
      <c r="L274" s="127"/>
      <c r="M274" s="117">
        <f>IFERROR(IF(WEEKDAY($A274)&lt;&gt;1,HLOOKUP($B274,'SERVIÇOS NOTÁVEIS'!$23:$32,10,FALSE)*1.39,0),0)</f>
        <v>3003.3195384615387</v>
      </c>
      <c r="O274" s="99"/>
      <c r="P274" s="10"/>
      <c r="R274" s="10"/>
      <c r="S274" s="10"/>
      <c r="U274" s="10"/>
    </row>
    <row r="275" spans="1:21" x14ac:dyDescent="0.35">
      <c r="A275" s="126">
        <f t="shared" si="11"/>
        <v>46294</v>
      </c>
      <c r="B275" s="118" t="str">
        <f t="shared" si="10"/>
        <v>set/26</v>
      </c>
      <c r="C275" s="115"/>
      <c r="D275" s="116"/>
      <c r="E275" s="118">
        <v>760</v>
      </c>
      <c r="F275" s="115"/>
      <c r="G275" s="116"/>
      <c r="H275" s="118">
        <v>800</v>
      </c>
      <c r="I275" s="115"/>
      <c r="J275" s="116"/>
      <c r="K275" s="9">
        <v>1923.0769230769231</v>
      </c>
      <c r="L275" s="127"/>
      <c r="M275" s="117">
        <f>IFERROR(IF(WEEKDAY($A275)&lt;&gt;1,HLOOKUP($B275,'SERVIÇOS NOTÁVEIS'!$23:$32,10,FALSE)*1.39,0),0)</f>
        <v>3003.3195384615387</v>
      </c>
      <c r="O275" s="99"/>
      <c r="P275" s="10"/>
      <c r="R275" s="10"/>
      <c r="S275" s="10"/>
      <c r="U275" s="10"/>
    </row>
    <row r="276" spans="1:21" x14ac:dyDescent="0.35">
      <c r="A276" s="126">
        <f t="shared" si="11"/>
        <v>46295</v>
      </c>
      <c r="B276" s="118" t="str">
        <f t="shared" si="10"/>
        <v>set/26</v>
      </c>
      <c r="C276" s="115"/>
      <c r="D276" s="116"/>
      <c r="E276" s="118">
        <v>760</v>
      </c>
      <c r="F276" s="115"/>
      <c r="G276" s="116"/>
      <c r="H276" s="118">
        <v>800</v>
      </c>
      <c r="I276" s="115"/>
      <c r="J276" s="116"/>
      <c r="K276" s="9">
        <v>1923.0769230769231</v>
      </c>
      <c r="L276" s="127"/>
      <c r="M276" s="117">
        <f>IFERROR(IF(WEEKDAY($A276)&lt;&gt;1,HLOOKUP($B276,'SERVIÇOS NOTÁVEIS'!$23:$32,10,FALSE)*1.39,0),0)</f>
        <v>3003.3195384615387</v>
      </c>
      <c r="O276" s="99"/>
      <c r="P276" s="10"/>
      <c r="R276" s="10"/>
      <c r="S276" s="10"/>
      <c r="U276" s="10"/>
    </row>
    <row r="277" spans="1:21" x14ac:dyDescent="0.35">
      <c r="A277" s="126">
        <f t="shared" si="11"/>
        <v>46296</v>
      </c>
      <c r="B277" s="118" t="str">
        <f t="shared" si="10"/>
        <v>out/26</v>
      </c>
      <c r="C277" s="115"/>
      <c r="D277" s="116"/>
      <c r="E277" s="118">
        <v>760</v>
      </c>
      <c r="F277" s="115"/>
      <c r="G277" s="116"/>
      <c r="H277" s="118">
        <v>800</v>
      </c>
      <c r="I277" s="115"/>
      <c r="J277" s="116"/>
      <c r="K277" s="9">
        <v>1851.851851851852</v>
      </c>
      <c r="L277" s="127"/>
      <c r="M277" s="117">
        <f>IFERROR(IF(WEEKDAY($A277)&lt;&gt;1,HLOOKUP($B277,'SERVIÇOS NOTÁVEIS'!$23:$32,10,FALSE)*1.39,0),0)</f>
        <v>5071.6363703703691</v>
      </c>
      <c r="O277" s="99"/>
      <c r="P277" s="10"/>
      <c r="R277" s="10"/>
      <c r="S277" s="10"/>
      <c r="U277" s="10"/>
    </row>
    <row r="278" spans="1:21" x14ac:dyDescent="0.35">
      <c r="A278" s="126">
        <f t="shared" si="11"/>
        <v>46297</v>
      </c>
      <c r="B278" s="118" t="str">
        <f t="shared" si="10"/>
        <v>out/26</v>
      </c>
      <c r="C278" s="115"/>
      <c r="D278" s="116"/>
      <c r="E278" s="118">
        <v>760</v>
      </c>
      <c r="F278" s="115"/>
      <c r="G278" s="116"/>
      <c r="H278" s="118">
        <v>800</v>
      </c>
      <c r="I278" s="115"/>
      <c r="J278" s="116"/>
      <c r="K278" s="9">
        <v>1851.851851851852</v>
      </c>
      <c r="L278" s="127"/>
      <c r="M278" s="117">
        <f>IFERROR(IF(WEEKDAY($A278)&lt;&gt;1,HLOOKUP($B278,'SERVIÇOS NOTÁVEIS'!$23:$32,10,FALSE)*1.39,0),0)</f>
        <v>5071.6363703703691</v>
      </c>
      <c r="O278" s="99"/>
      <c r="P278" s="10"/>
      <c r="R278" s="10"/>
      <c r="S278" s="10"/>
      <c r="U278" s="10"/>
    </row>
    <row r="279" spans="1:21" x14ac:dyDescent="0.35">
      <c r="A279" s="126">
        <f t="shared" si="11"/>
        <v>46298</v>
      </c>
      <c r="B279" s="118" t="str">
        <f t="shared" si="10"/>
        <v>out/26</v>
      </c>
      <c r="C279" s="115"/>
      <c r="D279" s="116"/>
      <c r="E279" s="118">
        <v>760</v>
      </c>
      <c r="F279" s="115"/>
      <c r="G279" s="116"/>
      <c r="H279" s="118">
        <v>800</v>
      </c>
      <c r="I279" s="115"/>
      <c r="J279" s="116"/>
      <c r="K279" s="9">
        <v>1851.851851851852</v>
      </c>
      <c r="L279" s="127"/>
      <c r="M279" s="117">
        <f>IFERROR(IF(WEEKDAY($A279)&lt;&gt;1,HLOOKUP($B279,'SERVIÇOS NOTÁVEIS'!$23:$32,10,FALSE)*1.39,0),0)</f>
        <v>5071.6363703703691</v>
      </c>
      <c r="O279" s="99"/>
      <c r="P279" s="10"/>
      <c r="R279" s="10"/>
      <c r="S279" s="10"/>
      <c r="U279" s="10"/>
    </row>
    <row r="280" spans="1:21" x14ac:dyDescent="0.35">
      <c r="A280" s="126">
        <f t="shared" si="11"/>
        <v>46299</v>
      </c>
      <c r="B280" s="118" t="str">
        <f t="shared" si="10"/>
        <v>out/26</v>
      </c>
      <c r="C280" s="115"/>
      <c r="D280" s="116"/>
      <c r="E280" s="118">
        <v>0</v>
      </c>
      <c r="F280" s="115"/>
      <c r="G280" s="116"/>
      <c r="H280" s="118">
        <v>0</v>
      </c>
      <c r="I280" s="115"/>
      <c r="J280" s="116"/>
      <c r="K280" s="9">
        <v>0</v>
      </c>
      <c r="L280" s="127"/>
      <c r="M280" s="117">
        <f>IFERROR(IF(WEEKDAY($A280)&lt;&gt;1,HLOOKUP($B280,'SERVIÇOS NOTÁVEIS'!$23:$32,10,FALSE)*1.39,0),0)</f>
        <v>0</v>
      </c>
      <c r="O280" s="99"/>
      <c r="P280" s="10"/>
      <c r="R280" s="10"/>
      <c r="S280" s="10"/>
      <c r="U280" s="10"/>
    </row>
    <row r="281" spans="1:21" x14ac:dyDescent="0.35">
      <c r="A281" s="126">
        <f t="shared" si="11"/>
        <v>46300</v>
      </c>
      <c r="B281" s="118" t="str">
        <f t="shared" si="10"/>
        <v>out/26</v>
      </c>
      <c r="C281" s="115"/>
      <c r="D281" s="116"/>
      <c r="E281" s="118">
        <v>760</v>
      </c>
      <c r="F281" s="115"/>
      <c r="G281" s="116"/>
      <c r="H281" s="118">
        <v>800</v>
      </c>
      <c r="I281" s="115"/>
      <c r="J281" s="116"/>
      <c r="K281" s="9">
        <v>1851.851851851852</v>
      </c>
      <c r="L281" s="127"/>
      <c r="M281" s="117">
        <f>IFERROR(IF(WEEKDAY($A281)&lt;&gt;1,HLOOKUP($B281,'SERVIÇOS NOTÁVEIS'!$23:$32,10,FALSE)*1.39,0),0)</f>
        <v>5071.6363703703691</v>
      </c>
      <c r="O281" s="99"/>
      <c r="P281" s="10"/>
      <c r="R281" s="10"/>
      <c r="S281" s="10"/>
      <c r="U281" s="10"/>
    </row>
    <row r="282" spans="1:21" x14ac:dyDescent="0.35">
      <c r="A282" s="126">
        <f t="shared" si="11"/>
        <v>46301</v>
      </c>
      <c r="B282" s="118" t="str">
        <f t="shared" si="10"/>
        <v>out/26</v>
      </c>
      <c r="C282" s="115"/>
      <c r="D282" s="116"/>
      <c r="E282" s="118">
        <v>760</v>
      </c>
      <c r="F282" s="115"/>
      <c r="G282" s="116"/>
      <c r="H282" s="118">
        <v>800</v>
      </c>
      <c r="I282" s="115"/>
      <c r="J282" s="116"/>
      <c r="K282" s="9">
        <v>1851.851851851852</v>
      </c>
      <c r="L282" s="127"/>
      <c r="M282" s="117">
        <f>IFERROR(IF(WEEKDAY($A282)&lt;&gt;1,HLOOKUP($B282,'SERVIÇOS NOTÁVEIS'!$23:$32,10,FALSE)*1.39,0),0)</f>
        <v>5071.6363703703691</v>
      </c>
      <c r="O282" s="99"/>
      <c r="P282" s="10"/>
      <c r="R282" s="10"/>
      <c r="S282" s="10"/>
      <c r="U282" s="10"/>
    </row>
    <row r="283" spans="1:21" x14ac:dyDescent="0.35">
      <c r="A283" s="126">
        <f t="shared" si="11"/>
        <v>46302</v>
      </c>
      <c r="B283" s="118" t="str">
        <f t="shared" si="10"/>
        <v>out/26</v>
      </c>
      <c r="C283" s="115"/>
      <c r="D283" s="116"/>
      <c r="E283" s="118">
        <v>760</v>
      </c>
      <c r="F283" s="115"/>
      <c r="G283" s="116"/>
      <c r="H283" s="118">
        <v>800</v>
      </c>
      <c r="I283" s="115"/>
      <c r="J283" s="116"/>
      <c r="K283" s="9">
        <v>1851.851851851852</v>
      </c>
      <c r="L283" s="127"/>
      <c r="M283" s="117">
        <f>IFERROR(IF(WEEKDAY($A283)&lt;&gt;1,HLOOKUP($B283,'SERVIÇOS NOTÁVEIS'!$23:$32,10,FALSE)*1.39,0),0)</f>
        <v>5071.6363703703691</v>
      </c>
      <c r="O283" s="99"/>
      <c r="P283" s="10"/>
      <c r="R283" s="10"/>
      <c r="S283" s="10"/>
      <c r="U283" s="10"/>
    </row>
    <row r="284" spans="1:21" x14ac:dyDescent="0.35">
      <c r="A284" s="126">
        <f t="shared" si="11"/>
        <v>46303</v>
      </c>
      <c r="B284" s="118" t="str">
        <f t="shared" si="10"/>
        <v>out/26</v>
      </c>
      <c r="C284" s="115"/>
      <c r="D284" s="116"/>
      <c r="E284" s="118">
        <v>760</v>
      </c>
      <c r="F284" s="115"/>
      <c r="G284" s="116"/>
      <c r="H284" s="118">
        <v>800</v>
      </c>
      <c r="I284" s="115"/>
      <c r="J284" s="116"/>
      <c r="K284" s="9">
        <v>1851.851851851852</v>
      </c>
      <c r="L284" s="127"/>
      <c r="M284" s="117">
        <f>IFERROR(IF(WEEKDAY($A284)&lt;&gt;1,HLOOKUP($B284,'SERVIÇOS NOTÁVEIS'!$23:$32,10,FALSE)*1.39,0),0)</f>
        <v>5071.6363703703691</v>
      </c>
      <c r="O284" s="99"/>
      <c r="P284" s="10"/>
      <c r="R284" s="10"/>
      <c r="S284" s="10"/>
      <c r="U284" s="10"/>
    </row>
    <row r="285" spans="1:21" x14ac:dyDescent="0.35">
      <c r="A285" s="126">
        <f t="shared" si="11"/>
        <v>46304</v>
      </c>
      <c r="B285" s="118" t="str">
        <f t="shared" si="10"/>
        <v>out/26</v>
      </c>
      <c r="C285" s="115"/>
      <c r="D285" s="116"/>
      <c r="E285" s="118">
        <v>760</v>
      </c>
      <c r="F285" s="115"/>
      <c r="G285" s="116"/>
      <c r="H285" s="118">
        <v>800</v>
      </c>
      <c r="I285" s="115"/>
      <c r="J285" s="116"/>
      <c r="K285" s="9">
        <v>1851.851851851852</v>
      </c>
      <c r="L285" s="127"/>
      <c r="M285" s="117">
        <f>IFERROR(IF(WEEKDAY($A285)&lt;&gt;1,HLOOKUP($B285,'SERVIÇOS NOTÁVEIS'!$23:$32,10,FALSE)*1.39,0),0)</f>
        <v>5071.6363703703691</v>
      </c>
      <c r="O285" s="99"/>
      <c r="P285" s="10"/>
      <c r="R285" s="10"/>
      <c r="S285" s="10"/>
      <c r="U285" s="10"/>
    </row>
    <row r="286" spans="1:21" x14ac:dyDescent="0.35">
      <c r="A286" s="126">
        <f t="shared" si="11"/>
        <v>46305</v>
      </c>
      <c r="B286" s="118" t="str">
        <f t="shared" si="10"/>
        <v>out/26</v>
      </c>
      <c r="C286" s="115"/>
      <c r="D286" s="116"/>
      <c r="E286" s="118">
        <v>760</v>
      </c>
      <c r="F286" s="115"/>
      <c r="G286" s="116"/>
      <c r="H286" s="118">
        <v>800</v>
      </c>
      <c r="I286" s="115"/>
      <c r="J286" s="116"/>
      <c r="K286" s="9">
        <v>1851.851851851852</v>
      </c>
      <c r="L286" s="127"/>
      <c r="M286" s="117">
        <f>IFERROR(IF(WEEKDAY($A286)&lt;&gt;1,HLOOKUP($B286,'SERVIÇOS NOTÁVEIS'!$23:$32,10,FALSE)*1.39,0),0)</f>
        <v>5071.6363703703691</v>
      </c>
      <c r="O286" s="99"/>
      <c r="P286" s="10"/>
      <c r="R286" s="10"/>
      <c r="S286" s="10"/>
      <c r="U286" s="10"/>
    </row>
    <row r="287" spans="1:21" x14ac:dyDescent="0.35">
      <c r="A287" s="126">
        <f t="shared" si="11"/>
        <v>46306</v>
      </c>
      <c r="B287" s="118" t="str">
        <f t="shared" si="10"/>
        <v>out/26</v>
      </c>
      <c r="C287" s="115"/>
      <c r="D287" s="116"/>
      <c r="E287" s="118">
        <v>0</v>
      </c>
      <c r="F287" s="115"/>
      <c r="G287" s="116"/>
      <c r="H287" s="118">
        <v>0</v>
      </c>
      <c r="I287" s="115"/>
      <c r="J287" s="116"/>
      <c r="K287" s="9">
        <v>0</v>
      </c>
      <c r="L287" s="127"/>
      <c r="M287" s="117">
        <f>IFERROR(IF(WEEKDAY($A287)&lt;&gt;1,HLOOKUP($B287,'SERVIÇOS NOTÁVEIS'!$23:$32,10,FALSE)*1.39,0),0)</f>
        <v>0</v>
      </c>
      <c r="O287" s="99"/>
      <c r="P287" s="10"/>
      <c r="R287" s="10"/>
      <c r="S287" s="10"/>
      <c r="U287" s="10"/>
    </row>
    <row r="288" spans="1:21" x14ac:dyDescent="0.35">
      <c r="A288" s="126">
        <f t="shared" si="11"/>
        <v>46307</v>
      </c>
      <c r="B288" s="118" t="str">
        <f t="shared" si="10"/>
        <v>out/26</v>
      </c>
      <c r="C288" s="115"/>
      <c r="D288" s="116"/>
      <c r="E288" s="118">
        <v>760</v>
      </c>
      <c r="F288" s="115"/>
      <c r="G288" s="116"/>
      <c r="H288" s="118">
        <v>800</v>
      </c>
      <c r="I288" s="115"/>
      <c r="J288" s="116"/>
      <c r="K288" s="9">
        <v>1851.851851851852</v>
      </c>
      <c r="L288" s="127"/>
      <c r="M288" s="117">
        <f>IFERROR(IF(WEEKDAY($A288)&lt;&gt;1,HLOOKUP($B288,'SERVIÇOS NOTÁVEIS'!$23:$32,10,FALSE)*1.39,0),0)</f>
        <v>5071.6363703703691</v>
      </c>
      <c r="O288" s="99"/>
      <c r="P288" s="10"/>
      <c r="R288" s="10"/>
      <c r="S288" s="10"/>
      <c r="U288" s="10"/>
    </row>
    <row r="289" spans="1:21" x14ac:dyDescent="0.35">
      <c r="A289" s="126">
        <f t="shared" si="11"/>
        <v>46308</v>
      </c>
      <c r="B289" s="118" t="str">
        <f t="shared" si="10"/>
        <v>out/26</v>
      </c>
      <c r="C289" s="115"/>
      <c r="D289" s="116"/>
      <c r="E289" s="118">
        <v>760</v>
      </c>
      <c r="F289" s="115"/>
      <c r="G289" s="116"/>
      <c r="H289" s="118">
        <v>800</v>
      </c>
      <c r="I289" s="115"/>
      <c r="J289" s="116"/>
      <c r="K289" s="9">
        <v>1851.851851851852</v>
      </c>
      <c r="L289" s="127"/>
      <c r="M289" s="117">
        <f>IFERROR(IF(WEEKDAY($A289)&lt;&gt;1,HLOOKUP($B289,'SERVIÇOS NOTÁVEIS'!$23:$32,10,FALSE)*1.39,0),0)</f>
        <v>5071.6363703703691</v>
      </c>
      <c r="O289" s="99"/>
      <c r="P289" s="10"/>
      <c r="R289" s="10"/>
      <c r="S289" s="10"/>
      <c r="U289" s="10"/>
    </row>
    <row r="290" spans="1:21" x14ac:dyDescent="0.35">
      <c r="A290" s="126">
        <f t="shared" si="11"/>
        <v>46309</v>
      </c>
      <c r="B290" s="118" t="str">
        <f t="shared" si="10"/>
        <v>out/26</v>
      </c>
      <c r="C290" s="115"/>
      <c r="D290" s="116"/>
      <c r="E290" s="118">
        <v>760</v>
      </c>
      <c r="F290" s="115"/>
      <c r="G290" s="116"/>
      <c r="H290" s="118">
        <v>800</v>
      </c>
      <c r="I290" s="115"/>
      <c r="J290" s="116"/>
      <c r="K290" s="9">
        <v>1851.851851851852</v>
      </c>
      <c r="L290" s="127"/>
      <c r="M290" s="117">
        <f>IFERROR(IF(WEEKDAY($A290)&lt;&gt;1,HLOOKUP($B290,'SERVIÇOS NOTÁVEIS'!$23:$32,10,FALSE)*1.39,0),0)</f>
        <v>5071.6363703703691</v>
      </c>
      <c r="O290" s="99"/>
      <c r="P290" s="10"/>
      <c r="R290" s="10"/>
      <c r="S290" s="10"/>
      <c r="U290" s="10"/>
    </row>
    <row r="291" spans="1:21" x14ac:dyDescent="0.35">
      <c r="A291" s="126">
        <f t="shared" si="11"/>
        <v>46310</v>
      </c>
      <c r="B291" s="118" t="str">
        <f t="shared" si="10"/>
        <v>out/26</v>
      </c>
      <c r="C291" s="115"/>
      <c r="D291" s="116"/>
      <c r="E291" s="118">
        <v>0</v>
      </c>
      <c r="F291" s="115"/>
      <c r="G291" s="116"/>
      <c r="H291" s="118">
        <v>800</v>
      </c>
      <c r="I291" s="115"/>
      <c r="J291" s="116"/>
      <c r="K291" s="9">
        <v>1851.851851851852</v>
      </c>
      <c r="L291" s="127"/>
      <c r="M291" s="117">
        <f>IFERROR(IF(WEEKDAY($A291)&lt;&gt;1,HLOOKUP($B291,'SERVIÇOS NOTÁVEIS'!$23:$32,10,FALSE)*1.39,0),0)</f>
        <v>5071.6363703703691</v>
      </c>
      <c r="O291" s="99"/>
      <c r="P291" s="10"/>
      <c r="R291" s="10"/>
      <c r="S291" s="10"/>
      <c r="U291" s="10"/>
    </row>
    <row r="292" spans="1:21" x14ac:dyDescent="0.35">
      <c r="A292" s="126">
        <f t="shared" si="11"/>
        <v>46311</v>
      </c>
      <c r="B292" s="118" t="str">
        <f t="shared" si="10"/>
        <v>out/26</v>
      </c>
      <c r="C292" s="115"/>
      <c r="D292" s="116"/>
      <c r="E292" s="118">
        <v>0</v>
      </c>
      <c r="F292" s="115"/>
      <c r="G292" s="116"/>
      <c r="H292" s="118">
        <v>800</v>
      </c>
      <c r="I292" s="115"/>
      <c r="J292" s="116"/>
      <c r="K292" s="9">
        <v>1851.851851851852</v>
      </c>
      <c r="L292" s="127"/>
      <c r="M292" s="117">
        <f>IFERROR(IF(WEEKDAY($A292)&lt;&gt;1,HLOOKUP($B292,'SERVIÇOS NOTÁVEIS'!$23:$32,10,FALSE)*1.39,0),0)</f>
        <v>5071.6363703703691</v>
      </c>
      <c r="O292" s="99"/>
      <c r="P292" s="10"/>
      <c r="R292" s="10"/>
      <c r="S292" s="10"/>
      <c r="U292" s="10"/>
    </row>
    <row r="293" spans="1:21" x14ac:dyDescent="0.35">
      <c r="A293" s="126">
        <f t="shared" si="11"/>
        <v>46312</v>
      </c>
      <c r="B293" s="118" t="str">
        <f t="shared" si="10"/>
        <v>out/26</v>
      </c>
      <c r="C293" s="115"/>
      <c r="D293" s="116"/>
      <c r="E293" s="118">
        <v>0</v>
      </c>
      <c r="F293" s="115"/>
      <c r="G293" s="116"/>
      <c r="H293" s="118">
        <v>800</v>
      </c>
      <c r="I293" s="115"/>
      <c r="J293" s="116"/>
      <c r="K293" s="9">
        <v>1851.851851851852</v>
      </c>
      <c r="L293" s="127"/>
      <c r="M293" s="117">
        <f>IFERROR(IF(WEEKDAY($A293)&lt;&gt;1,HLOOKUP($B293,'SERVIÇOS NOTÁVEIS'!$23:$32,10,FALSE)*1.39,0),0)</f>
        <v>5071.6363703703691</v>
      </c>
      <c r="O293" s="99"/>
      <c r="P293" s="10"/>
      <c r="R293" s="10"/>
      <c r="S293" s="10"/>
      <c r="U293" s="10"/>
    </row>
    <row r="294" spans="1:21" x14ac:dyDescent="0.35">
      <c r="A294" s="126">
        <f t="shared" si="11"/>
        <v>46313</v>
      </c>
      <c r="B294" s="118" t="str">
        <f t="shared" si="10"/>
        <v>out/26</v>
      </c>
      <c r="C294" s="115"/>
      <c r="D294" s="116"/>
      <c r="E294" s="118">
        <v>0</v>
      </c>
      <c r="F294" s="115"/>
      <c r="G294" s="116"/>
      <c r="H294" s="118">
        <v>0</v>
      </c>
      <c r="I294" s="115"/>
      <c r="J294" s="116"/>
      <c r="K294" s="9">
        <v>0</v>
      </c>
      <c r="L294" s="127"/>
      <c r="M294" s="117">
        <f>IFERROR(IF(WEEKDAY($A294)&lt;&gt;1,HLOOKUP($B294,'SERVIÇOS NOTÁVEIS'!$23:$32,10,FALSE)*1.39,0),0)</f>
        <v>0</v>
      </c>
      <c r="O294" s="99"/>
      <c r="P294" s="10"/>
      <c r="R294" s="10"/>
      <c r="S294" s="10"/>
      <c r="U294" s="10"/>
    </row>
    <row r="295" spans="1:21" x14ac:dyDescent="0.35">
      <c r="A295" s="126">
        <f t="shared" si="11"/>
        <v>46314</v>
      </c>
      <c r="B295" s="118" t="str">
        <f t="shared" si="10"/>
        <v>out/26</v>
      </c>
      <c r="C295" s="115"/>
      <c r="D295" s="116"/>
      <c r="E295" s="118">
        <v>0</v>
      </c>
      <c r="F295" s="115"/>
      <c r="G295" s="116"/>
      <c r="H295" s="118">
        <v>800</v>
      </c>
      <c r="I295" s="115"/>
      <c r="J295" s="116"/>
      <c r="K295" s="9">
        <v>1851.851851851852</v>
      </c>
      <c r="L295" s="127"/>
      <c r="M295" s="117">
        <f>IFERROR(IF(WEEKDAY($A295)&lt;&gt;1,HLOOKUP($B295,'SERVIÇOS NOTÁVEIS'!$23:$32,10,FALSE)*1.39,0),0)</f>
        <v>5071.6363703703691</v>
      </c>
      <c r="O295" s="99"/>
      <c r="P295" s="10"/>
      <c r="R295" s="10"/>
      <c r="S295" s="10"/>
      <c r="U295" s="10"/>
    </row>
    <row r="296" spans="1:21" x14ac:dyDescent="0.35">
      <c r="A296" s="126">
        <f t="shared" si="11"/>
        <v>46315</v>
      </c>
      <c r="B296" s="118" t="str">
        <f t="shared" si="10"/>
        <v>out/26</v>
      </c>
      <c r="C296" s="115"/>
      <c r="D296" s="116"/>
      <c r="E296" s="118">
        <v>0</v>
      </c>
      <c r="F296" s="115"/>
      <c r="G296" s="116"/>
      <c r="H296" s="118">
        <v>800</v>
      </c>
      <c r="I296" s="115"/>
      <c r="J296" s="116"/>
      <c r="K296" s="9">
        <v>1851.851851851852</v>
      </c>
      <c r="L296" s="127"/>
      <c r="M296" s="117">
        <f>IFERROR(IF(WEEKDAY($A296)&lt;&gt;1,HLOOKUP($B296,'SERVIÇOS NOTÁVEIS'!$23:$32,10,FALSE)*1.39,0),0)</f>
        <v>5071.6363703703691</v>
      </c>
      <c r="O296" s="99"/>
      <c r="P296" s="10"/>
      <c r="R296" s="10"/>
      <c r="S296" s="10"/>
      <c r="U296" s="10"/>
    </row>
    <row r="297" spans="1:21" x14ac:dyDescent="0.35">
      <c r="A297" s="126">
        <f t="shared" si="11"/>
        <v>46316</v>
      </c>
      <c r="B297" s="118" t="str">
        <f t="shared" si="10"/>
        <v>out/26</v>
      </c>
      <c r="C297" s="115"/>
      <c r="D297" s="116"/>
      <c r="E297" s="118">
        <v>0</v>
      </c>
      <c r="F297" s="115"/>
      <c r="G297" s="116"/>
      <c r="H297" s="118">
        <v>800</v>
      </c>
      <c r="I297" s="115"/>
      <c r="J297" s="116"/>
      <c r="K297" s="9">
        <v>1851.851851851852</v>
      </c>
      <c r="L297" s="127"/>
      <c r="M297" s="117">
        <f>IFERROR(IF(WEEKDAY($A297)&lt;&gt;1,HLOOKUP($B297,'SERVIÇOS NOTÁVEIS'!$23:$32,10,FALSE)*1.39,0),0)</f>
        <v>5071.6363703703691</v>
      </c>
      <c r="O297" s="99"/>
      <c r="P297" s="10"/>
      <c r="R297" s="10"/>
      <c r="S297" s="10"/>
      <c r="U297" s="10"/>
    </row>
    <row r="298" spans="1:21" x14ac:dyDescent="0.35">
      <c r="A298" s="126">
        <f t="shared" si="11"/>
        <v>46317</v>
      </c>
      <c r="B298" s="118" t="str">
        <f t="shared" si="10"/>
        <v>out/26</v>
      </c>
      <c r="C298" s="115"/>
      <c r="D298" s="116"/>
      <c r="E298" s="118">
        <v>0</v>
      </c>
      <c r="F298" s="115"/>
      <c r="G298" s="116"/>
      <c r="H298" s="118">
        <v>800</v>
      </c>
      <c r="I298" s="115"/>
      <c r="J298" s="116"/>
      <c r="K298" s="9">
        <v>1851.851851851852</v>
      </c>
      <c r="L298" s="127"/>
      <c r="M298" s="117">
        <f>IFERROR(IF(WEEKDAY($A298)&lt;&gt;1,HLOOKUP($B298,'SERVIÇOS NOTÁVEIS'!$23:$32,10,FALSE)*1.39,0),0)</f>
        <v>5071.6363703703691</v>
      </c>
      <c r="O298" s="99"/>
      <c r="P298" s="10"/>
      <c r="R298" s="10"/>
      <c r="S298" s="10"/>
      <c r="U298" s="10"/>
    </row>
    <row r="299" spans="1:21" x14ac:dyDescent="0.35">
      <c r="A299" s="126">
        <f t="shared" si="11"/>
        <v>46318</v>
      </c>
      <c r="B299" s="118" t="str">
        <f t="shared" si="10"/>
        <v>out/26</v>
      </c>
      <c r="C299" s="115"/>
      <c r="D299" s="116"/>
      <c r="E299" s="118">
        <v>0</v>
      </c>
      <c r="F299" s="115"/>
      <c r="G299" s="116"/>
      <c r="H299" s="118">
        <v>800</v>
      </c>
      <c r="I299" s="115"/>
      <c r="J299" s="116"/>
      <c r="K299" s="9">
        <v>1851.851851851852</v>
      </c>
      <c r="L299" s="127"/>
      <c r="M299" s="117">
        <f>IFERROR(IF(WEEKDAY($A299)&lt;&gt;1,HLOOKUP($B299,'SERVIÇOS NOTÁVEIS'!$23:$32,10,FALSE)*1.39,0),0)</f>
        <v>5071.6363703703691</v>
      </c>
      <c r="O299" s="99"/>
      <c r="P299" s="10"/>
      <c r="R299" s="10"/>
      <c r="S299" s="10"/>
      <c r="U299" s="10"/>
    </row>
    <row r="300" spans="1:21" x14ac:dyDescent="0.35">
      <c r="A300" s="126">
        <f t="shared" si="11"/>
        <v>46319</v>
      </c>
      <c r="B300" s="118" t="str">
        <f t="shared" si="10"/>
        <v>out/26</v>
      </c>
      <c r="C300" s="115"/>
      <c r="D300" s="116"/>
      <c r="E300" s="118">
        <v>0</v>
      </c>
      <c r="F300" s="115"/>
      <c r="G300" s="116"/>
      <c r="H300" s="118">
        <v>800</v>
      </c>
      <c r="I300" s="115"/>
      <c r="J300" s="116"/>
      <c r="K300" s="9">
        <v>1851.851851851852</v>
      </c>
      <c r="L300" s="127"/>
      <c r="M300" s="117">
        <f>IFERROR(IF(WEEKDAY($A300)&lt;&gt;1,HLOOKUP($B300,'SERVIÇOS NOTÁVEIS'!$23:$32,10,FALSE)*1.39,0),0)</f>
        <v>5071.6363703703691</v>
      </c>
      <c r="O300" s="99"/>
      <c r="P300" s="10"/>
      <c r="R300" s="10"/>
      <c r="S300" s="10"/>
      <c r="U300" s="10"/>
    </row>
    <row r="301" spans="1:21" x14ac:dyDescent="0.35">
      <c r="A301" s="126">
        <f t="shared" si="11"/>
        <v>46320</v>
      </c>
      <c r="B301" s="118" t="str">
        <f t="shared" si="10"/>
        <v>out/26</v>
      </c>
      <c r="C301" s="115"/>
      <c r="D301" s="116"/>
      <c r="E301" s="118">
        <v>0</v>
      </c>
      <c r="F301" s="115"/>
      <c r="G301" s="116"/>
      <c r="H301" s="118">
        <v>0</v>
      </c>
      <c r="I301" s="115"/>
      <c r="J301" s="116"/>
      <c r="K301" s="9">
        <v>0</v>
      </c>
      <c r="L301" s="127"/>
      <c r="M301" s="117">
        <f>IFERROR(IF(WEEKDAY($A301)&lt;&gt;1,HLOOKUP($B301,'SERVIÇOS NOTÁVEIS'!$23:$32,10,FALSE)*1.39,0),0)</f>
        <v>0</v>
      </c>
      <c r="O301" s="99"/>
      <c r="P301" s="10"/>
      <c r="R301" s="10"/>
      <c r="S301" s="10"/>
      <c r="U301" s="10"/>
    </row>
    <row r="302" spans="1:21" x14ac:dyDescent="0.35">
      <c r="A302" s="126">
        <f t="shared" si="11"/>
        <v>46321</v>
      </c>
      <c r="B302" s="118" t="str">
        <f t="shared" si="10"/>
        <v>out/26</v>
      </c>
      <c r="C302" s="115"/>
      <c r="D302" s="116"/>
      <c r="E302" s="118">
        <v>0</v>
      </c>
      <c r="F302" s="115"/>
      <c r="G302" s="116"/>
      <c r="H302" s="118">
        <v>800</v>
      </c>
      <c r="I302" s="115"/>
      <c r="J302" s="116"/>
      <c r="K302" s="9">
        <v>1851.851851851852</v>
      </c>
      <c r="L302" s="127"/>
      <c r="M302" s="117">
        <f>IFERROR(IF(WEEKDAY($A302)&lt;&gt;1,HLOOKUP($B302,'SERVIÇOS NOTÁVEIS'!$23:$32,10,FALSE)*1.39,0),0)</f>
        <v>5071.6363703703691</v>
      </c>
      <c r="O302" s="99"/>
      <c r="P302" s="10"/>
      <c r="R302" s="10"/>
      <c r="S302" s="10"/>
      <c r="U302" s="10"/>
    </row>
    <row r="303" spans="1:21" x14ac:dyDescent="0.35">
      <c r="A303" s="126">
        <f t="shared" si="11"/>
        <v>46322</v>
      </c>
      <c r="B303" s="118" t="str">
        <f t="shared" si="10"/>
        <v>out/26</v>
      </c>
      <c r="C303" s="115"/>
      <c r="D303" s="116"/>
      <c r="E303" s="118">
        <v>0</v>
      </c>
      <c r="F303" s="115"/>
      <c r="G303" s="116"/>
      <c r="H303" s="118">
        <v>800</v>
      </c>
      <c r="I303" s="115"/>
      <c r="J303" s="116"/>
      <c r="K303" s="9">
        <v>1851.851851851852</v>
      </c>
      <c r="L303" s="127"/>
      <c r="M303" s="117">
        <f>IFERROR(IF(WEEKDAY($A303)&lt;&gt;1,HLOOKUP($B303,'SERVIÇOS NOTÁVEIS'!$23:$32,10,FALSE)*1.39,0),0)</f>
        <v>5071.6363703703691</v>
      </c>
      <c r="O303" s="99"/>
      <c r="P303" s="10"/>
      <c r="R303" s="10"/>
      <c r="S303" s="10"/>
      <c r="U303" s="10"/>
    </row>
    <row r="304" spans="1:21" x14ac:dyDescent="0.35">
      <c r="A304" s="126">
        <f t="shared" si="11"/>
        <v>46323</v>
      </c>
      <c r="B304" s="118" t="str">
        <f t="shared" si="10"/>
        <v>out/26</v>
      </c>
      <c r="C304" s="115"/>
      <c r="D304" s="116"/>
      <c r="E304" s="118">
        <v>0</v>
      </c>
      <c r="F304" s="115"/>
      <c r="G304" s="116"/>
      <c r="H304" s="118">
        <v>800</v>
      </c>
      <c r="I304" s="115"/>
      <c r="J304" s="116"/>
      <c r="K304" s="9">
        <v>1851.851851851852</v>
      </c>
      <c r="L304" s="127"/>
      <c r="M304" s="117">
        <f>IFERROR(IF(WEEKDAY($A304)&lt;&gt;1,HLOOKUP($B304,'SERVIÇOS NOTÁVEIS'!$23:$32,10,FALSE)*1.39,0),0)</f>
        <v>5071.6363703703691</v>
      </c>
      <c r="O304" s="99"/>
      <c r="P304" s="10"/>
      <c r="R304" s="10"/>
      <c r="S304" s="10"/>
      <c r="U304" s="10"/>
    </row>
    <row r="305" spans="1:21" x14ac:dyDescent="0.35">
      <c r="A305" s="126">
        <f t="shared" si="11"/>
        <v>46324</v>
      </c>
      <c r="B305" s="118" t="str">
        <f t="shared" si="10"/>
        <v>out/26</v>
      </c>
      <c r="C305" s="115"/>
      <c r="D305" s="116"/>
      <c r="E305" s="118">
        <v>0</v>
      </c>
      <c r="F305" s="115"/>
      <c r="G305" s="116"/>
      <c r="H305" s="118">
        <v>800</v>
      </c>
      <c r="I305" s="115"/>
      <c r="J305" s="116"/>
      <c r="K305" s="9">
        <v>1851.851851851852</v>
      </c>
      <c r="L305" s="127"/>
      <c r="M305" s="117">
        <f>IFERROR(IF(WEEKDAY($A305)&lt;&gt;1,HLOOKUP($B305,'SERVIÇOS NOTÁVEIS'!$23:$32,10,FALSE)*1.39,0),0)</f>
        <v>5071.6363703703691</v>
      </c>
      <c r="O305" s="99"/>
      <c r="P305" s="10"/>
      <c r="R305" s="10"/>
      <c r="S305" s="10"/>
      <c r="U305" s="10"/>
    </row>
    <row r="306" spans="1:21" x14ac:dyDescent="0.35">
      <c r="A306" s="126">
        <f t="shared" si="11"/>
        <v>46325</v>
      </c>
      <c r="B306" s="118" t="str">
        <f t="shared" si="10"/>
        <v>out/26</v>
      </c>
      <c r="C306" s="115"/>
      <c r="D306" s="116"/>
      <c r="E306" s="118">
        <v>0</v>
      </c>
      <c r="F306" s="115"/>
      <c r="G306" s="116"/>
      <c r="H306" s="118">
        <v>800</v>
      </c>
      <c r="I306" s="115"/>
      <c r="J306" s="116"/>
      <c r="K306" s="9">
        <v>1851.851851851852</v>
      </c>
      <c r="L306" s="127"/>
      <c r="M306" s="117">
        <f>IFERROR(IF(WEEKDAY($A306)&lt;&gt;1,HLOOKUP($B306,'SERVIÇOS NOTÁVEIS'!$23:$32,10,FALSE)*1.39,0),0)</f>
        <v>5071.6363703703691</v>
      </c>
      <c r="O306" s="99"/>
      <c r="P306" s="10"/>
      <c r="R306" s="10"/>
      <c r="S306" s="10"/>
      <c r="U306" s="10"/>
    </row>
    <row r="307" spans="1:21" x14ac:dyDescent="0.35">
      <c r="A307" s="126">
        <f t="shared" si="11"/>
        <v>46326</v>
      </c>
      <c r="B307" s="118" t="str">
        <f t="shared" si="10"/>
        <v>out/26</v>
      </c>
      <c r="C307" s="115"/>
      <c r="D307" s="116"/>
      <c r="E307" s="118">
        <v>0</v>
      </c>
      <c r="F307" s="115"/>
      <c r="G307" s="116"/>
      <c r="H307" s="118">
        <v>800</v>
      </c>
      <c r="I307" s="115"/>
      <c r="J307" s="116"/>
      <c r="K307" s="9">
        <v>1851.851851851852</v>
      </c>
      <c r="L307" s="127"/>
      <c r="M307" s="117">
        <f>IFERROR(IF(WEEKDAY($A307)&lt;&gt;1,HLOOKUP($B307,'SERVIÇOS NOTÁVEIS'!$23:$32,10,FALSE)*1.39,0),0)</f>
        <v>5071.6363703703691</v>
      </c>
      <c r="O307" s="99"/>
      <c r="P307" s="10"/>
      <c r="R307" s="10"/>
      <c r="S307" s="10"/>
      <c r="U307" s="10"/>
    </row>
    <row r="308" spans="1:21" x14ac:dyDescent="0.35">
      <c r="A308" s="126">
        <f t="shared" si="11"/>
        <v>46327</v>
      </c>
      <c r="B308" s="118" t="str">
        <f t="shared" si="10"/>
        <v>nov/26</v>
      </c>
      <c r="C308" s="115"/>
      <c r="D308" s="116"/>
      <c r="E308" s="118">
        <v>0</v>
      </c>
      <c r="F308" s="115"/>
      <c r="G308" s="116"/>
      <c r="H308" s="118">
        <v>0</v>
      </c>
      <c r="I308" s="115"/>
      <c r="J308" s="116"/>
      <c r="K308" s="9">
        <v>0</v>
      </c>
      <c r="L308" s="127"/>
      <c r="M308" s="117">
        <f>IFERROR(IF(WEEKDAY($A308)&lt;&gt;1,HLOOKUP($B308,'SERVIÇOS NOTÁVEIS'!$23:$32,10,FALSE)*1.39,0),0)</f>
        <v>0</v>
      </c>
      <c r="O308" s="99"/>
      <c r="P308" s="10"/>
      <c r="R308" s="10"/>
      <c r="S308" s="10"/>
      <c r="U308" s="10"/>
    </row>
    <row r="309" spans="1:21" x14ac:dyDescent="0.35">
      <c r="A309" s="126">
        <f t="shared" si="11"/>
        <v>46328</v>
      </c>
      <c r="B309" s="118" t="str">
        <f t="shared" si="10"/>
        <v>nov/26</v>
      </c>
      <c r="C309" s="115"/>
      <c r="D309" s="116"/>
      <c r="E309" s="118">
        <v>0</v>
      </c>
      <c r="F309" s="115"/>
      <c r="G309" s="116"/>
      <c r="H309" s="118">
        <v>800</v>
      </c>
      <c r="I309" s="115"/>
      <c r="J309" s="116"/>
      <c r="K309" s="9">
        <v>2000</v>
      </c>
      <c r="L309" s="127"/>
      <c r="M309" s="117">
        <f>IFERROR(IF(WEEKDAY($A309)&lt;&gt;1,HLOOKUP($B309,'SERVIÇOS NOTÁVEIS'!$23:$32,10,FALSE)*1.39,0),0)</f>
        <v>2080.0071200000002</v>
      </c>
      <c r="O309" s="99"/>
      <c r="P309" s="10"/>
      <c r="R309" s="10"/>
      <c r="S309" s="10"/>
      <c r="U309" s="10"/>
    </row>
    <row r="310" spans="1:21" x14ac:dyDescent="0.35">
      <c r="A310" s="126">
        <f t="shared" si="11"/>
        <v>46329</v>
      </c>
      <c r="B310" s="118" t="str">
        <f t="shared" si="10"/>
        <v>nov/26</v>
      </c>
      <c r="C310" s="115"/>
      <c r="D310" s="116"/>
      <c r="E310" s="118">
        <v>0</v>
      </c>
      <c r="F310" s="115"/>
      <c r="G310" s="116"/>
      <c r="H310" s="118">
        <v>0</v>
      </c>
      <c r="I310" s="115"/>
      <c r="J310" s="116"/>
      <c r="K310" s="9">
        <v>2000</v>
      </c>
      <c r="L310" s="127"/>
      <c r="M310" s="117">
        <f>IFERROR(IF(WEEKDAY($A310)&lt;&gt;1,HLOOKUP($B310,'SERVIÇOS NOTÁVEIS'!$23:$32,10,FALSE)*1.39,0),0)</f>
        <v>2080.0071200000002</v>
      </c>
      <c r="O310" s="99"/>
      <c r="P310" s="10"/>
      <c r="R310" s="10"/>
      <c r="S310" s="10"/>
      <c r="U310" s="10"/>
    </row>
    <row r="311" spans="1:21" x14ac:dyDescent="0.35">
      <c r="A311" s="126">
        <f>A310+1</f>
        <v>46330</v>
      </c>
      <c r="B311" s="118" t="str">
        <f t="shared" si="10"/>
        <v>nov/26</v>
      </c>
      <c r="C311" s="115"/>
      <c r="D311" s="116"/>
      <c r="E311" s="118">
        <v>0</v>
      </c>
      <c r="F311" s="115"/>
      <c r="G311" s="116"/>
      <c r="H311" s="118">
        <v>0</v>
      </c>
      <c r="I311" s="115"/>
      <c r="J311" s="116"/>
      <c r="K311" s="9">
        <v>2000</v>
      </c>
      <c r="L311" s="127"/>
      <c r="M311" s="117">
        <f>IFERROR(IF(WEEKDAY($A311)&lt;&gt;1,HLOOKUP($B311,'SERVIÇOS NOTÁVEIS'!$23:$32,10,FALSE)*1.39,0),0)</f>
        <v>2080.0071200000002</v>
      </c>
      <c r="O311" s="99"/>
      <c r="P311" s="10"/>
      <c r="R311" s="10"/>
      <c r="S311" s="10"/>
      <c r="U311" s="10"/>
    </row>
    <row r="312" spans="1:21" x14ac:dyDescent="0.35">
      <c r="A312" s="126">
        <f t="shared" ref="A312:A375" si="12">A311+1</f>
        <v>46331</v>
      </c>
      <c r="B312" s="118" t="str">
        <f t="shared" si="10"/>
        <v>nov/26</v>
      </c>
      <c r="C312" s="115"/>
      <c r="D312" s="116"/>
      <c r="E312" s="118">
        <v>0</v>
      </c>
      <c r="F312" s="115"/>
      <c r="G312" s="116"/>
      <c r="H312" s="118">
        <v>0</v>
      </c>
      <c r="I312" s="115"/>
      <c r="J312" s="116"/>
      <c r="K312" s="9">
        <v>2000</v>
      </c>
      <c r="L312" s="127"/>
      <c r="M312" s="117">
        <f>IFERROR(IF(WEEKDAY($A312)&lt;&gt;1,HLOOKUP($B312,'SERVIÇOS NOTÁVEIS'!$23:$32,10,FALSE)*1.39,0),0)</f>
        <v>2080.0071200000002</v>
      </c>
      <c r="O312" s="99"/>
      <c r="P312" s="10"/>
      <c r="R312" s="10"/>
      <c r="S312" s="10"/>
      <c r="U312" s="10"/>
    </row>
    <row r="313" spans="1:21" x14ac:dyDescent="0.35">
      <c r="A313" s="126">
        <f t="shared" si="12"/>
        <v>46332</v>
      </c>
      <c r="B313" s="118" t="str">
        <f t="shared" si="10"/>
        <v>nov/26</v>
      </c>
      <c r="C313" s="115"/>
      <c r="D313" s="116"/>
      <c r="E313" s="118">
        <v>0</v>
      </c>
      <c r="F313" s="115"/>
      <c r="G313" s="116"/>
      <c r="H313" s="118">
        <v>0</v>
      </c>
      <c r="I313" s="115"/>
      <c r="J313" s="116"/>
      <c r="K313" s="9">
        <v>2000</v>
      </c>
      <c r="L313" s="127"/>
      <c r="M313" s="117">
        <f>IFERROR(IF(WEEKDAY($A313)&lt;&gt;1,HLOOKUP($B313,'SERVIÇOS NOTÁVEIS'!$23:$32,10,FALSE)*1.39,0),0)</f>
        <v>2080.0071200000002</v>
      </c>
      <c r="O313" s="99"/>
      <c r="P313" s="10"/>
      <c r="R313" s="10"/>
      <c r="S313" s="10"/>
      <c r="U313" s="10"/>
    </row>
    <row r="314" spans="1:21" x14ac:dyDescent="0.35">
      <c r="A314" s="126">
        <f t="shared" si="12"/>
        <v>46333</v>
      </c>
      <c r="B314" s="118" t="str">
        <f t="shared" si="10"/>
        <v>nov/26</v>
      </c>
      <c r="C314" s="115"/>
      <c r="D314" s="116"/>
      <c r="E314" s="118">
        <v>0</v>
      </c>
      <c r="F314" s="115"/>
      <c r="G314" s="116"/>
      <c r="H314" s="118">
        <v>0</v>
      </c>
      <c r="I314" s="115"/>
      <c r="J314" s="116"/>
      <c r="K314" s="9">
        <v>2000</v>
      </c>
      <c r="L314" s="127"/>
      <c r="M314" s="117">
        <f>IFERROR(IF(WEEKDAY($A314)&lt;&gt;1,HLOOKUP($B314,'SERVIÇOS NOTÁVEIS'!$23:$32,10,FALSE)*1.39,0),0)</f>
        <v>2080.0071200000002</v>
      </c>
      <c r="O314" s="99"/>
      <c r="P314" s="10"/>
      <c r="R314" s="10"/>
      <c r="S314" s="10"/>
      <c r="U314" s="10"/>
    </row>
    <row r="315" spans="1:21" x14ac:dyDescent="0.35">
      <c r="A315" s="126">
        <f t="shared" si="12"/>
        <v>46334</v>
      </c>
      <c r="B315" s="118" t="str">
        <f t="shared" si="10"/>
        <v>nov/26</v>
      </c>
      <c r="C315" s="115"/>
      <c r="D315" s="116"/>
      <c r="E315" s="118">
        <v>0</v>
      </c>
      <c r="F315" s="115"/>
      <c r="G315" s="116"/>
      <c r="H315" s="118">
        <v>0</v>
      </c>
      <c r="I315" s="115"/>
      <c r="J315" s="116"/>
      <c r="K315" s="9">
        <v>0</v>
      </c>
      <c r="L315" s="127"/>
      <c r="M315" s="117">
        <f>IFERROR(IF(WEEKDAY($A315)&lt;&gt;1,HLOOKUP($B315,'SERVIÇOS NOTÁVEIS'!$23:$32,10,FALSE)*1.39,0),0)</f>
        <v>0</v>
      </c>
      <c r="O315" s="99"/>
      <c r="P315" s="10"/>
      <c r="R315" s="10"/>
      <c r="S315" s="10"/>
      <c r="U315" s="10"/>
    </row>
    <row r="316" spans="1:21" x14ac:dyDescent="0.35">
      <c r="A316" s="126">
        <f t="shared" si="12"/>
        <v>46335</v>
      </c>
      <c r="B316" s="118" t="str">
        <f t="shared" si="10"/>
        <v>nov/26</v>
      </c>
      <c r="C316" s="115"/>
      <c r="D316" s="116"/>
      <c r="E316" s="118">
        <v>0</v>
      </c>
      <c r="F316" s="115"/>
      <c r="G316" s="116"/>
      <c r="H316" s="118">
        <v>0</v>
      </c>
      <c r="I316" s="115"/>
      <c r="J316" s="116"/>
      <c r="K316" s="9">
        <v>2000</v>
      </c>
      <c r="L316" s="127"/>
      <c r="M316" s="117">
        <f>IFERROR(IF(WEEKDAY($A316)&lt;&gt;1,HLOOKUP($B316,'SERVIÇOS NOTÁVEIS'!$23:$32,10,FALSE)*1.39,0),0)</f>
        <v>2080.0071200000002</v>
      </c>
      <c r="O316" s="99"/>
      <c r="P316" s="10"/>
      <c r="R316" s="10"/>
      <c r="S316" s="10"/>
      <c r="U316" s="10"/>
    </row>
    <row r="317" spans="1:21" x14ac:dyDescent="0.35">
      <c r="A317" s="126">
        <f t="shared" si="12"/>
        <v>46336</v>
      </c>
      <c r="B317" s="118" t="str">
        <f t="shared" si="10"/>
        <v>nov/26</v>
      </c>
      <c r="C317" s="115"/>
      <c r="D317" s="116"/>
      <c r="E317" s="118">
        <v>0</v>
      </c>
      <c r="F317" s="115"/>
      <c r="G317" s="116"/>
      <c r="H317" s="118">
        <v>0</v>
      </c>
      <c r="I317" s="115"/>
      <c r="J317" s="116"/>
      <c r="K317" s="9">
        <v>2000</v>
      </c>
      <c r="L317" s="127"/>
      <c r="M317" s="117">
        <f>IFERROR(IF(WEEKDAY($A317)&lt;&gt;1,HLOOKUP($B317,'SERVIÇOS NOTÁVEIS'!$23:$32,10,FALSE)*1.39,0),0)</f>
        <v>2080.0071200000002</v>
      </c>
      <c r="O317" s="99"/>
      <c r="P317" s="10"/>
      <c r="R317" s="10"/>
      <c r="S317" s="10"/>
      <c r="U317" s="10"/>
    </row>
    <row r="318" spans="1:21" x14ac:dyDescent="0.35">
      <c r="A318" s="126">
        <f t="shared" si="12"/>
        <v>46337</v>
      </c>
      <c r="B318" s="118" t="str">
        <f t="shared" si="10"/>
        <v>nov/26</v>
      </c>
      <c r="C318" s="115"/>
      <c r="D318" s="116"/>
      <c r="E318" s="118">
        <v>0</v>
      </c>
      <c r="F318" s="115"/>
      <c r="G318" s="116"/>
      <c r="H318" s="118">
        <v>0</v>
      </c>
      <c r="I318" s="115"/>
      <c r="J318" s="116"/>
      <c r="K318" s="9">
        <v>2000</v>
      </c>
      <c r="L318" s="127"/>
      <c r="M318" s="117">
        <f>IFERROR(IF(WEEKDAY($A318)&lt;&gt;1,HLOOKUP($B318,'SERVIÇOS NOTÁVEIS'!$23:$32,10,FALSE)*1.39,0),0)</f>
        <v>2080.0071200000002</v>
      </c>
      <c r="O318" s="99"/>
      <c r="P318" s="10"/>
      <c r="R318" s="10"/>
      <c r="S318" s="10"/>
      <c r="U318" s="10"/>
    </row>
    <row r="319" spans="1:21" x14ac:dyDescent="0.35">
      <c r="A319" s="126">
        <f t="shared" si="12"/>
        <v>46338</v>
      </c>
      <c r="B319" s="118" t="str">
        <f t="shared" si="10"/>
        <v>nov/26</v>
      </c>
      <c r="C319" s="115"/>
      <c r="D319" s="116"/>
      <c r="E319" s="118">
        <v>0</v>
      </c>
      <c r="F319" s="115"/>
      <c r="G319" s="116"/>
      <c r="H319" s="118">
        <v>0</v>
      </c>
      <c r="I319" s="115"/>
      <c r="J319" s="116"/>
      <c r="K319" s="9">
        <v>2000</v>
      </c>
      <c r="L319" s="127"/>
      <c r="M319" s="117">
        <f>IFERROR(IF(WEEKDAY($A319)&lt;&gt;1,HLOOKUP($B319,'SERVIÇOS NOTÁVEIS'!$23:$32,10,FALSE)*1.39,0),0)</f>
        <v>2080.0071200000002</v>
      </c>
      <c r="O319" s="99"/>
      <c r="P319" s="10"/>
      <c r="R319" s="10"/>
      <c r="S319" s="10"/>
      <c r="U319" s="10"/>
    </row>
    <row r="320" spans="1:21" x14ac:dyDescent="0.35">
      <c r="A320" s="126">
        <f t="shared" si="12"/>
        <v>46339</v>
      </c>
      <c r="B320" s="118" t="str">
        <f t="shared" si="10"/>
        <v>nov/26</v>
      </c>
      <c r="C320" s="115"/>
      <c r="D320" s="116"/>
      <c r="E320" s="118">
        <v>0</v>
      </c>
      <c r="F320" s="115"/>
      <c r="G320" s="116"/>
      <c r="H320" s="118">
        <v>0</v>
      </c>
      <c r="I320" s="115"/>
      <c r="J320" s="116"/>
      <c r="K320" s="9">
        <v>2000</v>
      </c>
      <c r="L320" s="127"/>
      <c r="M320" s="117">
        <f>IFERROR(IF(WEEKDAY($A320)&lt;&gt;1,HLOOKUP($B320,'SERVIÇOS NOTÁVEIS'!$23:$32,10,FALSE)*1.39,0),0)</f>
        <v>2080.0071200000002</v>
      </c>
      <c r="O320" s="99"/>
      <c r="P320" s="10"/>
      <c r="R320" s="10"/>
      <c r="S320" s="10"/>
      <c r="U320" s="10"/>
    </row>
    <row r="321" spans="1:21" x14ac:dyDescent="0.35">
      <c r="A321" s="126">
        <f t="shared" si="12"/>
        <v>46340</v>
      </c>
      <c r="B321" s="118" t="str">
        <f t="shared" si="10"/>
        <v>nov/26</v>
      </c>
      <c r="C321" s="115"/>
      <c r="D321" s="116"/>
      <c r="E321" s="118">
        <v>0</v>
      </c>
      <c r="F321" s="115"/>
      <c r="G321" s="116"/>
      <c r="H321" s="118">
        <v>0</v>
      </c>
      <c r="I321" s="115"/>
      <c r="J321" s="116"/>
      <c r="K321" s="9">
        <v>2000</v>
      </c>
      <c r="L321" s="127"/>
      <c r="M321" s="117">
        <f>IFERROR(IF(WEEKDAY($A321)&lt;&gt;1,HLOOKUP($B321,'SERVIÇOS NOTÁVEIS'!$23:$32,10,FALSE)*1.39,0),0)</f>
        <v>2080.0071200000002</v>
      </c>
      <c r="O321" s="99"/>
      <c r="P321" s="10"/>
      <c r="R321" s="10"/>
      <c r="S321" s="10"/>
      <c r="U321" s="10"/>
    </row>
    <row r="322" spans="1:21" x14ac:dyDescent="0.35">
      <c r="A322" s="126">
        <f t="shared" si="12"/>
        <v>46341</v>
      </c>
      <c r="B322" s="118" t="str">
        <f t="shared" si="10"/>
        <v>nov/26</v>
      </c>
      <c r="C322" s="115"/>
      <c r="D322" s="116"/>
      <c r="E322" s="118">
        <v>0</v>
      </c>
      <c r="F322" s="115"/>
      <c r="G322" s="116"/>
      <c r="H322" s="118">
        <v>0</v>
      </c>
      <c r="I322" s="115"/>
      <c r="J322" s="116"/>
      <c r="K322" s="9">
        <v>0</v>
      </c>
      <c r="L322" s="127"/>
      <c r="M322" s="117">
        <f>IFERROR(IF(WEEKDAY($A322)&lt;&gt;1,HLOOKUP($B322,'SERVIÇOS NOTÁVEIS'!$23:$32,10,FALSE)*1.39,0),0)</f>
        <v>0</v>
      </c>
      <c r="O322" s="99"/>
      <c r="P322" s="10"/>
      <c r="R322" s="10"/>
      <c r="S322" s="10"/>
      <c r="U322" s="10"/>
    </row>
    <row r="323" spans="1:21" x14ac:dyDescent="0.35">
      <c r="A323" s="126">
        <f t="shared" si="12"/>
        <v>46342</v>
      </c>
      <c r="B323" s="118" t="str">
        <f t="shared" si="10"/>
        <v>nov/26</v>
      </c>
      <c r="C323" s="115"/>
      <c r="D323" s="116"/>
      <c r="E323" s="118">
        <v>0</v>
      </c>
      <c r="F323" s="115"/>
      <c r="G323" s="116"/>
      <c r="H323" s="118">
        <v>0</v>
      </c>
      <c r="I323" s="115"/>
      <c r="J323" s="116"/>
      <c r="K323" s="9">
        <v>2000</v>
      </c>
      <c r="L323" s="127"/>
      <c r="M323" s="117">
        <f>IFERROR(IF(WEEKDAY($A323)&lt;&gt;1,HLOOKUP($B323,'SERVIÇOS NOTÁVEIS'!$23:$32,10,FALSE)*1.39,0),0)</f>
        <v>2080.0071200000002</v>
      </c>
      <c r="O323" s="99"/>
      <c r="P323" s="10"/>
      <c r="R323" s="10"/>
      <c r="S323" s="10"/>
      <c r="U323" s="10"/>
    </row>
    <row r="324" spans="1:21" x14ac:dyDescent="0.35">
      <c r="A324" s="126">
        <f t="shared" si="12"/>
        <v>46343</v>
      </c>
      <c r="B324" s="118" t="str">
        <f t="shared" si="10"/>
        <v>nov/26</v>
      </c>
      <c r="C324" s="115"/>
      <c r="D324" s="116"/>
      <c r="E324" s="118">
        <v>0</v>
      </c>
      <c r="F324" s="115"/>
      <c r="G324" s="116"/>
      <c r="H324" s="118">
        <v>0</v>
      </c>
      <c r="I324" s="115"/>
      <c r="J324" s="116"/>
      <c r="K324" s="9">
        <v>2000</v>
      </c>
      <c r="L324" s="127"/>
      <c r="M324" s="117">
        <f>IFERROR(IF(WEEKDAY($A324)&lt;&gt;1,HLOOKUP($B324,'SERVIÇOS NOTÁVEIS'!$23:$32,10,FALSE)*1.39,0),0)</f>
        <v>2080.0071200000002</v>
      </c>
      <c r="O324" s="99"/>
      <c r="P324" s="10"/>
      <c r="R324" s="10"/>
      <c r="S324" s="10"/>
      <c r="U324" s="10"/>
    </row>
    <row r="325" spans="1:21" x14ac:dyDescent="0.35">
      <c r="A325" s="126">
        <f t="shared" si="12"/>
        <v>46344</v>
      </c>
      <c r="B325" s="118" t="str">
        <f t="shared" ref="B325:B388" si="13">TEXT(A325,"MMM/AA")</f>
        <v>nov/26</v>
      </c>
      <c r="C325" s="115"/>
      <c r="D325" s="116"/>
      <c r="E325" s="118">
        <v>0</v>
      </c>
      <c r="F325" s="115"/>
      <c r="G325" s="116"/>
      <c r="H325" s="118">
        <v>0</v>
      </c>
      <c r="I325" s="115"/>
      <c r="J325" s="116"/>
      <c r="K325" s="9">
        <v>2000</v>
      </c>
      <c r="L325" s="127"/>
      <c r="M325" s="117">
        <f>IFERROR(IF(WEEKDAY($A325)&lt;&gt;1,HLOOKUP($B325,'SERVIÇOS NOTÁVEIS'!$23:$32,10,FALSE)*1.39,0),0)</f>
        <v>2080.0071200000002</v>
      </c>
      <c r="O325" s="99"/>
      <c r="P325" s="10"/>
      <c r="R325" s="10"/>
      <c r="S325" s="10"/>
      <c r="U325" s="10"/>
    </row>
    <row r="326" spans="1:21" x14ac:dyDescent="0.35">
      <c r="A326" s="126">
        <f t="shared" si="12"/>
        <v>46345</v>
      </c>
      <c r="B326" s="118" t="str">
        <f t="shared" si="13"/>
        <v>nov/26</v>
      </c>
      <c r="C326" s="115"/>
      <c r="D326" s="116"/>
      <c r="E326" s="118">
        <v>0</v>
      </c>
      <c r="F326" s="115"/>
      <c r="G326" s="116"/>
      <c r="H326" s="118">
        <v>0</v>
      </c>
      <c r="I326" s="115"/>
      <c r="J326" s="116"/>
      <c r="K326" s="9">
        <v>2000</v>
      </c>
      <c r="L326" s="127"/>
      <c r="M326" s="117">
        <f>IFERROR(IF(WEEKDAY($A326)&lt;&gt;1,HLOOKUP($B326,'SERVIÇOS NOTÁVEIS'!$23:$32,10,FALSE)*1.39,0),0)</f>
        <v>2080.0071200000002</v>
      </c>
      <c r="O326" s="99"/>
      <c r="P326" s="10"/>
      <c r="R326" s="10"/>
      <c r="S326" s="10"/>
      <c r="U326" s="10"/>
    </row>
    <row r="327" spans="1:21" x14ac:dyDescent="0.35">
      <c r="A327" s="126">
        <f t="shared" si="12"/>
        <v>46346</v>
      </c>
      <c r="B327" s="118" t="str">
        <f t="shared" si="13"/>
        <v>nov/26</v>
      </c>
      <c r="C327" s="115"/>
      <c r="D327" s="116"/>
      <c r="E327" s="118">
        <v>0</v>
      </c>
      <c r="F327" s="115"/>
      <c r="G327" s="116"/>
      <c r="H327" s="118">
        <v>0</v>
      </c>
      <c r="I327" s="115"/>
      <c r="J327" s="116"/>
      <c r="K327" s="9">
        <v>2000</v>
      </c>
      <c r="L327" s="127"/>
      <c r="M327" s="117">
        <f>IFERROR(IF(WEEKDAY($A327)&lt;&gt;1,HLOOKUP($B327,'SERVIÇOS NOTÁVEIS'!$23:$32,10,FALSE)*1.39,0),0)</f>
        <v>2080.0071200000002</v>
      </c>
      <c r="O327" s="99"/>
      <c r="P327" s="10"/>
      <c r="R327" s="10"/>
      <c r="S327" s="10"/>
      <c r="U327" s="10"/>
    </row>
    <row r="328" spans="1:21" x14ac:dyDescent="0.35">
      <c r="A328" s="126">
        <f t="shared" si="12"/>
        <v>46347</v>
      </c>
      <c r="B328" s="118" t="str">
        <f t="shared" si="13"/>
        <v>nov/26</v>
      </c>
      <c r="C328" s="115"/>
      <c r="D328" s="116"/>
      <c r="E328" s="118">
        <v>0</v>
      </c>
      <c r="F328" s="115"/>
      <c r="G328" s="116"/>
      <c r="H328" s="118">
        <v>0</v>
      </c>
      <c r="I328" s="115"/>
      <c r="J328" s="116"/>
      <c r="K328" s="9">
        <v>2000</v>
      </c>
      <c r="L328" s="127"/>
      <c r="M328" s="117">
        <f>IFERROR(IF(WEEKDAY($A328)&lt;&gt;1,HLOOKUP($B328,'SERVIÇOS NOTÁVEIS'!$23:$32,10,FALSE)*1.39,0),0)</f>
        <v>2080.0071200000002</v>
      </c>
      <c r="O328" s="99"/>
      <c r="P328" s="10"/>
      <c r="R328" s="10"/>
      <c r="S328" s="10"/>
      <c r="U328" s="10"/>
    </row>
    <row r="329" spans="1:21" x14ac:dyDescent="0.35">
      <c r="A329" s="126">
        <f t="shared" si="12"/>
        <v>46348</v>
      </c>
      <c r="B329" s="118" t="str">
        <f t="shared" si="13"/>
        <v>nov/26</v>
      </c>
      <c r="C329" s="115"/>
      <c r="D329" s="116"/>
      <c r="E329" s="118">
        <v>0</v>
      </c>
      <c r="F329" s="115"/>
      <c r="G329" s="116"/>
      <c r="H329" s="118">
        <v>0</v>
      </c>
      <c r="I329" s="115"/>
      <c r="J329" s="116"/>
      <c r="K329" s="9">
        <v>0</v>
      </c>
      <c r="L329" s="127"/>
      <c r="M329" s="117">
        <f>IFERROR(IF(WEEKDAY($A329)&lt;&gt;1,HLOOKUP($B329,'SERVIÇOS NOTÁVEIS'!$23:$32,10,FALSE)*1.39,0),0)</f>
        <v>0</v>
      </c>
      <c r="O329" s="99"/>
      <c r="P329" s="10"/>
      <c r="R329" s="10"/>
      <c r="S329" s="10"/>
      <c r="U329" s="10"/>
    </row>
    <row r="330" spans="1:21" x14ac:dyDescent="0.35">
      <c r="A330" s="126">
        <f t="shared" si="12"/>
        <v>46349</v>
      </c>
      <c r="B330" s="118" t="str">
        <f t="shared" si="13"/>
        <v>nov/26</v>
      </c>
      <c r="C330" s="115"/>
      <c r="D330" s="116"/>
      <c r="E330" s="118">
        <v>0</v>
      </c>
      <c r="F330" s="115"/>
      <c r="G330" s="116"/>
      <c r="H330" s="118">
        <v>0</v>
      </c>
      <c r="I330" s="115"/>
      <c r="J330" s="116"/>
      <c r="K330" s="9">
        <v>2000</v>
      </c>
      <c r="L330" s="127"/>
      <c r="M330" s="117">
        <f>IFERROR(IF(WEEKDAY($A330)&lt;&gt;1,HLOOKUP($B330,'SERVIÇOS NOTÁVEIS'!$23:$32,10,FALSE)*1.39,0),0)</f>
        <v>2080.0071200000002</v>
      </c>
      <c r="O330" s="99"/>
      <c r="P330" s="10"/>
      <c r="R330" s="10"/>
      <c r="S330" s="10"/>
      <c r="U330" s="10"/>
    </row>
    <row r="331" spans="1:21" x14ac:dyDescent="0.35">
      <c r="A331" s="126">
        <f t="shared" si="12"/>
        <v>46350</v>
      </c>
      <c r="B331" s="118" t="str">
        <f t="shared" si="13"/>
        <v>nov/26</v>
      </c>
      <c r="C331" s="115"/>
      <c r="D331" s="116"/>
      <c r="E331" s="118">
        <v>0</v>
      </c>
      <c r="F331" s="115"/>
      <c r="G331" s="116"/>
      <c r="H331" s="118">
        <v>0</v>
      </c>
      <c r="I331" s="115"/>
      <c r="J331" s="116"/>
      <c r="K331" s="9">
        <v>2000</v>
      </c>
      <c r="L331" s="127"/>
      <c r="M331" s="117">
        <f>IFERROR(IF(WEEKDAY($A331)&lt;&gt;1,HLOOKUP($B331,'SERVIÇOS NOTÁVEIS'!$23:$32,10,FALSE)*1.39,0),0)</f>
        <v>2080.0071200000002</v>
      </c>
      <c r="O331" s="99"/>
      <c r="P331" s="10"/>
      <c r="R331" s="10"/>
      <c r="S331" s="10"/>
      <c r="U331" s="10"/>
    </row>
    <row r="332" spans="1:21" x14ac:dyDescent="0.35">
      <c r="A332" s="126">
        <f t="shared" si="12"/>
        <v>46351</v>
      </c>
      <c r="B332" s="118" t="str">
        <f t="shared" si="13"/>
        <v>nov/26</v>
      </c>
      <c r="C332" s="115"/>
      <c r="D332" s="116"/>
      <c r="E332" s="118">
        <v>0</v>
      </c>
      <c r="F332" s="115"/>
      <c r="G332" s="116"/>
      <c r="H332" s="118">
        <v>0</v>
      </c>
      <c r="I332" s="115"/>
      <c r="J332" s="116"/>
      <c r="K332" s="9">
        <v>2000</v>
      </c>
      <c r="L332" s="127"/>
      <c r="M332" s="117">
        <f>IFERROR(IF(WEEKDAY($A332)&lt;&gt;1,HLOOKUP($B332,'SERVIÇOS NOTÁVEIS'!$23:$32,10,FALSE)*1.39,0),0)</f>
        <v>2080.0071200000002</v>
      </c>
      <c r="O332" s="99"/>
      <c r="P332" s="10"/>
      <c r="R332" s="10"/>
      <c r="S332" s="10"/>
      <c r="U332" s="10"/>
    </row>
    <row r="333" spans="1:21" x14ac:dyDescent="0.35">
      <c r="A333" s="126">
        <f t="shared" si="12"/>
        <v>46352</v>
      </c>
      <c r="B333" s="118" t="str">
        <f t="shared" si="13"/>
        <v>nov/26</v>
      </c>
      <c r="C333" s="115"/>
      <c r="D333" s="116"/>
      <c r="E333" s="118">
        <v>0</v>
      </c>
      <c r="F333" s="115"/>
      <c r="G333" s="116"/>
      <c r="H333" s="118">
        <v>0</v>
      </c>
      <c r="I333" s="115"/>
      <c r="J333" s="116"/>
      <c r="K333" s="9">
        <v>2000</v>
      </c>
      <c r="L333" s="127"/>
      <c r="M333" s="117">
        <f>IFERROR(IF(WEEKDAY($A333)&lt;&gt;1,HLOOKUP($B333,'SERVIÇOS NOTÁVEIS'!$23:$32,10,FALSE)*1.39,0),0)</f>
        <v>2080.0071200000002</v>
      </c>
      <c r="O333" s="99"/>
      <c r="P333" s="10"/>
      <c r="R333" s="10"/>
      <c r="S333" s="10"/>
      <c r="U333" s="10"/>
    </row>
    <row r="334" spans="1:21" x14ac:dyDescent="0.35">
      <c r="A334" s="126">
        <f t="shared" si="12"/>
        <v>46353</v>
      </c>
      <c r="B334" s="118" t="str">
        <f t="shared" si="13"/>
        <v>nov/26</v>
      </c>
      <c r="C334" s="115"/>
      <c r="D334" s="116"/>
      <c r="E334" s="118">
        <v>0</v>
      </c>
      <c r="F334" s="115"/>
      <c r="G334" s="116"/>
      <c r="H334" s="118">
        <v>0</v>
      </c>
      <c r="I334" s="115"/>
      <c r="J334" s="116"/>
      <c r="K334" s="9">
        <v>2000</v>
      </c>
      <c r="L334" s="127"/>
      <c r="M334" s="117">
        <f>IFERROR(IF(WEEKDAY($A334)&lt;&gt;1,HLOOKUP($B334,'SERVIÇOS NOTÁVEIS'!$23:$32,10,FALSE)*1.39,0),0)</f>
        <v>2080.0071200000002</v>
      </c>
      <c r="O334" s="99"/>
      <c r="P334" s="10"/>
      <c r="R334" s="10"/>
      <c r="S334" s="10"/>
      <c r="U334" s="10"/>
    </row>
    <row r="335" spans="1:21" x14ac:dyDescent="0.35">
      <c r="A335" s="126">
        <f t="shared" si="12"/>
        <v>46354</v>
      </c>
      <c r="B335" s="118" t="str">
        <f t="shared" si="13"/>
        <v>nov/26</v>
      </c>
      <c r="C335" s="115"/>
      <c r="D335" s="116"/>
      <c r="E335" s="118">
        <v>0</v>
      </c>
      <c r="F335" s="115"/>
      <c r="G335" s="116"/>
      <c r="H335" s="118">
        <v>0</v>
      </c>
      <c r="I335" s="115"/>
      <c r="J335" s="116"/>
      <c r="K335" s="9">
        <v>2000</v>
      </c>
      <c r="L335" s="127"/>
      <c r="M335" s="117">
        <f>IFERROR(IF(WEEKDAY($A335)&lt;&gt;1,HLOOKUP($B335,'SERVIÇOS NOTÁVEIS'!$23:$32,10,FALSE)*1.39,0),0)</f>
        <v>2080.0071200000002</v>
      </c>
      <c r="O335" s="99"/>
      <c r="P335" s="10"/>
      <c r="R335" s="10"/>
      <c r="S335" s="10"/>
      <c r="U335" s="10"/>
    </row>
    <row r="336" spans="1:21" x14ac:dyDescent="0.35">
      <c r="A336" s="126">
        <f t="shared" si="12"/>
        <v>46355</v>
      </c>
      <c r="B336" s="118" t="str">
        <f t="shared" si="13"/>
        <v>nov/26</v>
      </c>
      <c r="C336" s="115"/>
      <c r="D336" s="116"/>
      <c r="E336" s="118">
        <v>0</v>
      </c>
      <c r="F336" s="115"/>
      <c r="G336" s="116"/>
      <c r="H336" s="118">
        <v>0</v>
      </c>
      <c r="I336" s="115"/>
      <c r="J336" s="116"/>
      <c r="K336" s="9">
        <v>0</v>
      </c>
      <c r="L336" s="127"/>
      <c r="M336" s="117">
        <f>IFERROR(IF(WEEKDAY($A336)&lt;&gt;1,HLOOKUP($B336,'SERVIÇOS NOTÁVEIS'!$23:$32,10,FALSE)*1.39,0),0)</f>
        <v>0</v>
      </c>
      <c r="O336" s="99"/>
      <c r="P336" s="10"/>
      <c r="R336" s="10"/>
      <c r="S336" s="10"/>
      <c r="U336" s="10"/>
    </row>
    <row r="337" spans="1:21" x14ac:dyDescent="0.35">
      <c r="A337" s="126">
        <f t="shared" si="12"/>
        <v>46356</v>
      </c>
      <c r="B337" s="118" t="str">
        <f t="shared" si="13"/>
        <v>nov/26</v>
      </c>
      <c r="C337" s="115"/>
      <c r="D337" s="116"/>
      <c r="E337" s="118">
        <v>0</v>
      </c>
      <c r="F337" s="115"/>
      <c r="G337" s="116"/>
      <c r="H337" s="118">
        <v>0</v>
      </c>
      <c r="I337" s="115"/>
      <c r="J337" s="116"/>
      <c r="K337" s="9">
        <v>2000</v>
      </c>
      <c r="L337" s="127"/>
      <c r="M337" s="117">
        <f>IFERROR(IF(WEEKDAY($A337)&lt;&gt;1,HLOOKUP($B337,'SERVIÇOS NOTÁVEIS'!$23:$32,10,FALSE)*1.39,0),0)</f>
        <v>2080.0071200000002</v>
      </c>
      <c r="O337" s="99"/>
      <c r="P337" s="10"/>
      <c r="R337" s="10"/>
      <c r="S337" s="10"/>
      <c r="U337" s="10"/>
    </row>
    <row r="338" spans="1:21" x14ac:dyDescent="0.35">
      <c r="A338" s="126">
        <f t="shared" si="12"/>
        <v>46357</v>
      </c>
      <c r="B338" s="118" t="str">
        <f t="shared" si="13"/>
        <v>dez/26</v>
      </c>
      <c r="C338" s="115"/>
      <c r="D338" s="116"/>
      <c r="E338" s="118">
        <v>0</v>
      </c>
      <c r="F338" s="115"/>
      <c r="G338" s="116"/>
      <c r="H338" s="118">
        <v>0</v>
      </c>
      <c r="I338" s="115"/>
      <c r="J338" s="116"/>
      <c r="K338" s="9">
        <v>1851.851851851852</v>
      </c>
      <c r="L338" s="127"/>
      <c r="M338" s="117">
        <f>IFERROR(IF(WEEKDAY($A338)&lt;&gt;1,HLOOKUP($B338,'SERVIÇOS NOTÁVEIS'!$23:$32,10,FALSE)*1.39,0),0)</f>
        <v>1270.149294117648</v>
      </c>
      <c r="O338" s="99"/>
      <c r="P338" s="10"/>
      <c r="R338" s="10"/>
      <c r="S338" s="10"/>
      <c r="U338" s="10"/>
    </row>
    <row r="339" spans="1:21" x14ac:dyDescent="0.35">
      <c r="A339" s="126">
        <f t="shared" si="12"/>
        <v>46358</v>
      </c>
      <c r="B339" s="118" t="str">
        <f t="shared" si="13"/>
        <v>dez/26</v>
      </c>
      <c r="C339" s="115"/>
      <c r="D339" s="116"/>
      <c r="E339" s="118">
        <v>0</v>
      </c>
      <c r="F339" s="115"/>
      <c r="G339" s="116"/>
      <c r="H339" s="118">
        <v>0</v>
      </c>
      <c r="I339" s="115"/>
      <c r="J339" s="116"/>
      <c r="K339" s="9">
        <v>1851.851851851852</v>
      </c>
      <c r="L339" s="127"/>
      <c r="M339" s="117">
        <f>IFERROR(IF(WEEKDAY($A339)&lt;&gt;1,HLOOKUP($B339,'SERVIÇOS NOTÁVEIS'!$23:$32,10,FALSE)*1.39,0),0)</f>
        <v>1270.149294117648</v>
      </c>
      <c r="O339" s="99"/>
      <c r="P339" s="10"/>
      <c r="R339" s="10"/>
      <c r="S339" s="10"/>
      <c r="U339" s="10"/>
    </row>
    <row r="340" spans="1:21" x14ac:dyDescent="0.35">
      <c r="A340" s="126">
        <f t="shared" si="12"/>
        <v>46359</v>
      </c>
      <c r="B340" s="118" t="str">
        <f t="shared" si="13"/>
        <v>dez/26</v>
      </c>
      <c r="C340" s="115"/>
      <c r="D340" s="116"/>
      <c r="E340" s="118">
        <v>0</v>
      </c>
      <c r="F340" s="115"/>
      <c r="G340" s="116"/>
      <c r="H340" s="118">
        <v>0</v>
      </c>
      <c r="I340" s="115"/>
      <c r="J340" s="116"/>
      <c r="K340" s="9">
        <v>1851.851851851852</v>
      </c>
      <c r="L340" s="127"/>
      <c r="M340" s="117">
        <f>IFERROR(IF(WEEKDAY($A340)&lt;&gt;1,HLOOKUP($B340,'SERVIÇOS NOTÁVEIS'!$23:$32,10,FALSE)*1.39,0),0)</f>
        <v>1270.149294117648</v>
      </c>
      <c r="O340" s="99"/>
      <c r="P340" s="10"/>
      <c r="R340" s="10"/>
      <c r="S340" s="10"/>
      <c r="U340" s="10"/>
    </row>
    <row r="341" spans="1:21" x14ac:dyDescent="0.35">
      <c r="A341" s="126">
        <f t="shared" si="12"/>
        <v>46360</v>
      </c>
      <c r="B341" s="118" t="str">
        <f t="shared" si="13"/>
        <v>dez/26</v>
      </c>
      <c r="C341" s="115"/>
      <c r="D341" s="116"/>
      <c r="E341" s="118">
        <v>0</v>
      </c>
      <c r="F341" s="115"/>
      <c r="G341" s="116"/>
      <c r="H341" s="118">
        <v>0</v>
      </c>
      <c r="I341" s="115"/>
      <c r="J341" s="116"/>
      <c r="K341" s="9">
        <v>1851.851851851852</v>
      </c>
      <c r="L341" s="127"/>
      <c r="M341" s="117">
        <f>IFERROR(IF(WEEKDAY($A341)&lt;&gt;1,HLOOKUP($B341,'SERVIÇOS NOTÁVEIS'!$23:$32,10,FALSE)*1.39,0),0)</f>
        <v>1270.149294117648</v>
      </c>
      <c r="O341" s="99"/>
      <c r="P341" s="10"/>
      <c r="R341" s="10"/>
      <c r="S341" s="10"/>
      <c r="U341" s="10"/>
    </row>
    <row r="342" spans="1:21" x14ac:dyDescent="0.35">
      <c r="A342" s="126">
        <f t="shared" si="12"/>
        <v>46361</v>
      </c>
      <c r="B342" s="118" t="str">
        <f t="shared" si="13"/>
        <v>dez/26</v>
      </c>
      <c r="C342" s="115"/>
      <c r="D342" s="116"/>
      <c r="E342" s="118">
        <v>0</v>
      </c>
      <c r="F342" s="115"/>
      <c r="G342" s="116"/>
      <c r="H342" s="118">
        <v>0</v>
      </c>
      <c r="I342" s="115"/>
      <c r="J342" s="116"/>
      <c r="K342" s="9">
        <v>1851.851851851852</v>
      </c>
      <c r="L342" s="127"/>
      <c r="M342" s="117">
        <f>IFERROR(IF(WEEKDAY($A342)&lt;&gt;1,HLOOKUP($B342,'SERVIÇOS NOTÁVEIS'!$23:$32,10,FALSE)*1.39,0),0)</f>
        <v>1270.149294117648</v>
      </c>
      <c r="O342" s="99"/>
      <c r="P342" s="10"/>
      <c r="R342" s="10"/>
      <c r="S342" s="10"/>
      <c r="U342" s="10"/>
    </row>
    <row r="343" spans="1:21" x14ac:dyDescent="0.35">
      <c r="A343" s="126">
        <f t="shared" si="12"/>
        <v>46362</v>
      </c>
      <c r="B343" s="118" t="str">
        <f t="shared" si="13"/>
        <v>dez/26</v>
      </c>
      <c r="C343" s="115"/>
      <c r="D343" s="116"/>
      <c r="E343" s="118">
        <v>0</v>
      </c>
      <c r="F343" s="115"/>
      <c r="G343" s="116"/>
      <c r="H343" s="118">
        <v>0</v>
      </c>
      <c r="I343" s="115"/>
      <c r="J343" s="116"/>
      <c r="K343" s="9">
        <v>0</v>
      </c>
      <c r="L343" s="127"/>
      <c r="M343" s="117">
        <f>IFERROR(IF(WEEKDAY($A343)&lt;&gt;1,HLOOKUP($B343,'SERVIÇOS NOTÁVEIS'!$23:$32,10,FALSE)*1.39,0),0)</f>
        <v>0</v>
      </c>
      <c r="O343" s="99"/>
      <c r="P343" s="10"/>
      <c r="R343" s="10"/>
      <c r="S343" s="10"/>
      <c r="U343" s="10"/>
    </row>
    <row r="344" spans="1:21" x14ac:dyDescent="0.35">
      <c r="A344" s="126">
        <f t="shared" si="12"/>
        <v>46363</v>
      </c>
      <c r="B344" s="118" t="str">
        <f t="shared" si="13"/>
        <v>dez/26</v>
      </c>
      <c r="C344" s="115"/>
      <c r="D344" s="116"/>
      <c r="E344" s="118">
        <v>0</v>
      </c>
      <c r="F344" s="115"/>
      <c r="G344" s="116"/>
      <c r="H344" s="118">
        <v>0</v>
      </c>
      <c r="I344" s="115"/>
      <c r="J344" s="116"/>
      <c r="K344" s="9">
        <v>1851.851851851852</v>
      </c>
      <c r="L344" s="127"/>
      <c r="M344" s="117">
        <f>IFERROR(IF(WEEKDAY($A344)&lt;&gt;1,HLOOKUP($B344,'SERVIÇOS NOTÁVEIS'!$23:$32,10,FALSE)*1.39,0),0)</f>
        <v>1270.149294117648</v>
      </c>
      <c r="O344" s="99"/>
      <c r="P344" s="10"/>
      <c r="R344" s="10"/>
      <c r="S344" s="10"/>
      <c r="U344" s="10"/>
    </row>
    <row r="345" spans="1:21" x14ac:dyDescent="0.35">
      <c r="A345" s="126">
        <f t="shared" si="12"/>
        <v>46364</v>
      </c>
      <c r="B345" s="118" t="str">
        <f t="shared" si="13"/>
        <v>dez/26</v>
      </c>
      <c r="C345" s="115"/>
      <c r="D345" s="116"/>
      <c r="E345" s="118">
        <v>0</v>
      </c>
      <c r="F345" s="115"/>
      <c r="G345" s="116"/>
      <c r="H345" s="118">
        <v>0</v>
      </c>
      <c r="I345" s="115"/>
      <c r="J345" s="116"/>
      <c r="K345" s="9">
        <v>1851.851851851852</v>
      </c>
      <c r="L345" s="127"/>
      <c r="M345" s="117">
        <f>IFERROR(IF(WEEKDAY($A345)&lt;&gt;1,HLOOKUP($B345,'SERVIÇOS NOTÁVEIS'!$23:$32,10,FALSE)*1.39,0),0)</f>
        <v>1270.149294117648</v>
      </c>
      <c r="O345" s="99"/>
      <c r="P345" s="10"/>
      <c r="R345" s="10"/>
      <c r="S345" s="10"/>
      <c r="U345" s="10"/>
    </row>
    <row r="346" spans="1:21" x14ac:dyDescent="0.35">
      <c r="A346" s="126">
        <f t="shared" si="12"/>
        <v>46365</v>
      </c>
      <c r="B346" s="118" t="str">
        <f t="shared" si="13"/>
        <v>dez/26</v>
      </c>
      <c r="C346" s="115"/>
      <c r="D346" s="116"/>
      <c r="E346" s="118">
        <v>0</v>
      </c>
      <c r="F346" s="115"/>
      <c r="G346" s="116"/>
      <c r="H346" s="118">
        <v>0</v>
      </c>
      <c r="I346" s="115"/>
      <c r="J346" s="116"/>
      <c r="K346" s="9">
        <v>1851.851851851852</v>
      </c>
      <c r="L346" s="127"/>
      <c r="M346" s="117">
        <f>IFERROR(IF(WEEKDAY($A346)&lt;&gt;1,HLOOKUP($B346,'SERVIÇOS NOTÁVEIS'!$23:$32,10,FALSE)*1.39,0),0)</f>
        <v>1270.149294117648</v>
      </c>
      <c r="O346" s="99"/>
      <c r="P346" s="10"/>
      <c r="R346" s="10"/>
      <c r="S346" s="10"/>
      <c r="U346" s="10"/>
    </row>
    <row r="347" spans="1:21" x14ac:dyDescent="0.35">
      <c r="A347" s="126">
        <f t="shared" si="12"/>
        <v>46366</v>
      </c>
      <c r="B347" s="118" t="str">
        <f t="shared" si="13"/>
        <v>dez/26</v>
      </c>
      <c r="C347" s="115"/>
      <c r="D347" s="116"/>
      <c r="E347" s="118">
        <v>0</v>
      </c>
      <c r="F347" s="115"/>
      <c r="G347" s="116"/>
      <c r="H347" s="118">
        <v>0</v>
      </c>
      <c r="I347" s="115"/>
      <c r="J347" s="116"/>
      <c r="K347" s="9">
        <v>1851.851851851852</v>
      </c>
      <c r="L347" s="127"/>
      <c r="M347" s="117">
        <f>IFERROR(IF(WEEKDAY($A347)&lt;&gt;1,HLOOKUP($B347,'SERVIÇOS NOTÁVEIS'!$23:$32,10,FALSE)*1.39,0),0)</f>
        <v>1270.149294117648</v>
      </c>
      <c r="O347" s="99"/>
      <c r="P347" s="10"/>
      <c r="R347" s="10"/>
      <c r="S347" s="10"/>
      <c r="U347" s="10"/>
    </row>
    <row r="348" spans="1:21" x14ac:dyDescent="0.35">
      <c r="A348" s="126">
        <f t="shared" si="12"/>
        <v>46367</v>
      </c>
      <c r="B348" s="118" t="str">
        <f t="shared" si="13"/>
        <v>dez/26</v>
      </c>
      <c r="C348" s="115"/>
      <c r="D348" s="116"/>
      <c r="E348" s="118">
        <v>0</v>
      </c>
      <c r="F348" s="115"/>
      <c r="G348" s="116"/>
      <c r="H348" s="118">
        <v>0</v>
      </c>
      <c r="I348" s="115"/>
      <c r="J348" s="116"/>
      <c r="K348" s="9">
        <v>1851.851851851852</v>
      </c>
      <c r="L348" s="127"/>
      <c r="M348" s="117">
        <f>IFERROR(IF(WEEKDAY($A348)&lt;&gt;1,HLOOKUP($B348,'SERVIÇOS NOTÁVEIS'!$23:$32,10,FALSE)*1.39,0),0)</f>
        <v>1270.149294117648</v>
      </c>
      <c r="O348" s="99"/>
      <c r="P348" s="10"/>
      <c r="R348" s="10"/>
      <c r="S348" s="10"/>
      <c r="U348" s="10"/>
    </row>
    <row r="349" spans="1:21" x14ac:dyDescent="0.35">
      <c r="A349" s="126">
        <f t="shared" si="12"/>
        <v>46368</v>
      </c>
      <c r="B349" s="118" t="str">
        <f t="shared" si="13"/>
        <v>dez/26</v>
      </c>
      <c r="C349" s="115"/>
      <c r="D349" s="116"/>
      <c r="E349" s="118">
        <v>0</v>
      </c>
      <c r="F349" s="115"/>
      <c r="G349" s="116"/>
      <c r="H349" s="118">
        <v>0</v>
      </c>
      <c r="I349" s="115"/>
      <c r="J349" s="116"/>
      <c r="K349" s="9">
        <v>1851.851851851852</v>
      </c>
      <c r="L349" s="127"/>
      <c r="M349" s="117">
        <f>IFERROR(IF(WEEKDAY($A349)&lt;&gt;1,HLOOKUP($B349,'SERVIÇOS NOTÁVEIS'!$23:$32,10,FALSE)*1.39,0),0)</f>
        <v>1270.149294117648</v>
      </c>
      <c r="O349" s="99"/>
      <c r="P349" s="10"/>
      <c r="R349" s="10"/>
      <c r="S349" s="10"/>
      <c r="U349" s="10"/>
    </row>
    <row r="350" spans="1:21" x14ac:dyDescent="0.35">
      <c r="A350" s="126">
        <f t="shared" si="12"/>
        <v>46369</v>
      </c>
      <c r="B350" s="118" t="str">
        <f t="shared" si="13"/>
        <v>dez/26</v>
      </c>
      <c r="C350" s="115"/>
      <c r="D350" s="116"/>
      <c r="E350" s="118">
        <v>0</v>
      </c>
      <c r="F350" s="115"/>
      <c r="G350" s="116"/>
      <c r="H350" s="118">
        <v>0</v>
      </c>
      <c r="I350" s="115"/>
      <c r="J350" s="116"/>
      <c r="K350" s="9">
        <v>0</v>
      </c>
      <c r="L350" s="127"/>
      <c r="M350" s="117">
        <f>IFERROR(IF(WEEKDAY($A350)&lt;&gt;1,HLOOKUP($B350,'SERVIÇOS NOTÁVEIS'!$23:$32,10,FALSE)*1.39,0),0)</f>
        <v>0</v>
      </c>
      <c r="O350" s="99"/>
      <c r="P350" s="10"/>
      <c r="R350" s="10"/>
      <c r="S350" s="10"/>
      <c r="U350" s="10"/>
    </row>
    <row r="351" spans="1:21" x14ac:dyDescent="0.35">
      <c r="A351" s="126">
        <f t="shared" si="12"/>
        <v>46370</v>
      </c>
      <c r="B351" s="118" t="str">
        <f t="shared" si="13"/>
        <v>dez/26</v>
      </c>
      <c r="C351" s="115"/>
      <c r="D351" s="116"/>
      <c r="E351" s="118">
        <v>0</v>
      </c>
      <c r="F351" s="115"/>
      <c r="G351" s="116"/>
      <c r="H351" s="118">
        <v>0</v>
      </c>
      <c r="I351" s="115"/>
      <c r="J351" s="116"/>
      <c r="K351" s="9">
        <v>1851.851851851852</v>
      </c>
      <c r="L351" s="127"/>
      <c r="M351" s="117">
        <f>IFERROR(IF(WEEKDAY($A351)&lt;&gt;1,HLOOKUP($B351,'SERVIÇOS NOTÁVEIS'!$23:$32,10,FALSE)*1.39,0),0)</f>
        <v>1270.149294117648</v>
      </c>
      <c r="O351" s="99"/>
      <c r="P351" s="10"/>
      <c r="R351" s="10"/>
      <c r="S351" s="10"/>
      <c r="U351" s="10"/>
    </row>
    <row r="352" spans="1:21" x14ac:dyDescent="0.35">
      <c r="A352" s="126">
        <f t="shared" si="12"/>
        <v>46371</v>
      </c>
      <c r="B352" s="118" t="str">
        <f t="shared" si="13"/>
        <v>dez/26</v>
      </c>
      <c r="C352" s="115"/>
      <c r="D352" s="116"/>
      <c r="E352" s="118">
        <v>0</v>
      </c>
      <c r="F352" s="115"/>
      <c r="G352" s="116"/>
      <c r="H352" s="118">
        <v>0</v>
      </c>
      <c r="I352" s="115"/>
      <c r="J352" s="116"/>
      <c r="K352" s="9">
        <v>1851.851851851852</v>
      </c>
      <c r="L352" s="127"/>
      <c r="M352" s="117">
        <f>IFERROR(IF(WEEKDAY($A352)&lt;&gt;1,HLOOKUP($B352,'SERVIÇOS NOTÁVEIS'!$23:$32,10,FALSE)*1.39,0),0)</f>
        <v>1270.149294117648</v>
      </c>
      <c r="O352" s="99"/>
      <c r="P352" s="10"/>
      <c r="R352" s="10"/>
      <c r="S352" s="10"/>
      <c r="U352" s="10"/>
    </row>
    <row r="353" spans="1:21" x14ac:dyDescent="0.35">
      <c r="A353" s="126">
        <f t="shared" si="12"/>
        <v>46372</v>
      </c>
      <c r="B353" s="118" t="str">
        <f t="shared" si="13"/>
        <v>dez/26</v>
      </c>
      <c r="C353" s="115"/>
      <c r="D353" s="116"/>
      <c r="E353" s="118">
        <v>0</v>
      </c>
      <c r="F353" s="115"/>
      <c r="G353" s="116"/>
      <c r="H353" s="118">
        <v>0</v>
      </c>
      <c r="I353" s="115"/>
      <c r="J353" s="116"/>
      <c r="K353" s="9">
        <v>1851.851851851852</v>
      </c>
      <c r="L353" s="127"/>
      <c r="M353" s="117">
        <f>IFERROR(IF(WEEKDAY($A353)&lt;&gt;1,HLOOKUP($B353,'SERVIÇOS NOTÁVEIS'!$23:$32,10,FALSE)*1.39,0),0)</f>
        <v>1270.149294117648</v>
      </c>
      <c r="O353" s="99"/>
      <c r="P353" s="10"/>
      <c r="R353" s="10"/>
      <c r="S353" s="10"/>
      <c r="U353" s="10"/>
    </row>
    <row r="354" spans="1:21" x14ac:dyDescent="0.35">
      <c r="A354" s="126">
        <f t="shared" si="12"/>
        <v>46373</v>
      </c>
      <c r="B354" s="118" t="str">
        <f t="shared" si="13"/>
        <v>dez/26</v>
      </c>
      <c r="C354" s="115"/>
      <c r="D354" s="116"/>
      <c r="E354" s="118">
        <v>0</v>
      </c>
      <c r="F354" s="115"/>
      <c r="G354" s="116"/>
      <c r="H354" s="118">
        <v>0</v>
      </c>
      <c r="I354" s="115"/>
      <c r="J354" s="116"/>
      <c r="K354" s="9">
        <v>1851.851851851852</v>
      </c>
      <c r="L354" s="127"/>
      <c r="M354" s="117">
        <f>IFERROR(IF(WEEKDAY($A354)&lt;&gt;1,HLOOKUP($B354,'SERVIÇOS NOTÁVEIS'!$23:$32,10,FALSE)*1.39,0),0)</f>
        <v>1270.149294117648</v>
      </c>
      <c r="O354" s="99"/>
      <c r="P354" s="10"/>
      <c r="R354" s="10"/>
      <c r="S354" s="10"/>
      <c r="U354" s="10"/>
    </row>
    <row r="355" spans="1:21" x14ac:dyDescent="0.35">
      <c r="A355" s="126">
        <f t="shared" si="12"/>
        <v>46374</v>
      </c>
      <c r="B355" s="118" t="str">
        <f t="shared" si="13"/>
        <v>dez/26</v>
      </c>
      <c r="C355" s="115"/>
      <c r="D355" s="116"/>
      <c r="E355" s="118">
        <v>0</v>
      </c>
      <c r="F355" s="115"/>
      <c r="G355" s="116"/>
      <c r="H355" s="118">
        <v>0</v>
      </c>
      <c r="I355" s="115"/>
      <c r="J355" s="116"/>
      <c r="K355" s="9">
        <v>1851.851851851852</v>
      </c>
      <c r="L355" s="127"/>
      <c r="M355" s="117">
        <f>IFERROR(IF(WEEKDAY($A355)&lt;&gt;1,HLOOKUP($B355,'SERVIÇOS NOTÁVEIS'!$23:$32,10,FALSE)*1.39,0),0)</f>
        <v>1270.149294117648</v>
      </c>
      <c r="O355" s="99"/>
      <c r="P355" s="10"/>
      <c r="R355" s="10"/>
      <c r="S355" s="10"/>
      <c r="U355" s="10"/>
    </row>
    <row r="356" spans="1:21" x14ac:dyDescent="0.35">
      <c r="A356" s="126">
        <f t="shared" si="12"/>
        <v>46375</v>
      </c>
      <c r="B356" s="118" t="str">
        <f t="shared" si="13"/>
        <v>dez/26</v>
      </c>
      <c r="C356" s="115"/>
      <c r="D356" s="116"/>
      <c r="E356" s="118">
        <v>0</v>
      </c>
      <c r="F356" s="115"/>
      <c r="G356" s="116"/>
      <c r="H356" s="118">
        <v>0</v>
      </c>
      <c r="I356" s="115"/>
      <c r="J356" s="116"/>
      <c r="K356" s="9">
        <v>1851.851851851852</v>
      </c>
      <c r="L356" s="127"/>
      <c r="M356" s="117">
        <f>IFERROR(IF(WEEKDAY($A356)&lt;&gt;1,HLOOKUP($B356,'SERVIÇOS NOTÁVEIS'!$23:$32,10,FALSE)*1.39,0),0)</f>
        <v>1270.149294117648</v>
      </c>
      <c r="O356" s="99"/>
      <c r="P356" s="10"/>
      <c r="R356" s="10"/>
      <c r="S356" s="10"/>
      <c r="U356" s="10"/>
    </row>
    <row r="357" spans="1:21" x14ac:dyDescent="0.35">
      <c r="A357" s="126">
        <f t="shared" si="12"/>
        <v>46376</v>
      </c>
      <c r="B357" s="118" t="str">
        <f t="shared" si="13"/>
        <v>dez/26</v>
      </c>
      <c r="C357" s="115"/>
      <c r="D357" s="116"/>
      <c r="E357" s="118">
        <v>0</v>
      </c>
      <c r="F357" s="115"/>
      <c r="G357" s="116"/>
      <c r="H357" s="118">
        <v>0</v>
      </c>
      <c r="I357" s="115"/>
      <c r="J357" s="116"/>
      <c r="K357" s="9">
        <v>0</v>
      </c>
      <c r="L357" s="127"/>
      <c r="M357" s="117">
        <f>IFERROR(IF(WEEKDAY($A357)&lt;&gt;1,HLOOKUP($B357,'SERVIÇOS NOTÁVEIS'!$23:$32,10,FALSE)*1.39,0),0)</f>
        <v>0</v>
      </c>
      <c r="O357" s="99"/>
      <c r="P357" s="10"/>
      <c r="R357" s="10"/>
      <c r="S357" s="10"/>
      <c r="U357" s="10"/>
    </row>
    <row r="358" spans="1:21" x14ac:dyDescent="0.35">
      <c r="A358" s="126">
        <f t="shared" si="12"/>
        <v>46377</v>
      </c>
      <c r="B358" s="118" t="str">
        <f t="shared" si="13"/>
        <v>dez/26</v>
      </c>
      <c r="C358" s="115"/>
      <c r="D358" s="116"/>
      <c r="E358" s="118">
        <v>0</v>
      </c>
      <c r="F358" s="115"/>
      <c r="G358" s="116"/>
      <c r="H358" s="118">
        <v>0</v>
      </c>
      <c r="I358" s="115"/>
      <c r="J358" s="116"/>
      <c r="K358" s="9">
        <v>1851.851851851852</v>
      </c>
      <c r="L358" s="127"/>
      <c r="M358" s="117">
        <f>IFERROR(IF(WEEKDAY($A358)&lt;&gt;1,HLOOKUP($B358,'SERVIÇOS NOTÁVEIS'!$23:$32,10,FALSE)*1.39,0),0)</f>
        <v>1270.149294117648</v>
      </c>
      <c r="O358" s="99"/>
      <c r="P358" s="10"/>
      <c r="R358" s="10"/>
      <c r="S358" s="10"/>
      <c r="U358" s="10"/>
    </row>
    <row r="359" spans="1:21" x14ac:dyDescent="0.35">
      <c r="A359" s="126">
        <f t="shared" si="12"/>
        <v>46378</v>
      </c>
      <c r="B359" s="118" t="str">
        <f t="shared" si="13"/>
        <v>dez/26</v>
      </c>
      <c r="C359" s="115"/>
      <c r="D359" s="116"/>
      <c r="E359" s="118">
        <v>0</v>
      </c>
      <c r="F359" s="115"/>
      <c r="G359" s="116"/>
      <c r="H359" s="118">
        <v>0</v>
      </c>
      <c r="I359" s="115"/>
      <c r="J359" s="116"/>
      <c r="K359" s="9">
        <v>1851.851851851852</v>
      </c>
      <c r="L359" s="127"/>
      <c r="M359" s="117">
        <f>IFERROR(IF(WEEKDAY($A359)&lt;&gt;1,HLOOKUP($B359,'SERVIÇOS NOTÁVEIS'!$23:$32,10,FALSE)*1.39,0),0)</f>
        <v>1270.149294117648</v>
      </c>
      <c r="O359" s="99"/>
      <c r="P359" s="10"/>
      <c r="R359" s="10"/>
      <c r="S359" s="10"/>
      <c r="U359" s="10"/>
    </row>
    <row r="360" spans="1:21" x14ac:dyDescent="0.35">
      <c r="A360" s="126">
        <f t="shared" si="12"/>
        <v>46379</v>
      </c>
      <c r="B360" s="118" t="str">
        <f t="shared" si="13"/>
        <v>dez/26</v>
      </c>
      <c r="C360" s="115"/>
      <c r="D360" s="116"/>
      <c r="E360" s="118">
        <v>0</v>
      </c>
      <c r="F360" s="115"/>
      <c r="G360" s="116"/>
      <c r="H360" s="118">
        <v>0</v>
      </c>
      <c r="I360" s="115"/>
      <c r="J360" s="116"/>
      <c r="K360" s="9">
        <v>1851.851851851852</v>
      </c>
      <c r="L360" s="127"/>
      <c r="M360" s="117">
        <f>IFERROR(IF(WEEKDAY($A360)&lt;&gt;1,HLOOKUP($B360,'SERVIÇOS NOTÁVEIS'!$23:$32,10,FALSE)*1.39,0),0)</f>
        <v>1270.149294117648</v>
      </c>
      <c r="O360" s="99"/>
      <c r="P360" s="10"/>
      <c r="R360" s="10"/>
      <c r="S360" s="10"/>
      <c r="U360" s="10"/>
    </row>
    <row r="361" spans="1:21" x14ac:dyDescent="0.35">
      <c r="A361" s="126">
        <f t="shared" si="12"/>
        <v>46380</v>
      </c>
      <c r="B361" s="118" t="str">
        <f t="shared" si="13"/>
        <v>dez/26</v>
      </c>
      <c r="C361" s="115"/>
      <c r="D361" s="116"/>
      <c r="E361" s="118">
        <v>0</v>
      </c>
      <c r="F361" s="115"/>
      <c r="G361" s="116"/>
      <c r="H361" s="118">
        <v>0</v>
      </c>
      <c r="I361" s="115"/>
      <c r="J361" s="116"/>
      <c r="K361" s="9">
        <v>1851.851851851852</v>
      </c>
      <c r="L361" s="127"/>
      <c r="M361" s="117">
        <f>IFERROR(IF(WEEKDAY($A361)&lt;&gt;1,HLOOKUP($B361,'SERVIÇOS NOTÁVEIS'!$23:$32,10,FALSE)*1.39,0),0)</f>
        <v>1270.149294117648</v>
      </c>
      <c r="O361" s="99"/>
      <c r="P361" s="10"/>
      <c r="R361" s="10"/>
      <c r="S361" s="10"/>
      <c r="U361" s="10"/>
    </row>
    <row r="362" spans="1:21" x14ac:dyDescent="0.35">
      <c r="A362" s="126">
        <f t="shared" si="12"/>
        <v>46381</v>
      </c>
      <c r="B362" s="118" t="str">
        <f t="shared" si="13"/>
        <v>dez/26</v>
      </c>
      <c r="C362" s="115"/>
      <c r="D362" s="116"/>
      <c r="E362" s="118">
        <v>0</v>
      </c>
      <c r="F362" s="115"/>
      <c r="G362" s="116"/>
      <c r="H362" s="118">
        <v>0</v>
      </c>
      <c r="I362" s="115"/>
      <c r="J362" s="116"/>
      <c r="K362" s="9">
        <v>1851.851851851852</v>
      </c>
      <c r="L362" s="127"/>
      <c r="M362" s="117">
        <f>IFERROR(IF(WEEKDAY($A362)&lt;&gt;1,HLOOKUP($B362,'SERVIÇOS NOTÁVEIS'!$23:$32,10,FALSE)*1.39,0),0)</f>
        <v>1270.149294117648</v>
      </c>
      <c r="O362" s="99"/>
      <c r="P362" s="10"/>
      <c r="R362" s="10"/>
      <c r="S362" s="10"/>
      <c r="U362" s="10"/>
    </row>
    <row r="363" spans="1:21" x14ac:dyDescent="0.35">
      <c r="A363" s="126">
        <f t="shared" si="12"/>
        <v>46382</v>
      </c>
      <c r="B363" s="118" t="str">
        <f t="shared" si="13"/>
        <v>dez/26</v>
      </c>
      <c r="C363" s="115"/>
      <c r="D363" s="116"/>
      <c r="E363" s="118">
        <v>0</v>
      </c>
      <c r="F363" s="115"/>
      <c r="G363" s="116"/>
      <c r="H363" s="118">
        <v>0</v>
      </c>
      <c r="I363" s="115"/>
      <c r="J363" s="116"/>
      <c r="K363" s="9">
        <v>1851.851851851852</v>
      </c>
      <c r="L363" s="127"/>
      <c r="M363" s="117">
        <f>IFERROR(IF(WEEKDAY($A363)&lt;&gt;1,HLOOKUP($B363,'SERVIÇOS NOTÁVEIS'!$23:$32,10,FALSE)*1.39,0),0)</f>
        <v>1270.149294117648</v>
      </c>
      <c r="O363" s="99"/>
      <c r="P363" s="10"/>
      <c r="R363" s="10"/>
      <c r="S363" s="10"/>
      <c r="U363" s="10"/>
    </row>
    <row r="364" spans="1:21" x14ac:dyDescent="0.35">
      <c r="A364" s="126">
        <f t="shared" si="12"/>
        <v>46383</v>
      </c>
      <c r="B364" s="118" t="str">
        <f t="shared" si="13"/>
        <v>dez/26</v>
      </c>
      <c r="C364" s="115"/>
      <c r="D364" s="116"/>
      <c r="E364" s="118">
        <v>0</v>
      </c>
      <c r="F364" s="115"/>
      <c r="G364" s="116"/>
      <c r="H364" s="118">
        <v>0</v>
      </c>
      <c r="I364" s="115"/>
      <c r="J364" s="116"/>
      <c r="K364" s="9">
        <v>0</v>
      </c>
      <c r="L364" s="127"/>
      <c r="M364" s="117">
        <f>IFERROR(IF(WEEKDAY($A364)&lt;&gt;1,HLOOKUP($B364,'SERVIÇOS NOTÁVEIS'!$23:$32,10,FALSE)*1.39,0),0)</f>
        <v>0</v>
      </c>
      <c r="O364" s="99"/>
      <c r="P364" s="10"/>
      <c r="R364" s="10"/>
      <c r="S364" s="10"/>
      <c r="U364" s="10"/>
    </row>
    <row r="365" spans="1:21" x14ac:dyDescent="0.35">
      <c r="A365" s="126">
        <f t="shared" si="12"/>
        <v>46384</v>
      </c>
      <c r="B365" s="118" t="str">
        <f t="shared" si="13"/>
        <v>dez/26</v>
      </c>
      <c r="C365" s="115"/>
      <c r="D365" s="116"/>
      <c r="E365" s="118">
        <v>0</v>
      </c>
      <c r="F365" s="115"/>
      <c r="G365" s="116"/>
      <c r="H365" s="118">
        <v>0</v>
      </c>
      <c r="I365" s="115"/>
      <c r="J365" s="116"/>
      <c r="K365" s="9">
        <v>1851.851851851852</v>
      </c>
      <c r="L365" s="127"/>
      <c r="M365" s="117">
        <f>IFERROR(IF(WEEKDAY($A365)&lt;&gt;1,HLOOKUP($B365,'SERVIÇOS NOTÁVEIS'!$23:$32,10,FALSE)*1.39,0),0)</f>
        <v>1270.149294117648</v>
      </c>
      <c r="O365" s="99"/>
      <c r="P365" s="10"/>
      <c r="R365" s="10"/>
      <c r="S365" s="10"/>
      <c r="U365" s="10"/>
    </row>
    <row r="366" spans="1:21" x14ac:dyDescent="0.35">
      <c r="A366" s="126">
        <f t="shared" si="12"/>
        <v>46385</v>
      </c>
      <c r="B366" s="118" t="str">
        <f t="shared" si="13"/>
        <v>dez/26</v>
      </c>
      <c r="C366" s="115"/>
      <c r="D366" s="116"/>
      <c r="E366" s="118">
        <v>0</v>
      </c>
      <c r="F366" s="115"/>
      <c r="G366" s="116"/>
      <c r="H366" s="118">
        <v>0</v>
      </c>
      <c r="I366" s="115"/>
      <c r="J366" s="116"/>
      <c r="K366" s="9">
        <v>1851.851851851852</v>
      </c>
      <c r="L366" s="127"/>
      <c r="M366" s="117">
        <f>IFERROR(IF(WEEKDAY($A366)&lt;&gt;1,HLOOKUP($B366,'SERVIÇOS NOTÁVEIS'!$23:$32,10,FALSE)*1.39,0),0)</f>
        <v>1270.149294117648</v>
      </c>
      <c r="O366" s="99"/>
      <c r="P366" s="10"/>
      <c r="R366" s="10"/>
      <c r="S366" s="10"/>
      <c r="U366" s="10"/>
    </row>
    <row r="367" spans="1:21" x14ac:dyDescent="0.35">
      <c r="A367" s="126">
        <f t="shared" si="12"/>
        <v>46386</v>
      </c>
      <c r="B367" s="118" t="str">
        <f t="shared" si="13"/>
        <v>dez/26</v>
      </c>
      <c r="C367" s="115"/>
      <c r="D367" s="116"/>
      <c r="E367" s="118">
        <v>0</v>
      </c>
      <c r="F367" s="115"/>
      <c r="G367" s="116"/>
      <c r="H367" s="118">
        <v>0</v>
      </c>
      <c r="I367" s="115"/>
      <c r="J367" s="116"/>
      <c r="K367" s="9">
        <v>1851.851851851852</v>
      </c>
      <c r="L367" s="127"/>
      <c r="M367" s="117">
        <f>IFERROR(IF(WEEKDAY($A367)&lt;&gt;1,HLOOKUP($B367,'SERVIÇOS NOTÁVEIS'!$23:$32,10,FALSE)*1.39,0),0)</f>
        <v>1270.149294117648</v>
      </c>
      <c r="O367" s="99"/>
      <c r="P367" s="10"/>
      <c r="R367" s="10"/>
      <c r="S367" s="10"/>
      <c r="U367" s="10"/>
    </row>
    <row r="368" spans="1:21" x14ac:dyDescent="0.35">
      <c r="A368" s="126">
        <f t="shared" si="12"/>
        <v>46387</v>
      </c>
      <c r="B368" s="118" t="str">
        <f t="shared" si="13"/>
        <v>dez/26</v>
      </c>
      <c r="C368" s="115"/>
      <c r="D368" s="116"/>
      <c r="E368" s="118">
        <v>0</v>
      </c>
      <c r="F368" s="115"/>
      <c r="G368" s="116"/>
      <c r="H368" s="118">
        <v>0</v>
      </c>
      <c r="I368" s="115"/>
      <c r="J368" s="116"/>
      <c r="K368" s="9">
        <v>1851.851851851852</v>
      </c>
      <c r="L368" s="127"/>
      <c r="M368" s="117">
        <f>IFERROR(IF(WEEKDAY($A368)&lt;&gt;1,HLOOKUP($B368,'SERVIÇOS NOTÁVEIS'!$23:$32,10,FALSE)*1.39,0),0)</f>
        <v>1270.149294117648</v>
      </c>
      <c r="O368" s="99"/>
      <c r="P368" s="10"/>
      <c r="R368" s="10"/>
      <c r="S368" s="10"/>
      <c r="U368" s="10"/>
    </row>
    <row r="369" spans="1:21" x14ac:dyDescent="0.35">
      <c r="A369" s="126">
        <f t="shared" si="12"/>
        <v>46388</v>
      </c>
      <c r="B369" s="118" t="str">
        <f t="shared" si="13"/>
        <v>jan/27</v>
      </c>
      <c r="C369" s="115"/>
      <c r="D369" s="116"/>
      <c r="E369" s="118">
        <v>0</v>
      </c>
      <c r="F369" s="115"/>
      <c r="G369" s="116"/>
      <c r="H369" s="118">
        <v>0</v>
      </c>
      <c r="I369" s="115"/>
      <c r="J369" s="116"/>
      <c r="K369" s="9">
        <v>1923.0769230769231</v>
      </c>
      <c r="L369" s="127"/>
      <c r="M369" s="117">
        <f>IFERROR(IF(WEEKDAY($A369)&lt;&gt;1,HLOOKUP($B369,'SERVIÇOS NOTÁVEIS'!$23:$32,10,FALSE)*1.39,0),0)</f>
        <v>2258.4720000000002</v>
      </c>
      <c r="O369" s="99"/>
      <c r="P369" s="10"/>
      <c r="R369" s="10"/>
      <c r="S369" s="10"/>
      <c r="U369" s="10"/>
    </row>
    <row r="370" spans="1:21" x14ac:dyDescent="0.35">
      <c r="A370" s="126">
        <f t="shared" si="12"/>
        <v>46389</v>
      </c>
      <c r="B370" s="118" t="str">
        <f t="shared" si="13"/>
        <v>jan/27</v>
      </c>
      <c r="C370" s="115"/>
      <c r="D370" s="116"/>
      <c r="E370" s="118">
        <v>0</v>
      </c>
      <c r="F370" s="115"/>
      <c r="G370" s="116"/>
      <c r="H370" s="118">
        <v>0</v>
      </c>
      <c r="I370" s="115"/>
      <c r="J370" s="116"/>
      <c r="K370" s="9">
        <v>1923.0769230769231</v>
      </c>
      <c r="L370" s="127"/>
      <c r="M370" s="117">
        <f>IFERROR(IF(WEEKDAY($A370)&lt;&gt;1,HLOOKUP($B370,'SERVIÇOS NOTÁVEIS'!$23:$32,10,FALSE)*1.39,0),0)</f>
        <v>2258.4720000000002</v>
      </c>
      <c r="O370" s="99"/>
      <c r="P370" s="10"/>
      <c r="R370" s="10"/>
      <c r="S370" s="10"/>
      <c r="U370" s="10"/>
    </row>
    <row r="371" spans="1:21" x14ac:dyDescent="0.35">
      <c r="A371" s="126">
        <f t="shared" si="12"/>
        <v>46390</v>
      </c>
      <c r="B371" s="118" t="str">
        <f t="shared" si="13"/>
        <v>jan/27</v>
      </c>
      <c r="C371" s="115"/>
      <c r="D371" s="116"/>
      <c r="E371" s="118">
        <v>0</v>
      </c>
      <c r="F371" s="115"/>
      <c r="G371" s="116"/>
      <c r="H371" s="118">
        <v>0</v>
      </c>
      <c r="I371" s="115"/>
      <c r="J371" s="116"/>
      <c r="K371" s="9">
        <v>0</v>
      </c>
      <c r="L371" s="127"/>
      <c r="M371" s="117">
        <f>IFERROR(IF(WEEKDAY($A371)&lt;&gt;1,HLOOKUP($B371,'SERVIÇOS NOTÁVEIS'!$23:$32,10,FALSE)*1.39,0),0)</f>
        <v>0</v>
      </c>
      <c r="O371" s="99"/>
      <c r="P371" s="10"/>
      <c r="R371" s="10"/>
      <c r="S371" s="10"/>
      <c r="U371" s="10"/>
    </row>
    <row r="372" spans="1:21" x14ac:dyDescent="0.35">
      <c r="A372" s="126">
        <f t="shared" si="12"/>
        <v>46391</v>
      </c>
      <c r="B372" s="118" t="str">
        <f t="shared" si="13"/>
        <v>jan/27</v>
      </c>
      <c r="C372" s="115"/>
      <c r="D372" s="116"/>
      <c r="E372" s="118">
        <v>0</v>
      </c>
      <c r="F372" s="115"/>
      <c r="G372" s="116"/>
      <c r="H372" s="118">
        <v>0</v>
      </c>
      <c r="I372" s="115"/>
      <c r="J372" s="116"/>
      <c r="K372" s="9">
        <v>1923.0769230769231</v>
      </c>
      <c r="L372" s="127"/>
      <c r="M372" s="117">
        <f>IFERROR(IF(WEEKDAY($A372)&lt;&gt;1,HLOOKUP($B372,'SERVIÇOS NOTÁVEIS'!$23:$32,10,FALSE)*1.39,0),0)</f>
        <v>2258.4720000000002</v>
      </c>
      <c r="O372" s="99"/>
      <c r="P372" s="10"/>
      <c r="R372" s="10"/>
      <c r="S372" s="10"/>
      <c r="U372" s="10"/>
    </row>
    <row r="373" spans="1:21" x14ac:dyDescent="0.35">
      <c r="A373" s="126">
        <f t="shared" si="12"/>
        <v>46392</v>
      </c>
      <c r="B373" s="118" t="str">
        <f t="shared" si="13"/>
        <v>jan/27</v>
      </c>
      <c r="C373" s="115"/>
      <c r="D373" s="116"/>
      <c r="E373" s="118">
        <v>0</v>
      </c>
      <c r="F373" s="115"/>
      <c r="G373" s="116"/>
      <c r="H373" s="118">
        <v>0</v>
      </c>
      <c r="I373" s="115"/>
      <c r="J373" s="116"/>
      <c r="K373" s="9">
        <v>1923.0769230769231</v>
      </c>
      <c r="L373" s="127"/>
      <c r="M373" s="117">
        <f>IFERROR(IF(WEEKDAY($A373)&lt;&gt;1,HLOOKUP($B373,'SERVIÇOS NOTÁVEIS'!$23:$32,10,FALSE)*1.39,0),0)</f>
        <v>2258.4720000000002</v>
      </c>
      <c r="O373" s="99"/>
      <c r="P373" s="10"/>
      <c r="R373" s="10"/>
      <c r="S373" s="10"/>
      <c r="U373" s="10"/>
    </row>
    <row r="374" spans="1:21" x14ac:dyDescent="0.35">
      <c r="A374" s="126">
        <f t="shared" si="12"/>
        <v>46393</v>
      </c>
      <c r="B374" s="118" t="str">
        <f t="shared" si="13"/>
        <v>jan/27</v>
      </c>
      <c r="C374" s="115"/>
      <c r="D374" s="116"/>
      <c r="E374" s="118">
        <v>0</v>
      </c>
      <c r="F374" s="115"/>
      <c r="G374" s="116"/>
      <c r="H374" s="118">
        <v>0</v>
      </c>
      <c r="I374" s="115"/>
      <c r="J374" s="116"/>
      <c r="K374" s="9">
        <v>1923.0769230769231</v>
      </c>
      <c r="L374" s="127"/>
      <c r="M374" s="117">
        <f>IFERROR(IF(WEEKDAY($A374)&lt;&gt;1,HLOOKUP($B374,'SERVIÇOS NOTÁVEIS'!$23:$32,10,FALSE)*1.39,0),0)</f>
        <v>2258.4720000000002</v>
      </c>
      <c r="O374" s="99"/>
      <c r="P374" s="10"/>
      <c r="R374" s="10"/>
      <c r="S374" s="10"/>
      <c r="U374" s="10"/>
    </row>
    <row r="375" spans="1:21" x14ac:dyDescent="0.35">
      <c r="A375" s="126">
        <f t="shared" si="12"/>
        <v>46394</v>
      </c>
      <c r="B375" s="118" t="str">
        <f t="shared" si="13"/>
        <v>jan/27</v>
      </c>
      <c r="C375" s="115"/>
      <c r="D375" s="116"/>
      <c r="E375" s="118">
        <v>0</v>
      </c>
      <c r="F375" s="115"/>
      <c r="G375" s="116"/>
      <c r="H375" s="118">
        <v>0</v>
      </c>
      <c r="I375" s="115"/>
      <c r="J375" s="116"/>
      <c r="K375" s="9">
        <v>1923.0769230769231</v>
      </c>
      <c r="L375" s="127"/>
      <c r="M375" s="117">
        <f>IFERROR(IF(WEEKDAY($A375)&lt;&gt;1,HLOOKUP($B375,'SERVIÇOS NOTÁVEIS'!$23:$32,10,FALSE)*1.39,0),0)</f>
        <v>2258.4720000000002</v>
      </c>
      <c r="O375" s="99"/>
      <c r="P375" s="10"/>
      <c r="R375" s="10"/>
      <c r="S375" s="10"/>
      <c r="U375" s="10"/>
    </row>
    <row r="376" spans="1:21" x14ac:dyDescent="0.35">
      <c r="A376" s="126">
        <f t="shared" ref="A376:A439" si="14">A375+1</f>
        <v>46395</v>
      </c>
      <c r="B376" s="118" t="str">
        <f t="shared" si="13"/>
        <v>jan/27</v>
      </c>
      <c r="C376" s="115"/>
      <c r="D376" s="116"/>
      <c r="E376" s="118">
        <v>0</v>
      </c>
      <c r="F376" s="115"/>
      <c r="G376" s="116"/>
      <c r="H376" s="118">
        <v>0</v>
      </c>
      <c r="I376" s="115"/>
      <c r="J376" s="116"/>
      <c r="K376" s="9">
        <v>1923.0769230769231</v>
      </c>
      <c r="L376" s="127"/>
      <c r="M376" s="117">
        <f>IFERROR(IF(WEEKDAY($A376)&lt;&gt;1,HLOOKUP($B376,'SERVIÇOS NOTÁVEIS'!$23:$32,10,FALSE)*1.39,0),0)</f>
        <v>2258.4720000000002</v>
      </c>
      <c r="O376" s="99"/>
      <c r="P376" s="10"/>
      <c r="R376" s="10"/>
      <c r="S376" s="10"/>
      <c r="U376" s="10"/>
    </row>
    <row r="377" spans="1:21" x14ac:dyDescent="0.35">
      <c r="A377" s="126">
        <f t="shared" si="14"/>
        <v>46396</v>
      </c>
      <c r="B377" s="118" t="str">
        <f t="shared" si="13"/>
        <v>jan/27</v>
      </c>
      <c r="C377" s="115"/>
      <c r="D377" s="116"/>
      <c r="E377" s="118">
        <v>0</v>
      </c>
      <c r="F377" s="115"/>
      <c r="G377" s="116"/>
      <c r="H377" s="118">
        <v>0</v>
      </c>
      <c r="I377" s="115"/>
      <c r="J377" s="116"/>
      <c r="K377" s="9">
        <v>1923.0769230769231</v>
      </c>
      <c r="L377" s="127"/>
      <c r="M377" s="117">
        <f>IFERROR(IF(WEEKDAY($A377)&lt;&gt;1,HLOOKUP($B377,'SERVIÇOS NOTÁVEIS'!$23:$32,10,FALSE)*1.39,0),0)</f>
        <v>2258.4720000000002</v>
      </c>
      <c r="O377" s="99"/>
      <c r="P377" s="10"/>
      <c r="R377" s="10"/>
      <c r="S377" s="10"/>
      <c r="U377" s="10"/>
    </row>
    <row r="378" spans="1:21" x14ac:dyDescent="0.35">
      <c r="A378" s="126">
        <f t="shared" si="14"/>
        <v>46397</v>
      </c>
      <c r="B378" s="118" t="str">
        <f t="shared" si="13"/>
        <v>jan/27</v>
      </c>
      <c r="C378" s="115"/>
      <c r="D378" s="116"/>
      <c r="E378" s="118">
        <v>0</v>
      </c>
      <c r="F378" s="115"/>
      <c r="G378" s="116"/>
      <c r="H378" s="118">
        <v>0</v>
      </c>
      <c r="I378" s="115"/>
      <c r="J378" s="116"/>
      <c r="K378" s="9">
        <v>0</v>
      </c>
      <c r="L378" s="127"/>
      <c r="M378" s="117">
        <f>IFERROR(IF(WEEKDAY($A378)&lt;&gt;1,HLOOKUP($B378,'SERVIÇOS NOTÁVEIS'!$23:$32,10,FALSE)*1.39,0),0)</f>
        <v>0</v>
      </c>
      <c r="O378" s="99"/>
      <c r="P378" s="10"/>
      <c r="R378" s="10"/>
      <c r="S378" s="10"/>
      <c r="U378" s="10"/>
    </row>
    <row r="379" spans="1:21" x14ac:dyDescent="0.35">
      <c r="A379" s="126">
        <f t="shared" si="14"/>
        <v>46398</v>
      </c>
      <c r="B379" s="118" t="str">
        <f t="shared" si="13"/>
        <v>jan/27</v>
      </c>
      <c r="C379" s="115"/>
      <c r="D379" s="116"/>
      <c r="E379" s="118">
        <v>0</v>
      </c>
      <c r="F379" s="115"/>
      <c r="G379" s="116"/>
      <c r="H379" s="118">
        <v>0</v>
      </c>
      <c r="I379" s="115"/>
      <c r="J379" s="116"/>
      <c r="K379" s="9">
        <v>1923.0769230769231</v>
      </c>
      <c r="L379" s="127"/>
      <c r="M379" s="117">
        <f>IFERROR(IF(WEEKDAY($A379)&lt;&gt;1,HLOOKUP($B379,'SERVIÇOS NOTÁVEIS'!$23:$32,10,FALSE)*1.39,0),0)</f>
        <v>2258.4720000000002</v>
      </c>
      <c r="O379" s="99"/>
      <c r="P379" s="10"/>
      <c r="R379" s="10"/>
      <c r="S379" s="10"/>
      <c r="U379" s="10"/>
    </row>
    <row r="380" spans="1:21" x14ac:dyDescent="0.35">
      <c r="A380" s="126">
        <f t="shared" si="14"/>
        <v>46399</v>
      </c>
      <c r="B380" s="118" t="str">
        <f t="shared" si="13"/>
        <v>jan/27</v>
      </c>
      <c r="C380" s="115"/>
      <c r="D380" s="116"/>
      <c r="E380" s="118">
        <v>0</v>
      </c>
      <c r="F380" s="115"/>
      <c r="G380" s="116"/>
      <c r="H380" s="118">
        <v>0</v>
      </c>
      <c r="I380" s="115"/>
      <c r="J380" s="116"/>
      <c r="K380" s="9">
        <v>1923.0769230769231</v>
      </c>
      <c r="L380" s="127"/>
      <c r="M380" s="117">
        <f>IFERROR(IF(WEEKDAY($A380)&lt;&gt;1,HLOOKUP($B380,'SERVIÇOS NOTÁVEIS'!$23:$32,10,FALSE)*1.39,0),0)</f>
        <v>2258.4720000000002</v>
      </c>
      <c r="O380" s="99"/>
      <c r="P380" s="10"/>
      <c r="R380" s="10"/>
      <c r="S380" s="10"/>
      <c r="U380" s="10"/>
    </row>
    <row r="381" spans="1:21" x14ac:dyDescent="0.35">
      <c r="A381" s="126">
        <f t="shared" si="14"/>
        <v>46400</v>
      </c>
      <c r="B381" s="118" t="str">
        <f t="shared" si="13"/>
        <v>jan/27</v>
      </c>
      <c r="C381" s="115"/>
      <c r="D381" s="116"/>
      <c r="E381" s="118">
        <v>0</v>
      </c>
      <c r="F381" s="115"/>
      <c r="G381" s="116"/>
      <c r="H381" s="118">
        <v>0</v>
      </c>
      <c r="I381" s="115"/>
      <c r="J381" s="116"/>
      <c r="K381" s="9">
        <v>1923.0769230769231</v>
      </c>
      <c r="L381" s="127"/>
      <c r="M381" s="117">
        <f>IFERROR(IF(WEEKDAY($A381)&lt;&gt;1,HLOOKUP($B381,'SERVIÇOS NOTÁVEIS'!$23:$32,10,FALSE)*1.39,0),0)</f>
        <v>2258.4720000000002</v>
      </c>
      <c r="O381" s="99"/>
      <c r="P381" s="10"/>
      <c r="R381" s="10"/>
      <c r="S381" s="10"/>
      <c r="U381" s="10"/>
    </row>
    <row r="382" spans="1:21" x14ac:dyDescent="0.35">
      <c r="A382" s="126">
        <f t="shared" si="14"/>
        <v>46401</v>
      </c>
      <c r="B382" s="118" t="str">
        <f t="shared" si="13"/>
        <v>jan/27</v>
      </c>
      <c r="C382" s="115"/>
      <c r="D382" s="116"/>
      <c r="E382" s="118">
        <v>0</v>
      </c>
      <c r="F382" s="115"/>
      <c r="G382" s="116"/>
      <c r="H382" s="118">
        <v>0</v>
      </c>
      <c r="I382" s="115"/>
      <c r="J382" s="116"/>
      <c r="K382" s="9">
        <v>1923.0769230769231</v>
      </c>
      <c r="L382" s="127"/>
      <c r="M382" s="117">
        <f>IFERROR(IF(WEEKDAY($A382)&lt;&gt;1,HLOOKUP($B382,'SERVIÇOS NOTÁVEIS'!$23:$32,10,FALSE)*1.39,0),0)</f>
        <v>2258.4720000000002</v>
      </c>
      <c r="O382" s="99"/>
      <c r="P382" s="10"/>
      <c r="R382" s="10"/>
      <c r="S382" s="10"/>
      <c r="U382" s="10"/>
    </row>
    <row r="383" spans="1:21" x14ac:dyDescent="0.35">
      <c r="A383" s="126">
        <f t="shared" si="14"/>
        <v>46402</v>
      </c>
      <c r="B383" s="118" t="str">
        <f t="shared" si="13"/>
        <v>jan/27</v>
      </c>
      <c r="C383" s="115"/>
      <c r="D383" s="116"/>
      <c r="E383" s="118">
        <v>0</v>
      </c>
      <c r="F383" s="115"/>
      <c r="G383" s="116"/>
      <c r="H383" s="118">
        <v>0</v>
      </c>
      <c r="I383" s="115"/>
      <c r="J383" s="116"/>
      <c r="K383" s="9">
        <v>1923.0769230769231</v>
      </c>
      <c r="L383" s="127"/>
      <c r="M383" s="117">
        <f>IFERROR(IF(WEEKDAY($A383)&lt;&gt;1,HLOOKUP($B383,'SERVIÇOS NOTÁVEIS'!$23:$32,10,FALSE)*1.39,0),0)</f>
        <v>2258.4720000000002</v>
      </c>
      <c r="O383" s="99"/>
      <c r="P383" s="10"/>
      <c r="R383" s="10"/>
      <c r="S383" s="10"/>
      <c r="U383" s="10"/>
    </row>
    <row r="384" spans="1:21" x14ac:dyDescent="0.35">
      <c r="A384" s="126">
        <f t="shared" si="14"/>
        <v>46403</v>
      </c>
      <c r="B384" s="118" t="str">
        <f t="shared" si="13"/>
        <v>jan/27</v>
      </c>
      <c r="C384" s="115"/>
      <c r="D384" s="116"/>
      <c r="E384" s="118">
        <v>0</v>
      </c>
      <c r="F384" s="115"/>
      <c r="G384" s="116"/>
      <c r="H384" s="118">
        <v>0</v>
      </c>
      <c r="I384" s="115"/>
      <c r="J384" s="116"/>
      <c r="K384" s="9">
        <v>1923.0769230769231</v>
      </c>
      <c r="L384" s="127"/>
      <c r="M384" s="117">
        <f>IFERROR(IF(WEEKDAY($A384)&lt;&gt;1,HLOOKUP($B384,'SERVIÇOS NOTÁVEIS'!$23:$32,10,FALSE)*1.39,0),0)</f>
        <v>2258.4720000000002</v>
      </c>
      <c r="O384" s="99"/>
      <c r="P384" s="10"/>
      <c r="R384" s="10"/>
      <c r="S384" s="10"/>
      <c r="U384" s="10"/>
    </row>
    <row r="385" spans="1:21" x14ac:dyDescent="0.35">
      <c r="A385" s="126">
        <f t="shared" si="14"/>
        <v>46404</v>
      </c>
      <c r="B385" s="118" t="str">
        <f t="shared" si="13"/>
        <v>jan/27</v>
      </c>
      <c r="C385" s="115"/>
      <c r="D385" s="116"/>
      <c r="E385" s="118">
        <v>0</v>
      </c>
      <c r="F385" s="115"/>
      <c r="G385" s="116"/>
      <c r="H385" s="118">
        <v>0</v>
      </c>
      <c r="I385" s="115"/>
      <c r="J385" s="116"/>
      <c r="K385" s="9">
        <v>0</v>
      </c>
      <c r="L385" s="127"/>
      <c r="M385" s="117">
        <f>IFERROR(IF(WEEKDAY($A385)&lt;&gt;1,HLOOKUP($B385,'SERVIÇOS NOTÁVEIS'!$23:$32,10,FALSE)*1.39,0),0)</f>
        <v>0</v>
      </c>
      <c r="O385" s="99"/>
      <c r="P385" s="10"/>
      <c r="R385" s="10"/>
      <c r="S385" s="10"/>
      <c r="U385" s="10"/>
    </row>
    <row r="386" spans="1:21" x14ac:dyDescent="0.35">
      <c r="A386" s="126">
        <f t="shared" si="14"/>
        <v>46405</v>
      </c>
      <c r="B386" s="118" t="str">
        <f t="shared" si="13"/>
        <v>jan/27</v>
      </c>
      <c r="C386" s="115"/>
      <c r="D386" s="116"/>
      <c r="E386" s="118">
        <v>0</v>
      </c>
      <c r="F386" s="115"/>
      <c r="G386" s="116"/>
      <c r="H386" s="118">
        <v>0</v>
      </c>
      <c r="I386" s="115"/>
      <c r="J386" s="116"/>
      <c r="K386" s="9">
        <v>1923.0769230769231</v>
      </c>
      <c r="L386" s="127"/>
      <c r="M386" s="117">
        <f>IFERROR(IF(WEEKDAY($A386)&lt;&gt;1,HLOOKUP($B386,'SERVIÇOS NOTÁVEIS'!$23:$32,10,FALSE)*1.39,0),0)</f>
        <v>2258.4720000000002</v>
      </c>
      <c r="O386" s="99"/>
      <c r="P386" s="10"/>
      <c r="R386" s="10"/>
      <c r="S386" s="10"/>
      <c r="U386" s="10"/>
    </row>
    <row r="387" spans="1:21" x14ac:dyDescent="0.35">
      <c r="A387" s="126">
        <f t="shared" si="14"/>
        <v>46406</v>
      </c>
      <c r="B387" s="118" t="str">
        <f t="shared" si="13"/>
        <v>jan/27</v>
      </c>
      <c r="C387" s="115"/>
      <c r="D387" s="116"/>
      <c r="E387" s="118">
        <v>0</v>
      </c>
      <c r="F387" s="115"/>
      <c r="G387" s="116"/>
      <c r="H387" s="118">
        <v>0</v>
      </c>
      <c r="I387" s="115"/>
      <c r="J387" s="116"/>
      <c r="K387" s="9">
        <v>1923.0769230769231</v>
      </c>
      <c r="L387" s="127"/>
      <c r="M387" s="117">
        <f>IFERROR(IF(WEEKDAY($A387)&lt;&gt;1,HLOOKUP($B387,'SERVIÇOS NOTÁVEIS'!$23:$32,10,FALSE)*1.39,0),0)</f>
        <v>2258.4720000000002</v>
      </c>
      <c r="O387" s="99"/>
      <c r="P387" s="10"/>
      <c r="R387" s="10"/>
      <c r="S387" s="10"/>
      <c r="U387" s="10"/>
    </row>
    <row r="388" spans="1:21" x14ac:dyDescent="0.35">
      <c r="A388" s="126">
        <f t="shared" si="14"/>
        <v>46407</v>
      </c>
      <c r="B388" s="118" t="str">
        <f t="shared" si="13"/>
        <v>jan/27</v>
      </c>
      <c r="C388" s="115"/>
      <c r="D388" s="116"/>
      <c r="E388" s="118">
        <v>0</v>
      </c>
      <c r="F388" s="115"/>
      <c r="G388" s="116"/>
      <c r="H388" s="118">
        <v>0</v>
      </c>
      <c r="I388" s="115"/>
      <c r="J388" s="116"/>
      <c r="K388" s="9">
        <v>1923.0769230769231</v>
      </c>
      <c r="L388" s="127"/>
      <c r="M388" s="117">
        <f>IFERROR(IF(WEEKDAY($A388)&lt;&gt;1,HLOOKUP($B388,'SERVIÇOS NOTÁVEIS'!$23:$32,10,FALSE)*1.39,0),0)</f>
        <v>2258.4720000000002</v>
      </c>
      <c r="O388" s="99"/>
      <c r="P388" s="10"/>
      <c r="R388" s="10"/>
      <c r="S388" s="10"/>
      <c r="U388" s="10"/>
    </row>
    <row r="389" spans="1:21" x14ac:dyDescent="0.35">
      <c r="A389" s="126">
        <f t="shared" si="14"/>
        <v>46408</v>
      </c>
      <c r="B389" s="118" t="str">
        <f t="shared" ref="B389:B452" si="15">TEXT(A389,"MMM/AA")</f>
        <v>jan/27</v>
      </c>
      <c r="C389" s="115"/>
      <c r="D389" s="116"/>
      <c r="E389" s="118">
        <v>0</v>
      </c>
      <c r="F389" s="115"/>
      <c r="G389" s="116"/>
      <c r="H389" s="118">
        <v>0</v>
      </c>
      <c r="I389" s="115"/>
      <c r="J389" s="116"/>
      <c r="K389" s="9">
        <v>1923.0769230769231</v>
      </c>
      <c r="L389" s="127"/>
      <c r="M389" s="117">
        <f>IFERROR(IF(WEEKDAY($A389)&lt;&gt;1,HLOOKUP($B389,'SERVIÇOS NOTÁVEIS'!$23:$32,10,FALSE)*1.39,0),0)</f>
        <v>2258.4720000000002</v>
      </c>
      <c r="O389" s="99"/>
      <c r="P389" s="10"/>
      <c r="R389" s="10"/>
      <c r="S389" s="10"/>
      <c r="U389" s="10"/>
    </row>
    <row r="390" spans="1:21" x14ac:dyDescent="0.35">
      <c r="A390" s="126">
        <f t="shared" si="14"/>
        <v>46409</v>
      </c>
      <c r="B390" s="118" t="str">
        <f t="shared" si="15"/>
        <v>jan/27</v>
      </c>
      <c r="C390" s="115"/>
      <c r="D390" s="116"/>
      <c r="E390" s="118">
        <v>0</v>
      </c>
      <c r="F390" s="115"/>
      <c r="G390" s="116"/>
      <c r="H390" s="118">
        <v>0</v>
      </c>
      <c r="I390" s="115"/>
      <c r="J390" s="116"/>
      <c r="K390" s="9">
        <v>1923.0769230769231</v>
      </c>
      <c r="L390" s="127"/>
      <c r="M390" s="117">
        <f>IFERROR(IF(WEEKDAY($A390)&lt;&gt;1,HLOOKUP($B390,'SERVIÇOS NOTÁVEIS'!$23:$32,10,FALSE)*1.39,0),0)</f>
        <v>2258.4720000000002</v>
      </c>
      <c r="O390" s="99"/>
      <c r="P390" s="10"/>
      <c r="R390" s="10"/>
      <c r="S390" s="10"/>
      <c r="U390" s="10"/>
    </row>
    <row r="391" spans="1:21" x14ac:dyDescent="0.35">
      <c r="A391" s="126">
        <f t="shared" si="14"/>
        <v>46410</v>
      </c>
      <c r="B391" s="118" t="str">
        <f t="shared" si="15"/>
        <v>jan/27</v>
      </c>
      <c r="C391" s="115"/>
      <c r="D391" s="116"/>
      <c r="E391" s="118">
        <v>0</v>
      </c>
      <c r="F391" s="115"/>
      <c r="G391" s="116"/>
      <c r="H391" s="118">
        <v>0</v>
      </c>
      <c r="I391" s="115"/>
      <c r="J391" s="116"/>
      <c r="K391" s="9">
        <v>1923.0769230769231</v>
      </c>
      <c r="L391" s="127"/>
      <c r="M391" s="117">
        <f>IFERROR(IF(WEEKDAY($A391)&lt;&gt;1,HLOOKUP($B391,'SERVIÇOS NOTÁVEIS'!$23:$32,10,FALSE)*1.39,0),0)</f>
        <v>2258.4720000000002</v>
      </c>
      <c r="O391" s="99"/>
      <c r="P391" s="10"/>
      <c r="R391" s="10"/>
      <c r="S391" s="10"/>
      <c r="U391" s="10"/>
    </row>
    <row r="392" spans="1:21" x14ac:dyDescent="0.35">
      <c r="A392" s="126">
        <f t="shared" si="14"/>
        <v>46411</v>
      </c>
      <c r="B392" s="118" t="str">
        <f t="shared" si="15"/>
        <v>jan/27</v>
      </c>
      <c r="C392" s="115"/>
      <c r="D392" s="116"/>
      <c r="E392" s="118">
        <v>0</v>
      </c>
      <c r="F392" s="115"/>
      <c r="G392" s="116"/>
      <c r="H392" s="118">
        <v>0</v>
      </c>
      <c r="I392" s="115"/>
      <c r="J392" s="116"/>
      <c r="K392" s="9">
        <v>0</v>
      </c>
      <c r="L392" s="127"/>
      <c r="M392" s="117">
        <f>IFERROR(IF(WEEKDAY($A392)&lt;&gt;1,HLOOKUP($B392,'SERVIÇOS NOTÁVEIS'!$23:$32,10,FALSE)*1.39,0),0)</f>
        <v>0</v>
      </c>
      <c r="O392" s="99"/>
      <c r="P392" s="10"/>
      <c r="R392" s="10"/>
      <c r="S392" s="10"/>
      <c r="U392" s="10"/>
    </row>
    <row r="393" spans="1:21" x14ac:dyDescent="0.35">
      <c r="A393" s="126">
        <f t="shared" si="14"/>
        <v>46412</v>
      </c>
      <c r="B393" s="118" t="str">
        <f t="shared" si="15"/>
        <v>jan/27</v>
      </c>
      <c r="C393" s="115"/>
      <c r="D393" s="116"/>
      <c r="E393" s="118">
        <v>0</v>
      </c>
      <c r="F393" s="115"/>
      <c r="G393" s="116"/>
      <c r="H393" s="118">
        <v>0</v>
      </c>
      <c r="I393" s="115"/>
      <c r="J393" s="116"/>
      <c r="K393" s="9">
        <v>1923.0769230769231</v>
      </c>
      <c r="L393" s="127"/>
      <c r="M393" s="117">
        <f>IFERROR(IF(WEEKDAY($A393)&lt;&gt;1,HLOOKUP($B393,'SERVIÇOS NOTÁVEIS'!$23:$32,10,FALSE)*1.39,0),0)</f>
        <v>2258.4720000000002</v>
      </c>
      <c r="O393" s="99"/>
      <c r="P393" s="10"/>
      <c r="R393" s="10"/>
      <c r="S393" s="10"/>
      <c r="U393" s="10"/>
    </row>
    <row r="394" spans="1:21" x14ac:dyDescent="0.35">
      <c r="A394" s="126">
        <f t="shared" si="14"/>
        <v>46413</v>
      </c>
      <c r="B394" s="118" t="str">
        <f t="shared" si="15"/>
        <v>jan/27</v>
      </c>
      <c r="C394" s="115"/>
      <c r="D394" s="116"/>
      <c r="E394" s="118">
        <v>0</v>
      </c>
      <c r="F394" s="115"/>
      <c r="G394" s="116"/>
      <c r="H394" s="118">
        <v>0</v>
      </c>
      <c r="I394" s="115"/>
      <c r="J394" s="116"/>
      <c r="K394" s="9">
        <v>1923.0769230769231</v>
      </c>
      <c r="L394" s="127"/>
      <c r="M394" s="117">
        <f>IFERROR(IF(WEEKDAY($A394)&lt;&gt;1,HLOOKUP($B394,'SERVIÇOS NOTÁVEIS'!$23:$32,10,FALSE)*1.39,0),0)</f>
        <v>2258.4720000000002</v>
      </c>
      <c r="O394" s="99"/>
      <c r="P394" s="10"/>
      <c r="R394" s="10"/>
      <c r="S394" s="10"/>
      <c r="U394" s="10"/>
    </row>
    <row r="395" spans="1:21" x14ac:dyDescent="0.35">
      <c r="A395" s="126">
        <f t="shared" si="14"/>
        <v>46414</v>
      </c>
      <c r="B395" s="118" t="str">
        <f t="shared" si="15"/>
        <v>jan/27</v>
      </c>
      <c r="C395" s="115"/>
      <c r="D395" s="116"/>
      <c r="E395" s="118">
        <v>0</v>
      </c>
      <c r="F395" s="115"/>
      <c r="G395" s="116"/>
      <c r="H395" s="118">
        <v>0</v>
      </c>
      <c r="I395" s="115"/>
      <c r="J395" s="116"/>
      <c r="K395" s="9">
        <v>1923.0769230769231</v>
      </c>
      <c r="L395" s="127"/>
      <c r="M395" s="117">
        <f>IFERROR(IF(WEEKDAY($A395)&lt;&gt;1,HLOOKUP($B395,'SERVIÇOS NOTÁVEIS'!$23:$32,10,FALSE)*1.39,0),0)</f>
        <v>2258.4720000000002</v>
      </c>
      <c r="O395" s="99"/>
      <c r="P395" s="10"/>
      <c r="R395" s="10"/>
      <c r="S395" s="10"/>
      <c r="U395" s="10"/>
    </row>
    <row r="396" spans="1:21" x14ac:dyDescent="0.35">
      <c r="A396" s="126">
        <f t="shared" si="14"/>
        <v>46415</v>
      </c>
      <c r="B396" s="118" t="str">
        <f t="shared" si="15"/>
        <v>jan/27</v>
      </c>
      <c r="C396" s="115"/>
      <c r="D396" s="116"/>
      <c r="E396" s="118">
        <v>0</v>
      </c>
      <c r="F396" s="115"/>
      <c r="G396" s="116"/>
      <c r="H396" s="118">
        <v>0</v>
      </c>
      <c r="I396" s="115"/>
      <c r="J396" s="116"/>
      <c r="K396" s="9">
        <v>1923.0769230769231</v>
      </c>
      <c r="L396" s="127"/>
      <c r="M396" s="117">
        <f>IFERROR(IF(WEEKDAY($A396)&lt;&gt;1,HLOOKUP($B396,'SERVIÇOS NOTÁVEIS'!$23:$32,10,FALSE)*1.39,0),0)</f>
        <v>2258.4720000000002</v>
      </c>
      <c r="O396" s="99"/>
      <c r="P396" s="10"/>
      <c r="R396" s="10"/>
      <c r="S396" s="10"/>
      <c r="U396" s="10"/>
    </row>
    <row r="397" spans="1:21" x14ac:dyDescent="0.35">
      <c r="A397" s="126">
        <f t="shared" si="14"/>
        <v>46416</v>
      </c>
      <c r="B397" s="118" t="str">
        <f t="shared" si="15"/>
        <v>jan/27</v>
      </c>
      <c r="C397" s="115"/>
      <c r="D397" s="116"/>
      <c r="E397" s="118">
        <v>0</v>
      </c>
      <c r="F397" s="115"/>
      <c r="G397" s="116"/>
      <c r="H397" s="118">
        <v>0</v>
      </c>
      <c r="I397" s="115"/>
      <c r="J397" s="116"/>
      <c r="K397" s="9">
        <v>1923.0769230769231</v>
      </c>
      <c r="L397" s="127"/>
      <c r="M397" s="117">
        <f>IFERROR(IF(WEEKDAY($A397)&lt;&gt;1,HLOOKUP($B397,'SERVIÇOS NOTÁVEIS'!$23:$32,10,FALSE)*1.39,0),0)</f>
        <v>2258.4720000000002</v>
      </c>
      <c r="O397" s="99"/>
      <c r="P397" s="10"/>
      <c r="R397" s="10"/>
      <c r="S397" s="10"/>
      <c r="U397" s="10"/>
    </row>
    <row r="398" spans="1:21" x14ac:dyDescent="0.35">
      <c r="A398" s="126">
        <f t="shared" si="14"/>
        <v>46417</v>
      </c>
      <c r="B398" s="118" t="str">
        <f t="shared" si="15"/>
        <v>jan/27</v>
      </c>
      <c r="C398" s="115"/>
      <c r="D398" s="116"/>
      <c r="E398" s="118">
        <v>0</v>
      </c>
      <c r="F398" s="115"/>
      <c r="G398" s="116"/>
      <c r="H398" s="118">
        <v>0</v>
      </c>
      <c r="I398" s="115"/>
      <c r="J398" s="116"/>
      <c r="K398" s="9">
        <v>1923.0769230769231</v>
      </c>
      <c r="L398" s="127"/>
      <c r="M398" s="117">
        <f>IFERROR(IF(WEEKDAY($A398)&lt;&gt;1,HLOOKUP($B398,'SERVIÇOS NOTÁVEIS'!$23:$32,10,FALSE)*1.39,0),0)</f>
        <v>2258.4720000000002</v>
      </c>
      <c r="O398" s="99"/>
      <c r="P398" s="10"/>
      <c r="R398" s="10"/>
      <c r="S398" s="10"/>
      <c r="U398" s="10"/>
    </row>
    <row r="399" spans="1:21" x14ac:dyDescent="0.35">
      <c r="A399" s="126">
        <f t="shared" si="14"/>
        <v>46418</v>
      </c>
      <c r="B399" s="118" t="str">
        <f t="shared" si="15"/>
        <v>jan/27</v>
      </c>
      <c r="C399" s="115"/>
      <c r="D399" s="116"/>
      <c r="E399" s="118">
        <v>0</v>
      </c>
      <c r="F399" s="115"/>
      <c r="G399" s="116"/>
      <c r="H399" s="118">
        <v>0</v>
      </c>
      <c r="I399" s="115"/>
      <c r="J399" s="116"/>
      <c r="K399" s="9">
        <v>0</v>
      </c>
      <c r="L399" s="127"/>
      <c r="M399" s="117">
        <f>IFERROR(IF(WEEKDAY($A399)&lt;&gt;1,HLOOKUP($B399,'SERVIÇOS NOTÁVEIS'!$23:$32,10,FALSE)*1.39,0),0)</f>
        <v>0</v>
      </c>
      <c r="O399" s="99"/>
      <c r="P399" s="10"/>
      <c r="R399" s="10"/>
      <c r="S399" s="10"/>
      <c r="U399" s="10"/>
    </row>
    <row r="400" spans="1:21" x14ac:dyDescent="0.35">
      <c r="A400" s="126">
        <f t="shared" si="14"/>
        <v>46419</v>
      </c>
      <c r="B400" s="118" t="str">
        <f t="shared" si="15"/>
        <v>fev/27</v>
      </c>
      <c r="C400" s="115"/>
      <c r="D400" s="116"/>
      <c r="E400" s="118">
        <v>0</v>
      </c>
      <c r="F400" s="115"/>
      <c r="G400" s="116"/>
      <c r="H400" s="118">
        <v>0</v>
      </c>
      <c r="I400" s="115"/>
      <c r="J400" s="116"/>
      <c r="K400" s="9">
        <v>2083.3333333333335</v>
      </c>
      <c r="L400" s="127"/>
      <c r="M400" s="117">
        <f>IFERROR(IF(WEEKDAY($A400)&lt;&gt;1,HLOOKUP($B400,'SERVIÇOS NOTÁVEIS'!$23:$32,10,FALSE)*1.39,0),0)</f>
        <v>2539.2288333333327</v>
      </c>
      <c r="O400" s="99"/>
      <c r="P400" s="10"/>
      <c r="R400" s="10"/>
      <c r="S400" s="10"/>
      <c r="U400" s="10"/>
    </row>
    <row r="401" spans="1:21" x14ac:dyDescent="0.35">
      <c r="A401" s="126">
        <f t="shared" si="14"/>
        <v>46420</v>
      </c>
      <c r="B401" s="118" t="str">
        <f t="shared" si="15"/>
        <v>fev/27</v>
      </c>
      <c r="C401" s="115"/>
      <c r="D401" s="116"/>
      <c r="E401" s="118">
        <v>0</v>
      </c>
      <c r="F401" s="115"/>
      <c r="G401" s="116"/>
      <c r="H401" s="118">
        <v>0</v>
      </c>
      <c r="I401" s="115"/>
      <c r="J401" s="116"/>
      <c r="K401" s="9">
        <v>2083.3333333333335</v>
      </c>
      <c r="L401" s="127"/>
      <c r="M401" s="117">
        <f>IFERROR(IF(WEEKDAY($A401)&lt;&gt;1,HLOOKUP($B401,'SERVIÇOS NOTÁVEIS'!$23:$32,10,FALSE)*1.39,0),0)</f>
        <v>2539.2288333333327</v>
      </c>
      <c r="O401" s="99"/>
      <c r="P401" s="10"/>
      <c r="R401" s="10"/>
      <c r="S401" s="10"/>
      <c r="U401" s="10"/>
    </row>
    <row r="402" spans="1:21" x14ac:dyDescent="0.35">
      <c r="A402" s="126">
        <f t="shared" si="14"/>
        <v>46421</v>
      </c>
      <c r="B402" s="118" t="str">
        <f t="shared" si="15"/>
        <v>fev/27</v>
      </c>
      <c r="C402" s="115"/>
      <c r="D402" s="116"/>
      <c r="E402" s="118">
        <v>0</v>
      </c>
      <c r="F402" s="115"/>
      <c r="G402" s="116"/>
      <c r="H402" s="118">
        <v>0</v>
      </c>
      <c r="I402" s="115"/>
      <c r="J402" s="116"/>
      <c r="K402" s="9">
        <v>2083.3333333333335</v>
      </c>
      <c r="L402" s="127"/>
      <c r="M402" s="117">
        <f>IFERROR(IF(WEEKDAY($A402)&lt;&gt;1,HLOOKUP($B402,'SERVIÇOS NOTÁVEIS'!$23:$32,10,FALSE)*1.39,0),0)</f>
        <v>2539.2288333333327</v>
      </c>
      <c r="O402" s="99"/>
      <c r="P402" s="10"/>
      <c r="R402" s="10"/>
      <c r="S402" s="10"/>
      <c r="U402" s="10"/>
    </row>
    <row r="403" spans="1:21" x14ac:dyDescent="0.35">
      <c r="A403" s="126">
        <f t="shared" si="14"/>
        <v>46422</v>
      </c>
      <c r="B403" s="118" t="str">
        <f t="shared" si="15"/>
        <v>fev/27</v>
      </c>
      <c r="C403" s="115"/>
      <c r="D403" s="116"/>
      <c r="E403" s="118">
        <v>0</v>
      </c>
      <c r="F403" s="115"/>
      <c r="G403" s="116"/>
      <c r="H403" s="118">
        <v>0</v>
      </c>
      <c r="I403" s="115"/>
      <c r="J403" s="116"/>
      <c r="K403" s="9">
        <v>2083.3333333333335</v>
      </c>
      <c r="L403" s="127"/>
      <c r="M403" s="117">
        <f>IFERROR(IF(WEEKDAY($A403)&lt;&gt;1,HLOOKUP($B403,'SERVIÇOS NOTÁVEIS'!$23:$32,10,FALSE)*1.39,0),0)</f>
        <v>2539.2288333333327</v>
      </c>
      <c r="O403" s="99"/>
      <c r="P403" s="10"/>
      <c r="R403" s="10"/>
      <c r="S403" s="10"/>
      <c r="U403" s="10"/>
    </row>
    <row r="404" spans="1:21" x14ac:dyDescent="0.35">
      <c r="A404" s="126">
        <f t="shared" si="14"/>
        <v>46423</v>
      </c>
      <c r="B404" s="118" t="str">
        <f t="shared" si="15"/>
        <v>fev/27</v>
      </c>
      <c r="C404" s="115"/>
      <c r="D404" s="116"/>
      <c r="E404" s="118">
        <v>0</v>
      </c>
      <c r="F404" s="115"/>
      <c r="G404" s="116"/>
      <c r="H404" s="118">
        <v>0</v>
      </c>
      <c r="I404" s="115"/>
      <c r="J404" s="116"/>
      <c r="K404" s="9">
        <v>2083.3333333333335</v>
      </c>
      <c r="L404" s="127"/>
      <c r="M404" s="117">
        <f>IFERROR(IF(WEEKDAY($A404)&lt;&gt;1,HLOOKUP($B404,'SERVIÇOS NOTÁVEIS'!$23:$32,10,FALSE)*1.39,0),0)</f>
        <v>2539.2288333333327</v>
      </c>
      <c r="O404" s="99"/>
      <c r="P404" s="10"/>
      <c r="R404" s="10"/>
      <c r="S404" s="10"/>
      <c r="U404" s="10"/>
    </row>
    <row r="405" spans="1:21" x14ac:dyDescent="0.35">
      <c r="A405" s="126">
        <f t="shared" si="14"/>
        <v>46424</v>
      </c>
      <c r="B405" s="118" t="str">
        <f t="shared" si="15"/>
        <v>fev/27</v>
      </c>
      <c r="C405" s="115"/>
      <c r="D405" s="116"/>
      <c r="E405" s="118">
        <v>0</v>
      </c>
      <c r="F405" s="115"/>
      <c r="G405" s="116"/>
      <c r="H405" s="118">
        <v>0</v>
      </c>
      <c r="I405" s="115"/>
      <c r="J405" s="116"/>
      <c r="K405" s="9">
        <v>2083.3333333333335</v>
      </c>
      <c r="L405" s="127"/>
      <c r="M405" s="117">
        <f>IFERROR(IF(WEEKDAY($A405)&lt;&gt;1,HLOOKUP($B405,'SERVIÇOS NOTÁVEIS'!$23:$32,10,FALSE)*1.39,0),0)</f>
        <v>2539.2288333333327</v>
      </c>
      <c r="O405" s="99"/>
      <c r="P405" s="10"/>
      <c r="R405" s="10"/>
      <c r="S405" s="10"/>
      <c r="U405" s="10"/>
    </row>
    <row r="406" spans="1:21" x14ac:dyDescent="0.35">
      <c r="A406" s="126">
        <f t="shared" si="14"/>
        <v>46425</v>
      </c>
      <c r="B406" s="118" t="str">
        <f t="shared" si="15"/>
        <v>fev/27</v>
      </c>
      <c r="C406" s="115"/>
      <c r="D406" s="116"/>
      <c r="E406" s="118">
        <v>0</v>
      </c>
      <c r="F406" s="115"/>
      <c r="G406" s="116"/>
      <c r="H406" s="118">
        <v>0</v>
      </c>
      <c r="I406" s="115"/>
      <c r="J406" s="116"/>
      <c r="K406" s="9">
        <v>0</v>
      </c>
      <c r="L406" s="127"/>
      <c r="M406" s="117">
        <f>IFERROR(IF(WEEKDAY($A406)&lt;&gt;1,HLOOKUP($B406,'SERVIÇOS NOTÁVEIS'!$23:$32,10,FALSE)*1.39,0),0)</f>
        <v>0</v>
      </c>
      <c r="O406" s="99"/>
      <c r="P406" s="10"/>
      <c r="R406" s="10"/>
      <c r="S406" s="10"/>
      <c r="U406" s="10"/>
    </row>
    <row r="407" spans="1:21" x14ac:dyDescent="0.35">
      <c r="A407" s="126">
        <f t="shared" si="14"/>
        <v>46426</v>
      </c>
      <c r="B407" s="118" t="str">
        <f t="shared" si="15"/>
        <v>fev/27</v>
      </c>
      <c r="C407" s="115"/>
      <c r="D407" s="116"/>
      <c r="E407" s="118">
        <v>0</v>
      </c>
      <c r="F407" s="115"/>
      <c r="G407" s="116"/>
      <c r="H407" s="118">
        <v>0</v>
      </c>
      <c r="I407" s="115"/>
      <c r="J407" s="116"/>
      <c r="K407" s="9">
        <v>2083.3333333333335</v>
      </c>
      <c r="L407" s="127"/>
      <c r="M407" s="117">
        <f>IFERROR(IF(WEEKDAY($A407)&lt;&gt;1,HLOOKUP($B407,'SERVIÇOS NOTÁVEIS'!$23:$32,10,FALSE)*1.39,0),0)</f>
        <v>2539.2288333333327</v>
      </c>
      <c r="O407" s="99"/>
      <c r="P407" s="10"/>
      <c r="R407" s="10"/>
      <c r="S407" s="10"/>
      <c r="U407" s="10"/>
    </row>
    <row r="408" spans="1:21" x14ac:dyDescent="0.35">
      <c r="A408" s="126">
        <f t="shared" si="14"/>
        <v>46427</v>
      </c>
      <c r="B408" s="118" t="str">
        <f t="shared" si="15"/>
        <v>fev/27</v>
      </c>
      <c r="C408" s="115"/>
      <c r="D408" s="116"/>
      <c r="E408" s="118">
        <v>0</v>
      </c>
      <c r="F408" s="115"/>
      <c r="G408" s="116"/>
      <c r="H408" s="118">
        <v>0</v>
      </c>
      <c r="I408" s="115"/>
      <c r="J408" s="116"/>
      <c r="K408" s="9">
        <v>2083.3333333333335</v>
      </c>
      <c r="L408" s="127"/>
      <c r="M408" s="117">
        <f>IFERROR(IF(WEEKDAY($A408)&lt;&gt;1,HLOOKUP($B408,'SERVIÇOS NOTÁVEIS'!$23:$32,10,FALSE)*1.39,0),0)</f>
        <v>2539.2288333333327</v>
      </c>
      <c r="O408" s="99"/>
      <c r="P408" s="10"/>
      <c r="R408" s="10"/>
      <c r="S408" s="10"/>
      <c r="U408" s="10"/>
    </row>
    <row r="409" spans="1:21" x14ac:dyDescent="0.35">
      <c r="A409" s="126">
        <f t="shared" si="14"/>
        <v>46428</v>
      </c>
      <c r="B409" s="118" t="str">
        <f t="shared" si="15"/>
        <v>fev/27</v>
      </c>
      <c r="C409" s="115"/>
      <c r="D409" s="116"/>
      <c r="E409" s="118">
        <v>0</v>
      </c>
      <c r="F409" s="115"/>
      <c r="G409" s="116"/>
      <c r="H409" s="118">
        <v>0</v>
      </c>
      <c r="I409" s="115"/>
      <c r="J409" s="116"/>
      <c r="K409" s="9">
        <v>2083.3333333333335</v>
      </c>
      <c r="L409" s="127"/>
      <c r="M409" s="117">
        <f>IFERROR(IF(WEEKDAY($A409)&lt;&gt;1,HLOOKUP($B409,'SERVIÇOS NOTÁVEIS'!$23:$32,10,FALSE)*1.39,0),0)</f>
        <v>2539.2288333333327</v>
      </c>
      <c r="O409" s="99"/>
      <c r="P409" s="10"/>
      <c r="R409" s="10"/>
      <c r="S409" s="10"/>
      <c r="U409" s="10"/>
    </row>
    <row r="410" spans="1:21" x14ac:dyDescent="0.35">
      <c r="A410" s="126">
        <f t="shared" si="14"/>
        <v>46429</v>
      </c>
      <c r="B410" s="118" t="str">
        <f t="shared" si="15"/>
        <v>fev/27</v>
      </c>
      <c r="C410" s="115"/>
      <c r="D410" s="116"/>
      <c r="E410" s="118">
        <v>0</v>
      </c>
      <c r="F410" s="115"/>
      <c r="G410" s="116"/>
      <c r="H410" s="118">
        <v>0</v>
      </c>
      <c r="I410" s="115"/>
      <c r="J410" s="116"/>
      <c r="K410" s="9">
        <v>2083.3333333333335</v>
      </c>
      <c r="L410" s="127"/>
      <c r="M410" s="117">
        <f>IFERROR(IF(WEEKDAY($A410)&lt;&gt;1,HLOOKUP($B410,'SERVIÇOS NOTÁVEIS'!$23:$32,10,FALSE)*1.39,0),0)</f>
        <v>2539.2288333333327</v>
      </c>
      <c r="O410" s="99"/>
      <c r="P410" s="10"/>
      <c r="R410" s="10"/>
      <c r="S410" s="10"/>
      <c r="U410" s="10"/>
    </row>
    <row r="411" spans="1:21" x14ac:dyDescent="0.35">
      <c r="A411" s="126">
        <f t="shared" si="14"/>
        <v>46430</v>
      </c>
      <c r="B411" s="118" t="str">
        <f t="shared" si="15"/>
        <v>fev/27</v>
      </c>
      <c r="C411" s="115"/>
      <c r="D411" s="116"/>
      <c r="E411" s="118">
        <v>0</v>
      </c>
      <c r="F411" s="115"/>
      <c r="G411" s="116"/>
      <c r="H411" s="118">
        <v>0</v>
      </c>
      <c r="I411" s="115"/>
      <c r="J411" s="116"/>
      <c r="K411" s="9">
        <v>2083.3333333333335</v>
      </c>
      <c r="L411" s="127"/>
      <c r="M411" s="117">
        <f>IFERROR(IF(WEEKDAY($A411)&lt;&gt;1,HLOOKUP($B411,'SERVIÇOS NOTÁVEIS'!$23:$32,10,FALSE)*1.39,0),0)</f>
        <v>2539.2288333333327</v>
      </c>
      <c r="O411" s="99"/>
      <c r="P411" s="10"/>
      <c r="R411" s="10"/>
      <c r="S411" s="10"/>
      <c r="U411" s="10"/>
    </row>
    <row r="412" spans="1:21" x14ac:dyDescent="0.35">
      <c r="A412" s="126">
        <f t="shared" si="14"/>
        <v>46431</v>
      </c>
      <c r="B412" s="118" t="str">
        <f t="shared" si="15"/>
        <v>fev/27</v>
      </c>
      <c r="C412" s="115"/>
      <c r="D412" s="116"/>
      <c r="E412" s="118">
        <v>0</v>
      </c>
      <c r="F412" s="115"/>
      <c r="G412" s="116"/>
      <c r="H412" s="118">
        <v>0</v>
      </c>
      <c r="I412" s="115"/>
      <c r="J412" s="116"/>
      <c r="K412" s="9">
        <v>2083.3333333333335</v>
      </c>
      <c r="L412" s="127"/>
      <c r="M412" s="117">
        <f>IFERROR(IF(WEEKDAY($A412)&lt;&gt;1,HLOOKUP($B412,'SERVIÇOS NOTÁVEIS'!$23:$32,10,FALSE)*1.39,0),0)</f>
        <v>2539.2288333333327</v>
      </c>
      <c r="O412" s="99"/>
      <c r="P412" s="10"/>
      <c r="R412" s="10"/>
      <c r="S412" s="10"/>
      <c r="U412" s="10"/>
    </row>
    <row r="413" spans="1:21" x14ac:dyDescent="0.35">
      <c r="A413" s="126">
        <f t="shared" si="14"/>
        <v>46432</v>
      </c>
      <c r="B413" s="118" t="str">
        <f t="shared" si="15"/>
        <v>fev/27</v>
      </c>
      <c r="C413" s="115"/>
      <c r="D413" s="116"/>
      <c r="E413" s="118">
        <v>0</v>
      </c>
      <c r="F413" s="115"/>
      <c r="G413" s="116"/>
      <c r="H413" s="118">
        <v>0</v>
      </c>
      <c r="I413" s="115"/>
      <c r="J413" s="116"/>
      <c r="K413" s="9">
        <v>0</v>
      </c>
      <c r="L413" s="127"/>
      <c r="M413" s="117">
        <f>IFERROR(IF(WEEKDAY($A413)&lt;&gt;1,HLOOKUP($B413,'SERVIÇOS NOTÁVEIS'!$23:$32,10,FALSE)*1.39,0),0)</f>
        <v>0</v>
      </c>
      <c r="O413" s="99"/>
      <c r="P413" s="10"/>
      <c r="R413" s="10"/>
      <c r="S413" s="10"/>
      <c r="U413" s="10"/>
    </row>
    <row r="414" spans="1:21" x14ac:dyDescent="0.35">
      <c r="A414" s="126">
        <f t="shared" si="14"/>
        <v>46433</v>
      </c>
      <c r="B414" s="118" t="str">
        <f t="shared" si="15"/>
        <v>fev/27</v>
      </c>
      <c r="C414" s="115"/>
      <c r="D414" s="116"/>
      <c r="E414" s="118">
        <v>0</v>
      </c>
      <c r="F414" s="115"/>
      <c r="G414" s="116"/>
      <c r="H414" s="118">
        <v>0</v>
      </c>
      <c r="I414" s="115"/>
      <c r="J414" s="116"/>
      <c r="K414" s="9">
        <v>2083.3333333333335</v>
      </c>
      <c r="L414" s="127"/>
      <c r="M414" s="117">
        <f>IFERROR(IF(WEEKDAY($A414)&lt;&gt;1,HLOOKUP($B414,'SERVIÇOS NOTÁVEIS'!$23:$32,10,FALSE)*1.39,0),0)</f>
        <v>2539.2288333333327</v>
      </c>
      <c r="O414" s="99"/>
      <c r="P414" s="10"/>
      <c r="R414" s="10"/>
      <c r="S414" s="10"/>
      <c r="U414" s="10"/>
    </row>
    <row r="415" spans="1:21" x14ac:dyDescent="0.35">
      <c r="A415" s="126">
        <f t="shared" si="14"/>
        <v>46434</v>
      </c>
      <c r="B415" s="118" t="str">
        <f t="shared" si="15"/>
        <v>fev/27</v>
      </c>
      <c r="C415" s="115"/>
      <c r="D415" s="116"/>
      <c r="E415" s="118">
        <v>0</v>
      </c>
      <c r="F415" s="115"/>
      <c r="G415" s="116"/>
      <c r="H415" s="118">
        <v>0</v>
      </c>
      <c r="I415" s="115"/>
      <c r="J415" s="116"/>
      <c r="K415" s="9">
        <v>2083.3333333333335</v>
      </c>
      <c r="L415" s="127"/>
      <c r="M415" s="117">
        <f>IFERROR(IF(WEEKDAY($A415)&lt;&gt;1,HLOOKUP($B415,'SERVIÇOS NOTÁVEIS'!$23:$32,10,FALSE)*1.39,0),0)</f>
        <v>2539.2288333333327</v>
      </c>
      <c r="O415" s="99"/>
      <c r="P415" s="10"/>
      <c r="R415" s="10"/>
      <c r="S415" s="10"/>
      <c r="U415" s="10"/>
    </row>
    <row r="416" spans="1:21" x14ac:dyDescent="0.35">
      <c r="A416" s="126">
        <f t="shared" si="14"/>
        <v>46435</v>
      </c>
      <c r="B416" s="118" t="str">
        <f t="shared" si="15"/>
        <v>fev/27</v>
      </c>
      <c r="C416" s="115"/>
      <c r="D416" s="116"/>
      <c r="E416" s="118">
        <v>0</v>
      </c>
      <c r="F416" s="115"/>
      <c r="G416" s="116"/>
      <c r="H416" s="118">
        <v>0</v>
      </c>
      <c r="I416" s="115"/>
      <c r="J416" s="116"/>
      <c r="K416" s="9">
        <v>2083.3333333333335</v>
      </c>
      <c r="L416" s="127"/>
      <c r="M416" s="117">
        <f>IFERROR(IF(WEEKDAY($A416)&lt;&gt;1,HLOOKUP($B416,'SERVIÇOS NOTÁVEIS'!$23:$32,10,FALSE)*1.39,0),0)</f>
        <v>2539.2288333333327</v>
      </c>
      <c r="O416" s="99"/>
      <c r="P416" s="10"/>
      <c r="R416" s="10"/>
      <c r="S416" s="10"/>
      <c r="U416" s="10"/>
    </row>
    <row r="417" spans="1:21" x14ac:dyDescent="0.35">
      <c r="A417" s="126">
        <f t="shared" si="14"/>
        <v>46436</v>
      </c>
      <c r="B417" s="118" t="str">
        <f t="shared" si="15"/>
        <v>fev/27</v>
      </c>
      <c r="C417" s="115"/>
      <c r="D417" s="116"/>
      <c r="E417" s="118">
        <v>0</v>
      </c>
      <c r="F417" s="115"/>
      <c r="G417" s="116"/>
      <c r="H417" s="118">
        <v>0</v>
      </c>
      <c r="I417" s="115"/>
      <c r="J417" s="116"/>
      <c r="K417" s="9">
        <v>2083.3333333333335</v>
      </c>
      <c r="L417" s="127"/>
      <c r="M417" s="117">
        <f>IFERROR(IF(WEEKDAY($A417)&lt;&gt;1,HLOOKUP($B417,'SERVIÇOS NOTÁVEIS'!$23:$32,10,FALSE)*1.39,0),0)</f>
        <v>2539.2288333333327</v>
      </c>
      <c r="O417" s="99"/>
      <c r="P417" s="10"/>
      <c r="R417" s="10"/>
      <c r="S417" s="10"/>
      <c r="U417" s="10"/>
    </row>
    <row r="418" spans="1:21" x14ac:dyDescent="0.35">
      <c r="A418" s="126">
        <f t="shared" si="14"/>
        <v>46437</v>
      </c>
      <c r="B418" s="118" t="str">
        <f t="shared" si="15"/>
        <v>fev/27</v>
      </c>
      <c r="C418" s="115"/>
      <c r="D418" s="116"/>
      <c r="E418" s="118">
        <v>0</v>
      </c>
      <c r="F418" s="115"/>
      <c r="G418" s="116"/>
      <c r="H418" s="118">
        <v>0</v>
      </c>
      <c r="I418" s="115"/>
      <c r="J418" s="116"/>
      <c r="K418" s="9">
        <v>2083.3333333333335</v>
      </c>
      <c r="L418" s="127"/>
      <c r="M418" s="117">
        <f>IFERROR(IF(WEEKDAY($A418)&lt;&gt;1,HLOOKUP($B418,'SERVIÇOS NOTÁVEIS'!$23:$32,10,FALSE)*1.39,0),0)</f>
        <v>2539.2288333333327</v>
      </c>
      <c r="O418" s="99"/>
      <c r="P418" s="10"/>
      <c r="R418" s="10"/>
      <c r="S418" s="10"/>
      <c r="U418" s="10"/>
    </row>
    <row r="419" spans="1:21" x14ac:dyDescent="0.35">
      <c r="A419" s="126">
        <f t="shared" si="14"/>
        <v>46438</v>
      </c>
      <c r="B419" s="118" t="str">
        <f t="shared" si="15"/>
        <v>fev/27</v>
      </c>
      <c r="C419" s="115"/>
      <c r="D419" s="116"/>
      <c r="E419" s="118">
        <v>0</v>
      </c>
      <c r="F419" s="115"/>
      <c r="G419" s="116"/>
      <c r="H419" s="118">
        <v>0</v>
      </c>
      <c r="I419" s="115"/>
      <c r="J419" s="116"/>
      <c r="K419" s="9">
        <v>2083.3333333333335</v>
      </c>
      <c r="L419" s="127"/>
      <c r="M419" s="117">
        <f>IFERROR(IF(WEEKDAY($A419)&lt;&gt;1,HLOOKUP($B419,'SERVIÇOS NOTÁVEIS'!$23:$32,10,FALSE)*1.39,0),0)</f>
        <v>2539.2288333333327</v>
      </c>
      <c r="O419" s="99"/>
      <c r="P419" s="10"/>
      <c r="R419" s="10"/>
      <c r="S419" s="10"/>
      <c r="U419" s="10"/>
    </row>
    <row r="420" spans="1:21" x14ac:dyDescent="0.35">
      <c r="A420" s="126">
        <f t="shared" si="14"/>
        <v>46439</v>
      </c>
      <c r="B420" s="118" t="str">
        <f t="shared" si="15"/>
        <v>fev/27</v>
      </c>
      <c r="C420" s="115"/>
      <c r="D420" s="116"/>
      <c r="E420" s="118">
        <v>0</v>
      </c>
      <c r="F420" s="115"/>
      <c r="G420" s="116"/>
      <c r="H420" s="118">
        <v>0</v>
      </c>
      <c r="I420" s="115"/>
      <c r="J420" s="116"/>
      <c r="K420" s="9">
        <v>0</v>
      </c>
      <c r="L420" s="127"/>
      <c r="M420" s="117">
        <f>IFERROR(IF(WEEKDAY($A420)&lt;&gt;1,HLOOKUP($B420,'SERVIÇOS NOTÁVEIS'!$23:$32,10,FALSE)*1.39,0),0)</f>
        <v>0</v>
      </c>
      <c r="O420" s="99"/>
      <c r="P420" s="10"/>
      <c r="R420" s="10"/>
      <c r="S420" s="10"/>
      <c r="U420" s="10"/>
    </row>
    <row r="421" spans="1:21" x14ac:dyDescent="0.35">
      <c r="A421" s="126">
        <f t="shared" si="14"/>
        <v>46440</v>
      </c>
      <c r="B421" s="118" t="str">
        <f t="shared" si="15"/>
        <v>fev/27</v>
      </c>
      <c r="C421" s="115"/>
      <c r="D421" s="116"/>
      <c r="E421" s="118">
        <v>0</v>
      </c>
      <c r="F421" s="115"/>
      <c r="G421" s="116"/>
      <c r="H421" s="118">
        <v>0</v>
      </c>
      <c r="I421" s="115"/>
      <c r="J421" s="116"/>
      <c r="K421" s="9">
        <v>2083.3333333333335</v>
      </c>
      <c r="L421" s="127"/>
      <c r="M421" s="117">
        <f>IFERROR(IF(WEEKDAY($A421)&lt;&gt;1,HLOOKUP($B421,'SERVIÇOS NOTÁVEIS'!$23:$32,10,FALSE)*1.39,0),0)</f>
        <v>2539.2288333333327</v>
      </c>
      <c r="O421" s="99"/>
      <c r="P421" s="10"/>
      <c r="R421" s="10"/>
      <c r="S421" s="10"/>
      <c r="U421" s="10"/>
    </row>
    <row r="422" spans="1:21" x14ac:dyDescent="0.35">
      <c r="A422" s="126">
        <f t="shared" si="14"/>
        <v>46441</v>
      </c>
      <c r="B422" s="118" t="str">
        <f t="shared" si="15"/>
        <v>fev/27</v>
      </c>
      <c r="C422" s="115"/>
      <c r="D422" s="116"/>
      <c r="E422" s="118">
        <v>0</v>
      </c>
      <c r="F422" s="115"/>
      <c r="G422" s="116"/>
      <c r="H422" s="118">
        <v>0</v>
      </c>
      <c r="I422" s="115"/>
      <c r="J422" s="116"/>
      <c r="K422" s="9">
        <v>2083.3333333333335</v>
      </c>
      <c r="L422" s="127"/>
      <c r="M422" s="117">
        <f>IFERROR(IF(WEEKDAY($A422)&lt;&gt;1,HLOOKUP($B422,'SERVIÇOS NOTÁVEIS'!$23:$32,10,FALSE)*1.39,0),0)</f>
        <v>2539.2288333333327</v>
      </c>
      <c r="O422" s="99"/>
      <c r="P422" s="10"/>
      <c r="R422" s="10"/>
      <c r="S422" s="10"/>
      <c r="U422" s="10"/>
    </row>
    <row r="423" spans="1:21" x14ac:dyDescent="0.35">
      <c r="A423" s="126">
        <f t="shared" si="14"/>
        <v>46442</v>
      </c>
      <c r="B423" s="118" t="str">
        <f t="shared" si="15"/>
        <v>fev/27</v>
      </c>
      <c r="C423" s="115"/>
      <c r="D423" s="116"/>
      <c r="E423" s="118">
        <v>0</v>
      </c>
      <c r="F423" s="115"/>
      <c r="G423" s="116"/>
      <c r="H423" s="118">
        <v>0</v>
      </c>
      <c r="I423" s="115"/>
      <c r="J423" s="116"/>
      <c r="K423" s="9">
        <v>2083.3333333333335</v>
      </c>
      <c r="L423" s="127"/>
      <c r="M423" s="117">
        <f>IFERROR(IF(WEEKDAY($A423)&lt;&gt;1,HLOOKUP($B423,'SERVIÇOS NOTÁVEIS'!$23:$32,10,FALSE)*1.39,0),0)</f>
        <v>2539.2288333333327</v>
      </c>
      <c r="O423" s="99"/>
      <c r="P423" s="10"/>
      <c r="R423" s="10"/>
      <c r="S423" s="10"/>
      <c r="U423" s="10"/>
    </row>
    <row r="424" spans="1:21" x14ac:dyDescent="0.35">
      <c r="A424" s="126">
        <f t="shared" si="14"/>
        <v>46443</v>
      </c>
      <c r="B424" s="118" t="str">
        <f t="shared" si="15"/>
        <v>fev/27</v>
      </c>
      <c r="C424" s="115"/>
      <c r="D424" s="116"/>
      <c r="E424" s="118">
        <v>0</v>
      </c>
      <c r="F424" s="115"/>
      <c r="G424" s="116"/>
      <c r="H424" s="118">
        <v>0</v>
      </c>
      <c r="I424" s="115"/>
      <c r="J424" s="116"/>
      <c r="K424" s="9">
        <v>2083.3333333333335</v>
      </c>
      <c r="L424" s="127"/>
      <c r="M424" s="117">
        <f>IFERROR(IF(WEEKDAY($A424)&lt;&gt;1,HLOOKUP($B424,'SERVIÇOS NOTÁVEIS'!$23:$32,10,FALSE)*1.39,0),0)</f>
        <v>2539.2288333333327</v>
      </c>
      <c r="O424" s="99"/>
      <c r="P424" s="10"/>
      <c r="R424" s="10"/>
      <c r="S424" s="10"/>
      <c r="U424" s="10"/>
    </row>
    <row r="425" spans="1:21" x14ac:dyDescent="0.35">
      <c r="A425" s="126">
        <f t="shared" si="14"/>
        <v>46444</v>
      </c>
      <c r="B425" s="118" t="str">
        <f t="shared" si="15"/>
        <v>fev/27</v>
      </c>
      <c r="C425" s="115"/>
      <c r="D425" s="116"/>
      <c r="E425" s="118">
        <v>0</v>
      </c>
      <c r="F425" s="115"/>
      <c r="G425" s="116"/>
      <c r="H425" s="118">
        <v>0</v>
      </c>
      <c r="I425" s="115"/>
      <c r="J425" s="116"/>
      <c r="K425" s="9">
        <v>2083.3333333333335</v>
      </c>
      <c r="L425" s="127"/>
      <c r="M425" s="117">
        <f>IFERROR(IF(WEEKDAY($A425)&lt;&gt;1,HLOOKUP($B425,'SERVIÇOS NOTÁVEIS'!$23:$32,10,FALSE)*1.39,0),0)</f>
        <v>2539.2288333333327</v>
      </c>
      <c r="O425" s="99"/>
      <c r="P425" s="10"/>
      <c r="R425" s="10"/>
      <c r="S425" s="10"/>
      <c r="U425" s="10"/>
    </row>
    <row r="426" spans="1:21" x14ac:dyDescent="0.35">
      <c r="A426" s="126">
        <f t="shared" si="14"/>
        <v>46445</v>
      </c>
      <c r="B426" s="118" t="str">
        <f t="shared" si="15"/>
        <v>fev/27</v>
      </c>
      <c r="C426" s="115"/>
      <c r="D426" s="116"/>
      <c r="E426" s="118">
        <v>0</v>
      </c>
      <c r="F426" s="115"/>
      <c r="G426" s="116"/>
      <c r="H426" s="118">
        <v>0</v>
      </c>
      <c r="I426" s="115"/>
      <c r="J426" s="116"/>
      <c r="K426" s="9">
        <v>2083.3333333333335</v>
      </c>
      <c r="L426" s="127"/>
      <c r="M426" s="117">
        <f>IFERROR(IF(WEEKDAY($A426)&lt;&gt;1,HLOOKUP($B426,'SERVIÇOS NOTÁVEIS'!$23:$32,10,FALSE)*1.39,0),0)</f>
        <v>2539.2288333333327</v>
      </c>
      <c r="O426" s="99"/>
      <c r="P426" s="10"/>
      <c r="R426" s="10"/>
      <c r="S426" s="10"/>
      <c r="U426" s="10"/>
    </row>
    <row r="427" spans="1:21" x14ac:dyDescent="0.35">
      <c r="A427" s="126">
        <f t="shared" si="14"/>
        <v>46446</v>
      </c>
      <c r="B427" s="118" t="str">
        <f t="shared" si="15"/>
        <v>fev/27</v>
      </c>
      <c r="C427" s="115"/>
      <c r="D427" s="116"/>
      <c r="E427" s="118">
        <v>0</v>
      </c>
      <c r="F427" s="115"/>
      <c r="G427" s="116"/>
      <c r="H427" s="118">
        <v>0</v>
      </c>
      <c r="I427" s="115"/>
      <c r="J427" s="116"/>
      <c r="K427" s="9">
        <v>0</v>
      </c>
      <c r="L427" s="127"/>
      <c r="M427" s="117">
        <f>IFERROR(IF(WEEKDAY($A427)&lt;&gt;1,HLOOKUP($B427,'SERVIÇOS NOTÁVEIS'!$23:$32,10,FALSE)*1.39,0),0)</f>
        <v>0</v>
      </c>
      <c r="O427" s="99"/>
      <c r="P427" s="10"/>
      <c r="R427" s="10"/>
      <c r="S427" s="10"/>
      <c r="U427" s="10"/>
    </row>
    <row r="428" spans="1:21" x14ac:dyDescent="0.35">
      <c r="A428" s="126">
        <f t="shared" si="14"/>
        <v>46447</v>
      </c>
      <c r="B428" s="118" t="str">
        <f t="shared" si="15"/>
        <v>mar/27</v>
      </c>
      <c r="C428" s="115"/>
      <c r="D428" s="116"/>
      <c r="E428" s="118">
        <v>0</v>
      </c>
      <c r="F428" s="115"/>
      <c r="G428" s="116"/>
      <c r="H428" s="118">
        <v>0</v>
      </c>
      <c r="I428" s="115"/>
      <c r="J428" s="116"/>
      <c r="K428" s="9">
        <v>1851.851851851852</v>
      </c>
      <c r="L428" s="127"/>
      <c r="M428" s="117">
        <f>IFERROR(IF(WEEKDAY($A428)&lt;&gt;1,HLOOKUP($B428,'SERVIÇOS NOTÁVEIS'!$23:$32,10,FALSE)*1.39,0),0)</f>
        <v>2046.1881111111097</v>
      </c>
      <c r="O428" s="99"/>
      <c r="P428" s="10"/>
      <c r="R428" s="10"/>
      <c r="S428" s="10"/>
      <c r="U428" s="10"/>
    </row>
    <row r="429" spans="1:21" x14ac:dyDescent="0.35">
      <c r="A429" s="126">
        <f t="shared" si="14"/>
        <v>46448</v>
      </c>
      <c r="B429" s="118" t="str">
        <f t="shared" si="15"/>
        <v>mar/27</v>
      </c>
      <c r="C429" s="115"/>
      <c r="D429" s="116"/>
      <c r="E429" s="118">
        <v>0</v>
      </c>
      <c r="F429" s="115"/>
      <c r="G429" s="116"/>
      <c r="H429" s="118">
        <v>0</v>
      </c>
      <c r="I429" s="115"/>
      <c r="J429" s="116"/>
      <c r="K429" s="9">
        <v>1851.851851851852</v>
      </c>
      <c r="L429" s="127"/>
      <c r="M429" s="117">
        <f>IFERROR(IF(WEEKDAY($A429)&lt;&gt;1,HLOOKUP($B429,'SERVIÇOS NOTÁVEIS'!$23:$32,10,FALSE)*1.39,0),0)</f>
        <v>2046.1881111111097</v>
      </c>
      <c r="O429" s="99"/>
      <c r="P429" s="10"/>
      <c r="R429" s="10"/>
      <c r="S429" s="10"/>
      <c r="U429" s="10"/>
    </row>
    <row r="430" spans="1:21" x14ac:dyDescent="0.35">
      <c r="A430" s="126">
        <f t="shared" si="14"/>
        <v>46449</v>
      </c>
      <c r="B430" s="118" t="str">
        <f t="shared" si="15"/>
        <v>mar/27</v>
      </c>
      <c r="C430" s="115"/>
      <c r="D430" s="116"/>
      <c r="E430" s="118">
        <v>0</v>
      </c>
      <c r="F430" s="115"/>
      <c r="G430" s="116"/>
      <c r="H430" s="118">
        <v>0</v>
      </c>
      <c r="I430" s="115"/>
      <c r="J430" s="116"/>
      <c r="K430" s="9">
        <v>1851.851851851852</v>
      </c>
      <c r="L430" s="127"/>
      <c r="M430" s="117">
        <f>IFERROR(IF(WEEKDAY($A430)&lt;&gt;1,HLOOKUP($B430,'SERVIÇOS NOTÁVEIS'!$23:$32,10,FALSE)*1.39,0),0)</f>
        <v>2046.1881111111097</v>
      </c>
      <c r="O430" s="99"/>
      <c r="P430" s="10"/>
      <c r="R430" s="10"/>
      <c r="S430" s="10"/>
      <c r="U430" s="10"/>
    </row>
    <row r="431" spans="1:21" x14ac:dyDescent="0.35">
      <c r="A431" s="126">
        <f t="shared" si="14"/>
        <v>46450</v>
      </c>
      <c r="B431" s="118" t="str">
        <f t="shared" si="15"/>
        <v>mar/27</v>
      </c>
      <c r="C431" s="115"/>
      <c r="D431" s="116"/>
      <c r="E431" s="118">
        <v>0</v>
      </c>
      <c r="F431" s="115"/>
      <c r="G431" s="116"/>
      <c r="H431" s="118">
        <v>0</v>
      </c>
      <c r="I431" s="115"/>
      <c r="J431" s="116"/>
      <c r="K431" s="9">
        <v>1851.851851851852</v>
      </c>
      <c r="L431" s="127"/>
      <c r="M431" s="117">
        <f>IFERROR(IF(WEEKDAY($A431)&lt;&gt;1,HLOOKUP($B431,'SERVIÇOS NOTÁVEIS'!$23:$32,10,FALSE)*1.39,0),0)</f>
        <v>2046.1881111111097</v>
      </c>
      <c r="O431" s="99"/>
      <c r="P431" s="10"/>
      <c r="R431" s="10"/>
      <c r="S431" s="10"/>
      <c r="U431" s="10"/>
    </row>
    <row r="432" spans="1:21" x14ac:dyDescent="0.35">
      <c r="A432" s="126">
        <f t="shared" si="14"/>
        <v>46451</v>
      </c>
      <c r="B432" s="118" t="str">
        <f t="shared" si="15"/>
        <v>mar/27</v>
      </c>
      <c r="C432" s="115"/>
      <c r="D432" s="116"/>
      <c r="E432" s="118">
        <v>0</v>
      </c>
      <c r="F432" s="115"/>
      <c r="G432" s="116"/>
      <c r="H432" s="118">
        <v>0</v>
      </c>
      <c r="I432" s="115"/>
      <c r="J432" s="116"/>
      <c r="K432" s="9">
        <v>1851.851851851852</v>
      </c>
      <c r="L432" s="127"/>
      <c r="M432" s="117">
        <f>IFERROR(IF(WEEKDAY($A432)&lt;&gt;1,HLOOKUP($B432,'SERVIÇOS NOTÁVEIS'!$23:$32,10,FALSE)*1.39,0),0)</f>
        <v>2046.1881111111097</v>
      </c>
      <c r="O432" s="99"/>
      <c r="P432" s="10"/>
      <c r="R432" s="10"/>
      <c r="S432" s="10"/>
      <c r="U432" s="10"/>
    </row>
    <row r="433" spans="1:21" x14ac:dyDescent="0.35">
      <c r="A433" s="126">
        <f t="shared" si="14"/>
        <v>46452</v>
      </c>
      <c r="B433" s="118" t="str">
        <f t="shared" si="15"/>
        <v>mar/27</v>
      </c>
      <c r="C433" s="115"/>
      <c r="D433" s="116"/>
      <c r="E433" s="118">
        <v>0</v>
      </c>
      <c r="F433" s="115"/>
      <c r="G433" s="116"/>
      <c r="H433" s="118">
        <v>0</v>
      </c>
      <c r="I433" s="115"/>
      <c r="J433" s="116"/>
      <c r="K433" s="9">
        <v>1851.851851851852</v>
      </c>
      <c r="L433" s="127"/>
      <c r="M433" s="117">
        <f>IFERROR(IF(WEEKDAY($A433)&lt;&gt;1,HLOOKUP($B433,'SERVIÇOS NOTÁVEIS'!$23:$32,10,FALSE)*1.39,0),0)</f>
        <v>2046.1881111111097</v>
      </c>
      <c r="O433" s="99"/>
      <c r="P433" s="10"/>
      <c r="R433" s="10"/>
      <c r="S433" s="10"/>
      <c r="U433" s="10"/>
    </row>
    <row r="434" spans="1:21" x14ac:dyDescent="0.35">
      <c r="A434" s="126">
        <f t="shared" si="14"/>
        <v>46453</v>
      </c>
      <c r="B434" s="118" t="str">
        <f t="shared" si="15"/>
        <v>mar/27</v>
      </c>
      <c r="C434" s="115"/>
      <c r="D434" s="116"/>
      <c r="E434" s="118">
        <v>0</v>
      </c>
      <c r="F434" s="115"/>
      <c r="G434" s="116"/>
      <c r="H434" s="118">
        <v>0</v>
      </c>
      <c r="I434" s="115"/>
      <c r="J434" s="116"/>
      <c r="K434" s="9">
        <v>0</v>
      </c>
      <c r="L434" s="127"/>
      <c r="M434" s="117">
        <f>IFERROR(IF(WEEKDAY($A434)&lt;&gt;1,HLOOKUP($B434,'SERVIÇOS NOTÁVEIS'!$23:$32,10,FALSE)*1.39,0),0)</f>
        <v>0</v>
      </c>
      <c r="O434" s="99"/>
      <c r="P434" s="10"/>
      <c r="R434" s="10"/>
      <c r="S434" s="10"/>
      <c r="U434" s="10"/>
    </row>
    <row r="435" spans="1:21" x14ac:dyDescent="0.35">
      <c r="A435" s="126">
        <f t="shared" si="14"/>
        <v>46454</v>
      </c>
      <c r="B435" s="118" t="str">
        <f t="shared" si="15"/>
        <v>mar/27</v>
      </c>
      <c r="C435" s="115"/>
      <c r="D435" s="116"/>
      <c r="E435" s="118">
        <v>0</v>
      </c>
      <c r="F435" s="115"/>
      <c r="G435" s="116"/>
      <c r="H435" s="118">
        <v>0</v>
      </c>
      <c r="I435" s="115"/>
      <c r="J435" s="116"/>
      <c r="K435" s="9">
        <v>1851.851851851852</v>
      </c>
      <c r="L435" s="127"/>
      <c r="M435" s="117">
        <f>IFERROR(IF(WEEKDAY($A435)&lt;&gt;1,HLOOKUP($B435,'SERVIÇOS NOTÁVEIS'!$23:$32,10,FALSE)*1.39,0),0)</f>
        <v>2046.1881111111097</v>
      </c>
      <c r="O435" s="99"/>
      <c r="P435" s="10"/>
      <c r="R435" s="10"/>
      <c r="S435" s="10"/>
      <c r="U435" s="10"/>
    </row>
    <row r="436" spans="1:21" x14ac:dyDescent="0.35">
      <c r="A436" s="126">
        <f t="shared" si="14"/>
        <v>46455</v>
      </c>
      <c r="B436" s="118" t="str">
        <f t="shared" si="15"/>
        <v>mar/27</v>
      </c>
      <c r="C436" s="115"/>
      <c r="D436" s="116"/>
      <c r="E436" s="118">
        <v>0</v>
      </c>
      <c r="F436" s="115"/>
      <c r="G436" s="116"/>
      <c r="H436" s="118">
        <v>0</v>
      </c>
      <c r="I436" s="115"/>
      <c r="J436" s="116"/>
      <c r="K436" s="9">
        <v>1851.851851851852</v>
      </c>
      <c r="L436" s="127"/>
      <c r="M436" s="117">
        <f>IFERROR(IF(WEEKDAY($A436)&lt;&gt;1,HLOOKUP($B436,'SERVIÇOS NOTÁVEIS'!$23:$32,10,FALSE)*1.39,0),0)</f>
        <v>2046.1881111111097</v>
      </c>
      <c r="O436" s="99"/>
      <c r="P436" s="10"/>
      <c r="R436" s="10"/>
      <c r="S436" s="10"/>
      <c r="U436" s="10"/>
    </row>
    <row r="437" spans="1:21" x14ac:dyDescent="0.35">
      <c r="A437" s="126">
        <f t="shared" si="14"/>
        <v>46456</v>
      </c>
      <c r="B437" s="118" t="str">
        <f t="shared" si="15"/>
        <v>mar/27</v>
      </c>
      <c r="C437" s="115"/>
      <c r="D437" s="116"/>
      <c r="E437" s="118">
        <v>0</v>
      </c>
      <c r="F437" s="115"/>
      <c r="G437" s="116"/>
      <c r="H437" s="118">
        <v>0</v>
      </c>
      <c r="I437" s="115"/>
      <c r="J437" s="116"/>
      <c r="K437" s="9">
        <v>1851.851851851852</v>
      </c>
      <c r="L437" s="127"/>
      <c r="M437" s="117">
        <f>IFERROR(IF(WEEKDAY($A437)&lt;&gt;1,HLOOKUP($B437,'SERVIÇOS NOTÁVEIS'!$23:$32,10,FALSE)*1.39,0),0)</f>
        <v>2046.1881111111097</v>
      </c>
      <c r="O437" s="99"/>
      <c r="P437" s="10"/>
      <c r="R437" s="10"/>
      <c r="S437" s="10"/>
      <c r="U437" s="10"/>
    </row>
    <row r="438" spans="1:21" x14ac:dyDescent="0.35">
      <c r="A438" s="126">
        <f t="shared" si="14"/>
        <v>46457</v>
      </c>
      <c r="B438" s="118" t="str">
        <f t="shared" si="15"/>
        <v>mar/27</v>
      </c>
      <c r="C438" s="115"/>
      <c r="D438" s="116"/>
      <c r="E438" s="118">
        <v>0</v>
      </c>
      <c r="F438" s="115"/>
      <c r="G438" s="116"/>
      <c r="H438" s="118">
        <v>0</v>
      </c>
      <c r="I438" s="115"/>
      <c r="J438" s="116"/>
      <c r="K438" s="9">
        <v>1851.851851851852</v>
      </c>
      <c r="L438" s="127"/>
      <c r="M438" s="117">
        <f>IFERROR(IF(WEEKDAY($A438)&lt;&gt;1,HLOOKUP($B438,'SERVIÇOS NOTÁVEIS'!$23:$32,10,FALSE)*1.39,0),0)</f>
        <v>2046.1881111111097</v>
      </c>
      <c r="O438" s="99"/>
      <c r="P438" s="10"/>
      <c r="R438" s="10"/>
      <c r="S438" s="10"/>
      <c r="U438" s="10"/>
    </row>
    <row r="439" spans="1:21" x14ac:dyDescent="0.35">
      <c r="A439" s="126">
        <f t="shared" si="14"/>
        <v>46458</v>
      </c>
      <c r="B439" s="118" t="str">
        <f t="shared" si="15"/>
        <v>mar/27</v>
      </c>
      <c r="C439" s="115"/>
      <c r="D439" s="116"/>
      <c r="E439" s="118">
        <v>0</v>
      </c>
      <c r="F439" s="115"/>
      <c r="G439" s="116"/>
      <c r="H439" s="118">
        <v>0</v>
      </c>
      <c r="I439" s="115"/>
      <c r="J439" s="116"/>
      <c r="K439" s="9">
        <v>1851.851851851852</v>
      </c>
      <c r="L439" s="127"/>
      <c r="M439" s="117">
        <f>IFERROR(IF(WEEKDAY($A439)&lt;&gt;1,HLOOKUP($B439,'SERVIÇOS NOTÁVEIS'!$23:$32,10,FALSE)*1.39,0),0)</f>
        <v>2046.1881111111097</v>
      </c>
      <c r="O439" s="99"/>
      <c r="P439" s="10"/>
      <c r="R439" s="10"/>
      <c r="S439" s="10"/>
      <c r="U439" s="10"/>
    </row>
    <row r="440" spans="1:21" x14ac:dyDescent="0.35">
      <c r="A440" s="126">
        <f t="shared" ref="A440:A503" si="16">A439+1</f>
        <v>46459</v>
      </c>
      <c r="B440" s="118" t="str">
        <f t="shared" si="15"/>
        <v>mar/27</v>
      </c>
      <c r="C440" s="115"/>
      <c r="D440" s="116"/>
      <c r="E440" s="118">
        <v>0</v>
      </c>
      <c r="F440" s="115"/>
      <c r="G440" s="116"/>
      <c r="H440" s="118">
        <v>0</v>
      </c>
      <c r="I440" s="115"/>
      <c r="J440" s="116"/>
      <c r="K440" s="9">
        <v>1851.851851851852</v>
      </c>
      <c r="L440" s="127"/>
      <c r="M440" s="117">
        <f>IFERROR(IF(WEEKDAY($A440)&lt;&gt;1,HLOOKUP($B440,'SERVIÇOS NOTÁVEIS'!$23:$32,10,FALSE)*1.39,0),0)</f>
        <v>2046.1881111111097</v>
      </c>
      <c r="O440" s="99"/>
      <c r="P440" s="10"/>
      <c r="R440" s="10"/>
      <c r="S440" s="10"/>
      <c r="U440" s="10"/>
    </row>
    <row r="441" spans="1:21" x14ac:dyDescent="0.35">
      <c r="A441" s="126">
        <f t="shared" si="16"/>
        <v>46460</v>
      </c>
      <c r="B441" s="118" t="str">
        <f t="shared" si="15"/>
        <v>mar/27</v>
      </c>
      <c r="C441" s="115"/>
      <c r="D441" s="116"/>
      <c r="E441" s="118">
        <v>0</v>
      </c>
      <c r="F441" s="115"/>
      <c r="G441" s="116"/>
      <c r="H441" s="118">
        <v>0</v>
      </c>
      <c r="I441" s="115"/>
      <c r="J441" s="116"/>
      <c r="K441" s="9">
        <v>0</v>
      </c>
      <c r="L441" s="127"/>
      <c r="M441" s="117">
        <f>IFERROR(IF(WEEKDAY($A441)&lt;&gt;1,HLOOKUP($B441,'SERVIÇOS NOTÁVEIS'!$23:$32,10,FALSE)*1.39,0),0)</f>
        <v>0</v>
      </c>
      <c r="O441" s="99"/>
      <c r="P441" s="10"/>
      <c r="R441" s="10"/>
      <c r="S441" s="10"/>
      <c r="U441" s="10"/>
    </row>
    <row r="442" spans="1:21" x14ac:dyDescent="0.35">
      <c r="A442" s="126">
        <f t="shared" si="16"/>
        <v>46461</v>
      </c>
      <c r="B442" s="118" t="str">
        <f t="shared" si="15"/>
        <v>mar/27</v>
      </c>
      <c r="C442" s="115"/>
      <c r="D442" s="116"/>
      <c r="E442" s="118">
        <v>0</v>
      </c>
      <c r="F442" s="115"/>
      <c r="G442" s="116"/>
      <c r="H442" s="118">
        <v>0</v>
      </c>
      <c r="I442" s="115"/>
      <c r="J442" s="116"/>
      <c r="K442" s="9">
        <v>1851.851851851852</v>
      </c>
      <c r="L442" s="127"/>
      <c r="M442" s="117">
        <f>IFERROR(IF(WEEKDAY($A442)&lt;&gt;1,HLOOKUP($B442,'SERVIÇOS NOTÁVEIS'!$23:$32,10,FALSE)*1.39,0),0)</f>
        <v>2046.1881111111097</v>
      </c>
      <c r="O442" s="99"/>
      <c r="P442" s="10"/>
      <c r="R442" s="10"/>
      <c r="S442" s="10"/>
      <c r="U442" s="10"/>
    </row>
    <row r="443" spans="1:21" x14ac:dyDescent="0.35">
      <c r="A443" s="126">
        <f t="shared" si="16"/>
        <v>46462</v>
      </c>
      <c r="B443" s="118" t="str">
        <f t="shared" si="15"/>
        <v>mar/27</v>
      </c>
      <c r="C443" s="115"/>
      <c r="D443" s="116"/>
      <c r="E443" s="118">
        <v>0</v>
      </c>
      <c r="F443" s="115"/>
      <c r="G443" s="116"/>
      <c r="H443" s="118">
        <v>0</v>
      </c>
      <c r="I443" s="115"/>
      <c r="J443" s="116"/>
      <c r="K443" s="9">
        <v>1851.851851851852</v>
      </c>
      <c r="L443" s="127"/>
      <c r="M443" s="117">
        <f>IFERROR(IF(WEEKDAY($A443)&lt;&gt;1,HLOOKUP($B443,'SERVIÇOS NOTÁVEIS'!$23:$32,10,FALSE)*1.39,0),0)</f>
        <v>2046.1881111111097</v>
      </c>
      <c r="O443" s="99"/>
      <c r="P443" s="10"/>
      <c r="R443" s="10"/>
      <c r="S443" s="10"/>
      <c r="U443" s="10"/>
    </row>
    <row r="444" spans="1:21" x14ac:dyDescent="0.35">
      <c r="A444" s="126">
        <f t="shared" si="16"/>
        <v>46463</v>
      </c>
      <c r="B444" s="118" t="str">
        <f t="shared" si="15"/>
        <v>mar/27</v>
      </c>
      <c r="C444" s="115"/>
      <c r="D444" s="116"/>
      <c r="E444" s="118">
        <v>0</v>
      </c>
      <c r="F444" s="115"/>
      <c r="G444" s="116"/>
      <c r="H444" s="118">
        <v>0</v>
      </c>
      <c r="I444" s="115"/>
      <c r="J444" s="116"/>
      <c r="K444" s="9">
        <v>1851.851851851852</v>
      </c>
      <c r="L444" s="127"/>
      <c r="M444" s="117">
        <f>IFERROR(IF(WEEKDAY($A444)&lt;&gt;1,HLOOKUP($B444,'SERVIÇOS NOTÁVEIS'!$23:$32,10,FALSE)*1.39,0),0)</f>
        <v>2046.1881111111097</v>
      </c>
      <c r="O444" s="99"/>
      <c r="P444" s="10"/>
      <c r="R444" s="10"/>
      <c r="S444" s="10"/>
      <c r="U444" s="10"/>
    </row>
    <row r="445" spans="1:21" x14ac:dyDescent="0.35">
      <c r="A445" s="126">
        <f t="shared" si="16"/>
        <v>46464</v>
      </c>
      <c r="B445" s="118" t="str">
        <f t="shared" si="15"/>
        <v>mar/27</v>
      </c>
      <c r="C445" s="115"/>
      <c r="D445" s="116"/>
      <c r="E445" s="118">
        <v>0</v>
      </c>
      <c r="F445" s="115"/>
      <c r="G445" s="116"/>
      <c r="H445" s="118">
        <v>0</v>
      </c>
      <c r="I445" s="115"/>
      <c r="J445" s="116"/>
      <c r="K445" s="9">
        <v>1851.851851851852</v>
      </c>
      <c r="L445" s="127"/>
      <c r="M445" s="117">
        <f>IFERROR(IF(WEEKDAY($A445)&lt;&gt;1,HLOOKUP($B445,'SERVIÇOS NOTÁVEIS'!$23:$32,10,FALSE)*1.39,0),0)</f>
        <v>2046.1881111111097</v>
      </c>
      <c r="O445" s="99"/>
      <c r="P445" s="10"/>
      <c r="R445" s="10"/>
      <c r="S445" s="10"/>
      <c r="U445" s="10"/>
    </row>
    <row r="446" spans="1:21" x14ac:dyDescent="0.35">
      <c r="A446" s="126">
        <f t="shared" si="16"/>
        <v>46465</v>
      </c>
      <c r="B446" s="118" t="str">
        <f t="shared" si="15"/>
        <v>mar/27</v>
      </c>
      <c r="C446" s="115"/>
      <c r="D446" s="116"/>
      <c r="E446" s="118">
        <v>0</v>
      </c>
      <c r="F446" s="115"/>
      <c r="G446" s="116"/>
      <c r="H446" s="118">
        <v>0</v>
      </c>
      <c r="I446" s="115"/>
      <c r="J446" s="116"/>
      <c r="K446" s="9">
        <v>1851.851851851852</v>
      </c>
      <c r="L446" s="127"/>
      <c r="M446" s="117">
        <f>IFERROR(IF(WEEKDAY($A446)&lt;&gt;1,HLOOKUP($B446,'SERVIÇOS NOTÁVEIS'!$23:$32,10,FALSE)*1.39,0),0)</f>
        <v>2046.1881111111097</v>
      </c>
      <c r="O446" s="99"/>
      <c r="P446" s="10"/>
      <c r="R446" s="10"/>
      <c r="S446" s="10"/>
      <c r="U446" s="10"/>
    </row>
    <row r="447" spans="1:21" x14ac:dyDescent="0.35">
      <c r="A447" s="126">
        <f t="shared" si="16"/>
        <v>46466</v>
      </c>
      <c r="B447" s="118" t="str">
        <f t="shared" si="15"/>
        <v>mar/27</v>
      </c>
      <c r="C447" s="115"/>
      <c r="D447" s="116"/>
      <c r="E447" s="118">
        <v>0</v>
      </c>
      <c r="F447" s="115"/>
      <c r="G447" s="116"/>
      <c r="H447" s="118">
        <v>0</v>
      </c>
      <c r="I447" s="115"/>
      <c r="J447" s="116"/>
      <c r="K447" s="9">
        <v>1851.851851851852</v>
      </c>
      <c r="L447" s="127"/>
      <c r="M447" s="117">
        <f>IFERROR(IF(WEEKDAY($A447)&lt;&gt;1,HLOOKUP($B447,'SERVIÇOS NOTÁVEIS'!$23:$32,10,FALSE)*1.39,0),0)</f>
        <v>2046.1881111111097</v>
      </c>
      <c r="O447" s="99"/>
      <c r="P447" s="10"/>
      <c r="R447" s="10"/>
      <c r="S447" s="10"/>
      <c r="U447" s="10"/>
    </row>
    <row r="448" spans="1:21" x14ac:dyDescent="0.35">
      <c r="A448" s="126">
        <f t="shared" si="16"/>
        <v>46467</v>
      </c>
      <c r="B448" s="118" t="str">
        <f t="shared" si="15"/>
        <v>mar/27</v>
      </c>
      <c r="C448" s="115"/>
      <c r="D448" s="116"/>
      <c r="E448" s="118">
        <v>0</v>
      </c>
      <c r="F448" s="115"/>
      <c r="G448" s="116"/>
      <c r="H448" s="118">
        <v>0</v>
      </c>
      <c r="I448" s="115"/>
      <c r="J448" s="116"/>
      <c r="K448" s="9">
        <v>0</v>
      </c>
      <c r="L448" s="127"/>
      <c r="M448" s="117">
        <f>IFERROR(IF(WEEKDAY($A448)&lt;&gt;1,HLOOKUP($B448,'SERVIÇOS NOTÁVEIS'!$23:$32,10,FALSE)*1.39,0),0)</f>
        <v>0</v>
      </c>
      <c r="O448" s="99"/>
      <c r="P448" s="10"/>
      <c r="R448" s="10"/>
      <c r="S448" s="10"/>
      <c r="U448" s="10"/>
    </row>
    <row r="449" spans="1:21" x14ac:dyDescent="0.35">
      <c r="A449" s="126">
        <f t="shared" si="16"/>
        <v>46468</v>
      </c>
      <c r="B449" s="118" t="str">
        <f t="shared" si="15"/>
        <v>mar/27</v>
      </c>
      <c r="C449" s="115"/>
      <c r="D449" s="116"/>
      <c r="E449" s="118">
        <v>0</v>
      </c>
      <c r="F449" s="115"/>
      <c r="G449" s="116"/>
      <c r="H449" s="118">
        <v>0</v>
      </c>
      <c r="I449" s="115"/>
      <c r="J449" s="116"/>
      <c r="K449" s="9">
        <v>1851.851851851852</v>
      </c>
      <c r="L449" s="127"/>
      <c r="M449" s="117">
        <f>IFERROR(IF(WEEKDAY($A449)&lt;&gt;1,HLOOKUP($B449,'SERVIÇOS NOTÁVEIS'!$23:$32,10,FALSE)*1.39,0),0)</f>
        <v>2046.1881111111097</v>
      </c>
      <c r="O449" s="99"/>
      <c r="P449" s="10"/>
      <c r="R449" s="10"/>
      <c r="S449" s="10"/>
      <c r="U449" s="10"/>
    </row>
    <row r="450" spans="1:21" x14ac:dyDescent="0.35">
      <c r="A450" s="126">
        <f t="shared" si="16"/>
        <v>46469</v>
      </c>
      <c r="B450" s="118" t="str">
        <f t="shared" si="15"/>
        <v>mar/27</v>
      </c>
      <c r="C450" s="115"/>
      <c r="D450" s="116"/>
      <c r="E450" s="118">
        <v>0</v>
      </c>
      <c r="F450" s="115"/>
      <c r="G450" s="116"/>
      <c r="H450" s="118">
        <v>0</v>
      </c>
      <c r="I450" s="115"/>
      <c r="J450" s="116"/>
      <c r="K450" s="9">
        <v>1851.851851851852</v>
      </c>
      <c r="L450" s="127"/>
      <c r="M450" s="117">
        <f>IFERROR(IF(WEEKDAY($A450)&lt;&gt;1,HLOOKUP($B450,'SERVIÇOS NOTÁVEIS'!$23:$32,10,FALSE)*1.39,0),0)</f>
        <v>2046.1881111111097</v>
      </c>
      <c r="O450" s="99"/>
      <c r="P450" s="10"/>
      <c r="R450" s="10"/>
      <c r="S450" s="10"/>
      <c r="U450" s="10"/>
    </row>
    <row r="451" spans="1:21" x14ac:dyDescent="0.35">
      <c r="A451" s="126">
        <f t="shared" si="16"/>
        <v>46470</v>
      </c>
      <c r="B451" s="118" t="str">
        <f t="shared" si="15"/>
        <v>mar/27</v>
      </c>
      <c r="C451" s="115"/>
      <c r="D451" s="116"/>
      <c r="E451" s="118">
        <v>0</v>
      </c>
      <c r="F451" s="115"/>
      <c r="G451" s="116"/>
      <c r="H451" s="118">
        <v>0</v>
      </c>
      <c r="I451" s="115"/>
      <c r="J451" s="116"/>
      <c r="K451" s="9">
        <v>1851.851851851852</v>
      </c>
      <c r="L451" s="127"/>
      <c r="M451" s="117">
        <f>IFERROR(IF(WEEKDAY($A451)&lt;&gt;1,HLOOKUP($B451,'SERVIÇOS NOTÁVEIS'!$23:$32,10,FALSE)*1.39,0),0)</f>
        <v>2046.1881111111097</v>
      </c>
      <c r="O451" s="99"/>
      <c r="P451" s="10"/>
      <c r="R451" s="10"/>
      <c r="S451" s="10"/>
      <c r="U451" s="10"/>
    </row>
    <row r="452" spans="1:21" x14ac:dyDescent="0.35">
      <c r="A452" s="126">
        <f t="shared" si="16"/>
        <v>46471</v>
      </c>
      <c r="B452" s="118" t="str">
        <f t="shared" si="15"/>
        <v>mar/27</v>
      </c>
      <c r="C452" s="115"/>
      <c r="D452" s="116"/>
      <c r="E452" s="118">
        <v>0</v>
      </c>
      <c r="F452" s="115"/>
      <c r="G452" s="116"/>
      <c r="H452" s="118">
        <v>0</v>
      </c>
      <c r="I452" s="115"/>
      <c r="J452" s="116"/>
      <c r="K452" s="9">
        <v>1851.851851851852</v>
      </c>
      <c r="L452" s="127"/>
      <c r="M452" s="117">
        <f>IFERROR(IF(WEEKDAY($A452)&lt;&gt;1,HLOOKUP($B452,'SERVIÇOS NOTÁVEIS'!$23:$32,10,FALSE)*1.39,0),0)</f>
        <v>2046.1881111111097</v>
      </c>
      <c r="O452" s="99"/>
      <c r="P452" s="10"/>
      <c r="R452" s="10"/>
      <c r="S452" s="10"/>
      <c r="U452" s="10"/>
    </row>
    <row r="453" spans="1:21" x14ac:dyDescent="0.35">
      <c r="A453" s="126">
        <f t="shared" si="16"/>
        <v>46472</v>
      </c>
      <c r="B453" s="118" t="str">
        <f t="shared" ref="B453:B516" si="17">TEXT(A453,"MMM/AA")</f>
        <v>mar/27</v>
      </c>
      <c r="C453" s="115"/>
      <c r="D453" s="116"/>
      <c r="E453" s="118">
        <v>0</v>
      </c>
      <c r="F453" s="115"/>
      <c r="G453" s="116"/>
      <c r="H453" s="118">
        <v>0</v>
      </c>
      <c r="I453" s="115"/>
      <c r="J453" s="116"/>
      <c r="K453" s="9">
        <v>1851.851851851852</v>
      </c>
      <c r="L453" s="127"/>
      <c r="M453" s="117">
        <f>IFERROR(IF(WEEKDAY($A453)&lt;&gt;1,HLOOKUP($B453,'SERVIÇOS NOTÁVEIS'!$23:$32,10,FALSE)*1.39,0),0)</f>
        <v>2046.1881111111097</v>
      </c>
      <c r="O453" s="99"/>
      <c r="P453" s="10"/>
      <c r="R453" s="10"/>
      <c r="S453" s="10"/>
      <c r="U453" s="10"/>
    </row>
    <row r="454" spans="1:21" x14ac:dyDescent="0.35">
      <c r="A454" s="126">
        <f t="shared" si="16"/>
        <v>46473</v>
      </c>
      <c r="B454" s="118" t="str">
        <f t="shared" si="17"/>
        <v>mar/27</v>
      </c>
      <c r="C454" s="115"/>
      <c r="D454" s="116"/>
      <c r="E454" s="118">
        <v>0</v>
      </c>
      <c r="F454" s="115"/>
      <c r="G454" s="116"/>
      <c r="H454" s="118">
        <v>0</v>
      </c>
      <c r="I454" s="115"/>
      <c r="J454" s="116"/>
      <c r="K454" s="9">
        <v>1851.851851851852</v>
      </c>
      <c r="L454" s="127"/>
      <c r="M454" s="117">
        <f>IFERROR(IF(WEEKDAY($A454)&lt;&gt;1,HLOOKUP($B454,'SERVIÇOS NOTÁVEIS'!$23:$32,10,FALSE)*1.39,0),0)</f>
        <v>2046.1881111111097</v>
      </c>
      <c r="O454" s="99"/>
      <c r="P454" s="10"/>
      <c r="R454" s="10"/>
      <c r="S454" s="10"/>
      <c r="U454" s="10"/>
    </row>
    <row r="455" spans="1:21" x14ac:dyDescent="0.35">
      <c r="A455" s="126">
        <f t="shared" si="16"/>
        <v>46474</v>
      </c>
      <c r="B455" s="118" t="str">
        <f t="shared" si="17"/>
        <v>mar/27</v>
      </c>
      <c r="C455" s="115"/>
      <c r="D455" s="116"/>
      <c r="E455" s="118">
        <v>0</v>
      </c>
      <c r="F455" s="115"/>
      <c r="G455" s="116"/>
      <c r="H455" s="118">
        <v>0</v>
      </c>
      <c r="I455" s="115"/>
      <c r="J455" s="116"/>
      <c r="K455" s="9">
        <v>0</v>
      </c>
      <c r="L455" s="127"/>
      <c r="M455" s="117">
        <f>IFERROR(IF(WEEKDAY($A455)&lt;&gt;1,HLOOKUP($B455,'SERVIÇOS NOTÁVEIS'!$23:$32,10,FALSE)*1.39,0),0)</f>
        <v>0</v>
      </c>
      <c r="O455" s="99"/>
      <c r="P455" s="10"/>
      <c r="R455" s="10"/>
      <c r="S455" s="10"/>
      <c r="U455" s="10"/>
    </row>
    <row r="456" spans="1:21" x14ac:dyDescent="0.35">
      <c r="A456" s="126">
        <f t="shared" si="16"/>
        <v>46475</v>
      </c>
      <c r="B456" s="118" t="str">
        <f t="shared" si="17"/>
        <v>mar/27</v>
      </c>
      <c r="C456" s="115"/>
      <c r="D456" s="116"/>
      <c r="E456" s="118">
        <v>0</v>
      </c>
      <c r="F456" s="115"/>
      <c r="G456" s="116"/>
      <c r="H456" s="118">
        <v>0</v>
      </c>
      <c r="I456" s="115"/>
      <c r="J456" s="116"/>
      <c r="K456" s="9">
        <v>1851.851851851852</v>
      </c>
      <c r="L456" s="127"/>
      <c r="M456" s="117">
        <f>IFERROR(IF(WEEKDAY($A456)&lt;&gt;1,HLOOKUP($B456,'SERVIÇOS NOTÁVEIS'!$23:$32,10,FALSE)*1.39,0),0)</f>
        <v>2046.1881111111097</v>
      </c>
      <c r="O456" s="99"/>
      <c r="P456" s="10"/>
      <c r="R456" s="10"/>
      <c r="S456" s="10"/>
      <c r="U456" s="10"/>
    </row>
    <row r="457" spans="1:21" x14ac:dyDescent="0.35">
      <c r="A457" s="126">
        <f t="shared" si="16"/>
        <v>46476</v>
      </c>
      <c r="B457" s="118" t="str">
        <f t="shared" si="17"/>
        <v>mar/27</v>
      </c>
      <c r="C457" s="115"/>
      <c r="D457" s="116"/>
      <c r="E457" s="118">
        <v>0</v>
      </c>
      <c r="F457" s="115"/>
      <c r="G457" s="116"/>
      <c r="H457" s="118">
        <v>0</v>
      </c>
      <c r="I457" s="115"/>
      <c r="J457" s="116"/>
      <c r="K457" s="9">
        <v>1851.851851851852</v>
      </c>
      <c r="L457" s="127"/>
      <c r="M457" s="117">
        <f>IFERROR(IF(WEEKDAY($A457)&lt;&gt;1,HLOOKUP($B457,'SERVIÇOS NOTÁVEIS'!$23:$32,10,FALSE)*1.39,0),0)</f>
        <v>2046.1881111111097</v>
      </c>
      <c r="O457" s="99"/>
      <c r="P457" s="10"/>
      <c r="R457" s="10"/>
      <c r="S457" s="10"/>
      <c r="U457" s="10"/>
    </row>
    <row r="458" spans="1:21" x14ac:dyDescent="0.35">
      <c r="A458" s="126">
        <f t="shared" si="16"/>
        <v>46477</v>
      </c>
      <c r="B458" s="118" t="str">
        <f t="shared" si="17"/>
        <v>mar/27</v>
      </c>
      <c r="C458" s="115"/>
      <c r="D458" s="116"/>
      <c r="E458" s="118">
        <v>0</v>
      </c>
      <c r="F458" s="115"/>
      <c r="G458" s="116"/>
      <c r="H458" s="118">
        <v>0</v>
      </c>
      <c r="I458" s="115"/>
      <c r="J458" s="116"/>
      <c r="K458" s="9">
        <v>1851.851851851852</v>
      </c>
      <c r="L458" s="127"/>
      <c r="M458" s="117">
        <f>IFERROR(IF(WEEKDAY($A458)&lt;&gt;1,HLOOKUP($B458,'SERVIÇOS NOTÁVEIS'!$23:$32,10,FALSE)*1.39,0),0)</f>
        <v>2046.1881111111097</v>
      </c>
      <c r="O458" s="99"/>
      <c r="P458" s="10"/>
      <c r="R458" s="10"/>
      <c r="S458" s="10"/>
      <c r="U458" s="10"/>
    </row>
    <row r="459" spans="1:21" x14ac:dyDescent="0.35">
      <c r="A459" s="126">
        <f t="shared" si="16"/>
        <v>46478</v>
      </c>
      <c r="B459" s="118" t="str">
        <f t="shared" si="17"/>
        <v>abr/27</v>
      </c>
      <c r="C459" s="115"/>
      <c r="D459" s="116"/>
      <c r="E459" s="118">
        <v>0</v>
      </c>
      <c r="F459" s="115"/>
      <c r="G459" s="116"/>
      <c r="H459" s="118">
        <v>0</v>
      </c>
      <c r="I459" s="115"/>
      <c r="J459" s="116"/>
      <c r="K459" s="9">
        <v>1923.0769230769231</v>
      </c>
      <c r="L459" s="127"/>
      <c r="M459" s="117">
        <f>IFERROR(IF(WEEKDAY($A459)&lt;&gt;1,HLOOKUP($B459,'SERVIÇOS NOTÁVEIS'!$23:$32,10,FALSE)*1.39,0),0)</f>
        <v>2414.8790769230782</v>
      </c>
      <c r="O459" s="99"/>
      <c r="P459" s="10"/>
      <c r="R459" s="10"/>
      <c r="S459" s="10"/>
      <c r="U459" s="10"/>
    </row>
    <row r="460" spans="1:21" x14ac:dyDescent="0.35">
      <c r="A460" s="126">
        <f t="shared" si="16"/>
        <v>46479</v>
      </c>
      <c r="B460" s="118" t="str">
        <f t="shared" si="17"/>
        <v>abr/27</v>
      </c>
      <c r="C460" s="115"/>
      <c r="D460" s="116"/>
      <c r="E460" s="118">
        <v>0</v>
      </c>
      <c r="F460" s="115"/>
      <c r="G460" s="116"/>
      <c r="H460" s="118">
        <v>0</v>
      </c>
      <c r="I460" s="115"/>
      <c r="J460" s="116"/>
      <c r="K460" s="9">
        <v>1923.0769230769231</v>
      </c>
      <c r="L460" s="127"/>
      <c r="M460" s="117">
        <f>IFERROR(IF(WEEKDAY($A460)&lt;&gt;1,HLOOKUP($B460,'SERVIÇOS NOTÁVEIS'!$23:$32,10,FALSE)*1.39,0),0)</f>
        <v>2414.8790769230782</v>
      </c>
      <c r="O460" s="99"/>
      <c r="P460" s="10"/>
      <c r="R460" s="10"/>
      <c r="S460" s="10"/>
      <c r="U460" s="10"/>
    </row>
    <row r="461" spans="1:21" x14ac:dyDescent="0.35">
      <c r="A461" s="126">
        <f t="shared" si="16"/>
        <v>46480</v>
      </c>
      <c r="B461" s="118" t="str">
        <f t="shared" si="17"/>
        <v>abr/27</v>
      </c>
      <c r="C461" s="115"/>
      <c r="D461" s="116"/>
      <c r="E461" s="118">
        <v>0</v>
      </c>
      <c r="F461" s="115"/>
      <c r="G461" s="116"/>
      <c r="H461" s="118">
        <v>0</v>
      </c>
      <c r="I461" s="115"/>
      <c r="J461" s="116"/>
      <c r="K461" s="9">
        <v>1923.0769230769231</v>
      </c>
      <c r="L461" s="127"/>
      <c r="M461" s="117">
        <f>IFERROR(IF(WEEKDAY($A461)&lt;&gt;1,HLOOKUP($B461,'SERVIÇOS NOTÁVEIS'!$23:$32,10,FALSE)*1.39,0),0)</f>
        <v>2414.8790769230782</v>
      </c>
      <c r="O461" s="99"/>
      <c r="P461" s="10"/>
      <c r="R461" s="10"/>
      <c r="S461" s="10"/>
      <c r="U461" s="10"/>
    </row>
    <row r="462" spans="1:21" x14ac:dyDescent="0.35">
      <c r="A462" s="126">
        <f t="shared" si="16"/>
        <v>46481</v>
      </c>
      <c r="B462" s="118" t="str">
        <f t="shared" si="17"/>
        <v>abr/27</v>
      </c>
      <c r="C462" s="115"/>
      <c r="D462" s="116"/>
      <c r="E462" s="118">
        <v>0</v>
      </c>
      <c r="F462" s="115"/>
      <c r="G462" s="116"/>
      <c r="H462" s="118">
        <v>0</v>
      </c>
      <c r="I462" s="115"/>
      <c r="J462" s="116"/>
      <c r="K462" s="9">
        <v>0</v>
      </c>
      <c r="L462" s="127"/>
      <c r="M462" s="117">
        <f>IFERROR(IF(WEEKDAY($A462)&lt;&gt;1,HLOOKUP($B462,'SERVIÇOS NOTÁVEIS'!$23:$32,10,FALSE)*1.39,0),0)</f>
        <v>0</v>
      </c>
      <c r="O462" s="99"/>
      <c r="P462" s="10"/>
      <c r="R462" s="10"/>
      <c r="S462" s="10"/>
      <c r="U462" s="10"/>
    </row>
    <row r="463" spans="1:21" x14ac:dyDescent="0.35">
      <c r="A463" s="126">
        <f t="shared" si="16"/>
        <v>46482</v>
      </c>
      <c r="B463" s="118" t="str">
        <f t="shared" si="17"/>
        <v>abr/27</v>
      </c>
      <c r="C463" s="115"/>
      <c r="D463" s="116"/>
      <c r="E463" s="118">
        <v>0</v>
      </c>
      <c r="F463" s="115"/>
      <c r="G463" s="116"/>
      <c r="H463" s="118">
        <v>0</v>
      </c>
      <c r="I463" s="115"/>
      <c r="J463" s="116"/>
      <c r="K463" s="9">
        <v>1923.0769230769231</v>
      </c>
      <c r="L463" s="127"/>
      <c r="M463" s="117">
        <f>IFERROR(IF(WEEKDAY($A463)&lt;&gt;1,HLOOKUP($B463,'SERVIÇOS NOTÁVEIS'!$23:$32,10,FALSE)*1.39,0),0)</f>
        <v>2414.8790769230782</v>
      </c>
      <c r="O463" s="99"/>
      <c r="P463" s="10"/>
      <c r="R463" s="10"/>
      <c r="S463" s="10"/>
      <c r="U463" s="10"/>
    </row>
    <row r="464" spans="1:21" x14ac:dyDescent="0.35">
      <c r="A464" s="126">
        <f t="shared" si="16"/>
        <v>46483</v>
      </c>
      <c r="B464" s="118" t="str">
        <f t="shared" si="17"/>
        <v>abr/27</v>
      </c>
      <c r="C464" s="115"/>
      <c r="D464" s="116"/>
      <c r="E464" s="118">
        <v>0</v>
      </c>
      <c r="F464" s="115"/>
      <c r="G464" s="116"/>
      <c r="H464" s="118">
        <v>0</v>
      </c>
      <c r="I464" s="115"/>
      <c r="J464" s="116"/>
      <c r="K464" s="9">
        <v>1923.0769230769231</v>
      </c>
      <c r="L464" s="127"/>
      <c r="M464" s="117">
        <f>IFERROR(IF(WEEKDAY($A464)&lt;&gt;1,HLOOKUP($B464,'SERVIÇOS NOTÁVEIS'!$23:$32,10,FALSE)*1.39,0),0)</f>
        <v>2414.8790769230782</v>
      </c>
      <c r="O464" s="99"/>
      <c r="P464" s="10"/>
      <c r="R464" s="10"/>
      <c r="S464" s="10"/>
      <c r="U464" s="10"/>
    </row>
    <row r="465" spans="1:21" x14ac:dyDescent="0.35">
      <c r="A465" s="126">
        <f t="shared" si="16"/>
        <v>46484</v>
      </c>
      <c r="B465" s="118" t="str">
        <f t="shared" si="17"/>
        <v>abr/27</v>
      </c>
      <c r="C465" s="115"/>
      <c r="D465" s="116"/>
      <c r="E465" s="118">
        <v>0</v>
      </c>
      <c r="F465" s="115"/>
      <c r="G465" s="116"/>
      <c r="H465" s="118">
        <v>0</v>
      </c>
      <c r="I465" s="115"/>
      <c r="J465" s="116"/>
      <c r="K465" s="9">
        <v>1923.0769230769231</v>
      </c>
      <c r="L465" s="127"/>
      <c r="M465" s="117">
        <f>IFERROR(IF(WEEKDAY($A465)&lt;&gt;1,HLOOKUP($B465,'SERVIÇOS NOTÁVEIS'!$23:$32,10,FALSE)*1.39,0),0)</f>
        <v>2414.8790769230782</v>
      </c>
      <c r="O465" s="99"/>
      <c r="P465" s="10"/>
      <c r="R465" s="10"/>
      <c r="S465" s="10"/>
      <c r="U465" s="10"/>
    </row>
    <row r="466" spans="1:21" x14ac:dyDescent="0.35">
      <c r="A466" s="126">
        <f t="shared" si="16"/>
        <v>46485</v>
      </c>
      <c r="B466" s="118" t="str">
        <f t="shared" si="17"/>
        <v>abr/27</v>
      </c>
      <c r="C466" s="115"/>
      <c r="D466" s="116"/>
      <c r="E466" s="118">
        <v>0</v>
      </c>
      <c r="F466" s="115"/>
      <c r="G466" s="116"/>
      <c r="H466" s="118">
        <v>0</v>
      </c>
      <c r="I466" s="115"/>
      <c r="J466" s="116"/>
      <c r="K466" s="9">
        <v>1923.0769230769231</v>
      </c>
      <c r="L466" s="127"/>
      <c r="M466" s="117">
        <f>IFERROR(IF(WEEKDAY($A466)&lt;&gt;1,HLOOKUP($B466,'SERVIÇOS NOTÁVEIS'!$23:$32,10,FALSE)*1.39,0),0)</f>
        <v>2414.8790769230782</v>
      </c>
      <c r="O466" s="99"/>
      <c r="P466" s="10"/>
      <c r="R466" s="10"/>
      <c r="S466" s="10"/>
      <c r="U466" s="10"/>
    </row>
    <row r="467" spans="1:21" x14ac:dyDescent="0.35">
      <c r="A467" s="126">
        <f t="shared" si="16"/>
        <v>46486</v>
      </c>
      <c r="B467" s="118" t="str">
        <f t="shared" si="17"/>
        <v>abr/27</v>
      </c>
      <c r="C467" s="115"/>
      <c r="D467" s="116"/>
      <c r="E467" s="118">
        <v>0</v>
      </c>
      <c r="F467" s="115"/>
      <c r="G467" s="116"/>
      <c r="H467" s="118">
        <v>0</v>
      </c>
      <c r="I467" s="115"/>
      <c r="J467" s="116"/>
      <c r="K467" s="9">
        <v>1923.0769230769231</v>
      </c>
      <c r="L467" s="127"/>
      <c r="M467" s="117">
        <f>IFERROR(IF(WEEKDAY($A467)&lt;&gt;1,HLOOKUP($B467,'SERVIÇOS NOTÁVEIS'!$23:$32,10,FALSE)*1.39,0),0)</f>
        <v>2414.8790769230782</v>
      </c>
      <c r="O467" s="99"/>
      <c r="P467" s="10"/>
      <c r="R467" s="10"/>
      <c r="S467" s="10"/>
      <c r="U467" s="10"/>
    </row>
    <row r="468" spans="1:21" x14ac:dyDescent="0.35">
      <c r="A468" s="126">
        <f t="shared" si="16"/>
        <v>46487</v>
      </c>
      <c r="B468" s="118" t="str">
        <f t="shared" si="17"/>
        <v>abr/27</v>
      </c>
      <c r="C468" s="115"/>
      <c r="D468" s="116"/>
      <c r="E468" s="118">
        <v>0</v>
      </c>
      <c r="F468" s="115"/>
      <c r="G468" s="116"/>
      <c r="H468" s="118">
        <v>0</v>
      </c>
      <c r="I468" s="115"/>
      <c r="J468" s="116"/>
      <c r="K468" s="9">
        <v>1923.0769230769231</v>
      </c>
      <c r="L468" s="127"/>
      <c r="M468" s="117">
        <f>IFERROR(IF(WEEKDAY($A468)&lt;&gt;1,HLOOKUP($B468,'SERVIÇOS NOTÁVEIS'!$23:$32,10,FALSE)*1.39,0),0)</f>
        <v>2414.8790769230782</v>
      </c>
      <c r="O468" s="99"/>
      <c r="P468" s="10"/>
      <c r="R468" s="10"/>
      <c r="S468" s="10"/>
      <c r="U468" s="10"/>
    </row>
    <row r="469" spans="1:21" x14ac:dyDescent="0.35">
      <c r="A469" s="126">
        <f t="shared" si="16"/>
        <v>46488</v>
      </c>
      <c r="B469" s="118" t="str">
        <f t="shared" si="17"/>
        <v>abr/27</v>
      </c>
      <c r="C469" s="115"/>
      <c r="D469" s="116"/>
      <c r="E469" s="118">
        <v>0</v>
      </c>
      <c r="F469" s="115"/>
      <c r="G469" s="116"/>
      <c r="H469" s="118">
        <v>0</v>
      </c>
      <c r="I469" s="115"/>
      <c r="J469" s="116"/>
      <c r="K469" s="9">
        <v>0</v>
      </c>
      <c r="L469" s="127"/>
      <c r="M469" s="117">
        <f>IFERROR(IF(WEEKDAY($A469)&lt;&gt;1,HLOOKUP($B469,'SERVIÇOS NOTÁVEIS'!$23:$32,10,FALSE)*1.39,0),0)</f>
        <v>0</v>
      </c>
      <c r="O469" s="99"/>
      <c r="P469" s="10"/>
      <c r="R469" s="10"/>
      <c r="S469" s="10"/>
      <c r="U469" s="10"/>
    </row>
    <row r="470" spans="1:21" x14ac:dyDescent="0.35">
      <c r="A470" s="126">
        <f t="shared" si="16"/>
        <v>46489</v>
      </c>
      <c r="B470" s="118" t="str">
        <f t="shared" si="17"/>
        <v>abr/27</v>
      </c>
      <c r="C470" s="115"/>
      <c r="D470" s="116"/>
      <c r="E470" s="118">
        <v>0</v>
      </c>
      <c r="F470" s="115"/>
      <c r="G470" s="116"/>
      <c r="H470" s="118">
        <v>0</v>
      </c>
      <c r="I470" s="115"/>
      <c r="J470" s="116"/>
      <c r="K470" s="9">
        <v>1923.0769230769231</v>
      </c>
      <c r="L470" s="127"/>
      <c r="M470" s="117">
        <f>IFERROR(IF(WEEKDAY($A470)&lt;&gt;1,HLOOKUP($B470,'SERVIÇOS NOTÁVEIS'!$23:$32,10,FALSE)*1.39,0),0)</f>
        <v>2414.8790769230782</v>
      </c>
      <c r="O470" s="99"/>
      <c r="P470" s="10"/>
      <c r="R470" s="10"/>
      <c r="S470" s="10"/>
      <c r="U470" s="10"/>
    </row>
    <row r="471" spans="1:21" x14ac:dyDescent="0.35">
      <c r="A471" s="126">
        <f t="shared" si="16"/>
        <v>46490</v>
      </c>
      <c r="B471" s="118" t="str">
        <f t="shared" si="17"/>
        <v>abr/27</v>
      </c>
      <c r="C471" s="115"/>
      <c r="D471" s="116"/>
      <c r="E471" s="118">
        <v>0</v>
      </c>
      <c r="F471" s="115"/>
      <c r="G471" s="116"/>
      <c r="H471" s="118">
        <v>0</v>
      </c>
      <c r="I471" s="115"/>
      <c r="J471" s="116"/>
      <c r="K471" s="9">
        <v>1923.0769230769231</v>
      </c>
      <c r="L471" s="127"/>
      <c r="M471" s="117">
        <f>IFERROR(IF(WEEKDAY($A471)&lt;&gt;1,HLOOKUP($B471,'SERVIÇOS NOTÁVEIS'!$23:$32,10,FALSE)*1.39,0),0)</f>
        <v>2414.8790769230782</v>
      </c>
      <c r="O471" s="99"/>
      <c r="P471" s="10"/>
      <c r="R471" s="10"/>
      <c r="S471" s="10"/>
      <c r="U471" s="10"/>
    </row>
    <row r="472" spans="1:21" x14ac:dyDescent="0.35">
      <c r="A472" s="126">
        <f t="shared" si="16"/>
        <v>46491</v>
      </c>
      <c r="B472" s="118" t="str">
        <f t="shared" si="17"/>
        <v>abr/27</v>
      </c>
      <c r="C472" s="115"/>
      <c r="D472" s="116"/>
      <c r="E472" s="118">
        <v>0</v>
      </c>
      <c r="F472" s="115"/>
      <c r="G472" s="116"/>
      <c r="H472" s="118">
        <v>0</v>
      </c>
      <c r="I472" s="115"/>
      <c r="J472" s="116"/>
      <c r="K472" s="9">
        <v>1923.0769230769231</v>
      </c>
      <c r="L472" s="127"/>
      <c r="M472" s="117">
        <f>IFERROR(IF(WEEKDAY($A472)&lt;&gt;1,HLOOKUP($B472,'SERVIÇOS NOTÁVEIS'!$23:$32,10,FALSE)*1.39,0),0)</f>
        <v>2414.8790769230782</v>
      </c>
      <c r="O472" s="99"/>
      <c r="P472" s="10"/>
      <c r="R472" s="10"/>
      <c r="S472" s="10"/>
      <c r="U472" s="10"/>
    </row>
    <row r="473" spans="1:21" x14ac:dyDescent="0.35">
      <c r="A473" s="126">
        <f t="shared" si="16"/>
        <v>46492</v>
      </c>
      <c r="B473" s="118" t="str">
        <f t="shared" si="17"/>
        <v>abr/27</v>
      </c>
      <c r="C473" s="115"/>
      <c r="D473" s="116"/>
      <c r="E473" s="118">
        <v>0</v>
      </c>
      <c r="F473" s="115"/>
      <c r="G473" s="116"/>
      <c r="H473" s="118">
        <v>0</v>
      </c>
      <c r="I473" s="115"/>
      <c r="J473" s="116"/>
      <c r="K473" s="9">
        <v>1923.0769230769231</v>
      </c>
      <c r="L473" s="127"/>
      <c r="M473" s="117">
        <f>IFERROR(IF(WEEKDAY($A473)&lt;&gt;1,HLOOKUP($B473,'SERVIÇOS NOTÁVEIS'!$23:$32,10,FALSE)*1.39,0),0)</f>
        <v>2414.8790769230782</v>
      </c>
      <c r="O473" s="99"/>
      <c r="P473" s="10"/>
      <c r="R473" s="10"/>
      <c r="S473" s="10"/>
      <c r="U473" s="10"/>
    </row>
    <row r="474" spans="1:21" x14ac:dyDescent="0.35">
      <c r="A474" s="126">
        <f t="shared" si="16"/>
        <v>46493</v>
      </c>
      <c r="B474" s="118" t="str">
        <f t="shared" si="17"/>
        <v>abr/27</v>
      </c>
      <c r="C474" s="115"/>
      <c r="D474" s="116"/>
      <c r="E474" s="118">
        <v>0</v>
      </c>
      <c r="F474" s="115"/>
      <c r="G474" s="116"/>
      <c r="H474" s="118">
        <v>0</v>
      </c>
      <c r="I474" s="115"/>
      <c r="J474" s="116"/>
      <c r="K474" s="9">
        <v>1923.0769230769231</v>
      </c>
      <c r="L474" s="127"/>
      <c r="M474" s="117">
        <f>IFERROR(IF(WEEKDAY($A474)&lt;&gt;1,HLOOKUP($B474,'SERVIÇOS NOTÁVEIS'!$23:$32,10,FALSE)*1.39,0),0)</f>
        <v>2414.8790769230782</v>
      </c>
      <c r="O474" s="99"/>
      <c r="P474" s="10"/>
      <c r="R474" s="10"/>
      <c r="S474" s="10"/>
      <c r="U474" s="10"/>
    </row>
    <row r="475" spans="1:21" x14ac:dyDescent="0.35">
      <c r="A475" s="126">
        <f t="shared" si="16"/>
        <v>46494</v>
      </c>
      <c r="B475" s="118" t="str">
        <f t="shared" si="17"/>
        <v>abr/27</v>
      </c>
      <c r="C475" s="115"/>
      <c r="D475" s="116"/>
      <c r="E475" s="118">
        <v>0</v>
      </c>
      <c r="F475" s="115"/>
      <c r="G475" s="116"/>
      <c r="H475" s="118">
        <v>0</v>
      </c>
      <c r="I475" s="115"/>
      <c r="J475" s="116"/>
      <c r="K475" s="9">
        <v>1923.0769230769231</v>
      </c>
      <c r="L475" s="127"/>
      <c r="M475" s="117">
        <f>IFERROR(IF(WEEKDAY($A475)&lt;&gt;1,HLOOKUP($B475,'SERVIÇOS NOTÁVEIS'!$23:$32,10,FALSE)*1.39,0),0)</f>
        <v>2414.8790769230782</v>
      </c>
      <c r="O475" s="99"/>
      <c r="P475" s="10"/>
      <c r="R475" s="10"/>
      <c r="S475" s="10"/>
      <c r="U475" s="10"/>
    </row>
    <row r="476" spans="1:21" x14ac:dyDescent="0.35">
      <c r="A476" s="126">
        <f t="shared" si="16"/>
        <v>46495</v>
      </c>
      <c r="B476" s="118" t="str">
        <f t="shared" si="17"/>
        <v>abr/27</v>
      </c>
      <c r="C476" s="115"/>
      <c r="D476" s="116"/>
      <c r="E476" s="118">
        <v>0</v>
      </c>
      <c r="F476" s="115"/>
      <c r="G476" s="116"/>
      <c r="H476" s="118">
        <v>0</v>
      </c>
      <c r="I476" s="115"/>
      <c r="J476" s="116"/>
      <c r="K476" s="9">
        <v>0</v>
      </c>
      <c r="L476" s="127"/>
      <c r="M476" s="117">
        <f>IFERROR(IF(WEEKDAY($A476)&lt;&gt;1,HLOOKUP($B476,'SERVIÇOS NOTÁVEIS'!$23:$32,10,FALSE)*1.39,0),0)</f>
        <v>0</v>
      </c>
      <c r="O476" s="99"/>
      <c r="P476" s="10"/>
      <c r="R476" s="10"/>
      <c r="S476" s="10"/>
      <c r="U476" s="10"/>
    </row>
    <row r="477" spans="1:21" x14ac:dyDescent="0.35">
      <c r="A477" s="126">
        <f t="shared" si="16"/>
        <v>46496</v>
      </c>
      <c r="B477" s="118" t="str">
        <f t="shared" si="17"/>
        <v>abr/27</v>
      </c>
      <c r="C477" s="115"/>
      <c r="D477" s="116"/>
      <c r="E477" s="118">
        <v>0</v>
      </c>
      <c r="F477" s="115"/>
      <c r="G477" s="116"/>
      <c r="H477" s="118">
        <v>0</v>
      </c>
      <c r="I477" s="115"/>
      <c r="J477" s="116"/>
      <c r="K477" s="9">
        <v>1923.0769230769231</v>
      </c>
      <c r="L477" s="127"/>
      <c r="M477" s="117">
        <f>IFERROR(IF(WEEKDAY($A477)&lt;&gt;1,HLOOKUP($B477,'SERVIÇOS NOTÁVEIS'!$23:$32,10,FALSE)*1.39,0),0)</f>
        <v>2414.8790769230782</v>
      </c>
      <c r="O477" s="99"/>
      <c r="P477" s="10"/>
      <c r="R477" s="10"/>
      <c r="S477" s="10"/>
      <c r="U477" s="10"/>
    </row>
    <row r="478" spans="1:21" x14ac:dyDescent="0.35">
      <c r="A478" s="126">
        <f t="shared" si="16"/>
        <v>46497</v>
      </c>
      <c r="B478" s="118" t="str">
        <f t="shared" si="17"/>
        <v>abr/27</v>
      </c>
      <c r="C478" s="115"/>
      <c r="D478" s="116"/>
      <c r="E478" s="118">
        <v>0</v>
      </c>
      <c r="F478" s="115"/>
      <c r="G478" s="116"/>
      <c r="H478" s="118">
        <v>0</v>
      </c>
      <c r="I478" s="115"/>
      <c r="J478" s="116"/>
      <c r="K478" s="9">
        <v>1923.0769230769231</v>
      </c>
      <c r="L478" s="127"/>
      <c r="M478" s="117">
        <f>IFERROR(IF(WEEKDAY($A478)&lt;&gt;1,HLOOKUP($B478,'SERVIÇOS NOTÁVEIS'!$23:$32,10,FALSE)*1.39,0),0)</f>
        <v>2414.8790769230782</v>
      </c>
      <c r="O478" s="99"/>
      <c r="P478" s="10"/>
      <c r="R478" s="10"/>
      <c r="S478" s="10"/>
      <c r="U478" s="10"/>
    </row>
    <row r="479" spans="1:21" x14ac:dyDescent="0.35">
      <c r="A479" s="126">
        <f t="shared" si="16"/>
        <v>46498</v>
      </c>
      <c r="B479" s="118" t="str">
        <f t="shared" si="17"/>
        <v>abr/27</v>
      </c>
      <c r="C479" s="115"/>
      <c r="D479" s="116"/>
      <c r="E479" s="118">
        <v>0</v>
      </c>
      <c r="F479" s="115"/>
      <c r="G479" s="116"/>
      <c r="H479" s="118">
        <v>0</v>
      </c>
      <c r="I479" s="115"/>
      <c r="J479" s="116"/>
      <c r="K479" s="9">
        <v>1923.0769230769231</v>
      </c>
      <c r="L479" s="127"/>
      <c r="M479" s="117">
        <f>IFERROR(IF(WEEKDAY($A479)&lt;&gt;1,HLOOKUP($B479,'SERVIÇOS NOTÁVEIS'!$23:$32,10,FALSE)*1.39,0),0)</f>
        <v>2414.8790769230782</v>
      </c>
      <c r="O479" s="99"/>
      <c r="P479" s="10"/>
      <c r="R479" s="10"/>
      <c r="S479" s="10"/>
      <c r="U479" s="10"/>
    </row>
    <row r="480" spans="1:21" x14ac:dyDescent="0.35">
      <c r="A480" s="126">
        <f t="shared" si="16"/>
        <v>46499</v>
      </c>
      <c r="B480" s="118" t="str">
        <f t="shared" si="17"/>
        <v>abr/27</v>
      </c>
      <c r="C480" s="115"/>
      <c r="D480" s="116"/>
      <c r="E480" s="118">
        <v>0</v>
      </c>
      <c r="F480" s="115"/>
      <c r="G480" s="116"/>
      <c r="H480" s="118">
        <v>0</v>
      </c>
      <c r="I480" s="115"/>
      <c r="J480" s="116"/>
      <c r="K480" s="9">
        <v>1923.0769230769231</v>
      </c>
      <c r="L480" s="127"/>
      <c r="M480" s="117">
        <f>IFERROR(IF(WEEKDAY($A480)&lt;&gt;1,HLOOKUP($B480,'SERVIÇOS NOTÁVEIS'!$23:$32,10,FALSE)*1.39,0),0)</f>
        <v>2414.8790769230782</v>
      </c>
      <c r="O480" s="99"/>
      <c r="P480" s="10"/>
      <c r="R480" s="10"/>
      <c r="S480" s="10"/>
      <c r="U480" s="10"/>
    </row>
    <row r="481" spans="1:21" x14ac:dyDescent="0.35">
      <c r="A481" s="126">
        <f t="shared" si="16"/>
        <v>46500</v>
      </c>
      <c r="B481" s="118" t="str">
        <f t="shared" si="17"/>
        <v>abr/27</v>
      </c>
      <c r="C481" s="115"/>
      <c r="D481" s="116"/>
      <c r="E481" s="118">
        <v>0</v>
      </c>
      <c r="F481" s="115"/>
      <c r="G481" s="116"/>
      <c r="H481" s="118">
        <v>0</v>
      </c>
      <c r="I481" s="115"/>
      <c r="J481" s="116"/>
      <c r="K481" s="9">
        <v>1923.0769230769231</v>
      </c>
      <c r="L481" s="127"/>
      <c r="M481" s="117">
        <f>IFERROR(IF(WEEKDAY($A481)&lt;&gt;1,HLOOKUP($B481,'SERVIÇOS NOTÁVEIS'!$23:$32,10,FALSE)*1.39,0),0)</f>
        <v>2414.8790769230782</v>
      </c>
      <c r="O481" s="99"/>
      <c r="P481" s="10"/>
      <c r="R481" s="10"/>
      <c r="S481" s="10"/>
      <c r="U481" s="10"/>
    </row>
    <row r="482" spans="1:21" x14ac:dyDescent="0.35">
      <c r="A482" s="126">
        <f t="shared" si="16"/>
        <v>46501</v>
      </c>
      <c r="B482" s="118" t="str">
        <f t="shared" si="17"/>
        <v>abr/27</v>
      </c>
      <c r="C482" s="115"/>
      <c r="D482" s="116"/>
      <c r="E482" s="118">
        <v>0</v>
      </c>
      <c r="F482" s="115"/>
      <c r="G482" s="116"/>
      <c r="H482" s="118">
        <v>0</v>
      </c>
      <c r="I482" s="115"/>
      <c r="J482" s="116"/>
      <c r="K482" s="9">
        <v>1923.0769230769231</v>
      </c>
      <c r="L482" s="127"/>
      <c r="M482" s="117">
        <f>IFERROR(IF(WEEKDAY($A482)&lt;&gt;1,HLOOKUP($B482,'SERVIÇOS NOTÁVEIS'!$23:$32,10,FALSE)*1.39,0),0)</f>
        <v>2414.8790769230782</v>
      </c>
      <c r="O482" s="99"/>
      <c r="P482" s="10"/>
      <c r="R482" s="10"/>
      <c r="S482" s="10"/>
      <c r="U482" s="10"/>
    </row>
    <row r="483" spans="1:21" x14ac:dyDescent="0.35">
      <c r="A483" s="126">
        <f t="shared" si="16"/>
        <v>46502</v>
      </c>
      <c r="B483" s="118" t="str">
        <f t="shared" si="17"/>
        <v>abr/27</v>
      </c>
      <c r="C483" s="115"/>
      <c r="D483" s="116"/>
      <c r="E483" s="118">
        <v>0</v>
      </c>
      <c r="F483" s="115"/>
      <c r="G483" s="116"/>
      <c r="H483" s="118">
        <v>0</v>
      </c>
      <c r="I483" s="115"/>
      <c r="J483" s="116"/>
      <c r="K483" s="9">
        <v>0</v>
      </c>
      <c r="L483" s="127"/>
      <c r="M483" s="117">
        <f>IFERROR(IF(WEEKDAY($A483)&lt;&gt;1,HLOOKUP($B483,'SERVIÇOS NOTÁVEIS'!$23:$32,10,FALSE)*1.39,0),0)</f>
        <v>0</v>
      </c>
      <c r="O483" s="99"/>
      <c r="P483" s="10"/>
      <c r="R483" s="10"/>
      <c r="S483" s="10"/>
      <c r="U483" s="10"/>
    </row>
    <row r="484" spans="1:21" x14ac:dyDescent="0.35">
      <c r="A484" s="126">
        <f t="shared" si="16"/>
        <v>46503</v>
      </c>
      <c r="B484" s="118" t="str">
        <f t="shared" si="17"/>
        <v>abr/27</v>
      </c>
      <c r="C484" s="115"/>
      <c r="D484" s="116"/>
      <c r="E484" s="118">
        <v>0</v>
      </c>
      <c r="F484" s="115"/>
      <c r="G484" s="116"/>
      <c r="H484" s="118">
        <v>0</v>
      </c>
      <c r="I484" s="115"/>
      <c r="J484" s="116"/>
      <c r="K484" s="9">
        <v>1923.0769230769231</v>
      </c>
      <c r="L484" s="127"/>
      <c r="M484" s="117">
        <f>IFERROR(IF(WEEKDAY($A484)&lt;&gt;1,HLOOKUP($B484,'SERVIÇOS NOTÁVEIS'!$23:$32,10,FALSE)*1.39,0),0)</f>
        <v>2414.8790769230782</v>
      </c>
      <c r="O484" s="99"/>
      <c r="P484" s="10"/>
      <c r="R484" s="10"/>
      <c r="S484" s="10"/>
      <c r="U484" s="10"/>
    </row>
    <row r="485" spans="1:21" x14ac:dyDescent="0.35">
      <c r="A485" s="126">
        <f t="shared" si="16"/>
        <v>46504</v>
      </c>
      <c r="B485" s="118" t="str">
        <f t="shared" si="17"/>
        <v>abr/27</v>
      </c>
      <c r="C485" s="115"/>
      <c r="D485" s="116"/>
      <c r="E485" s="118">
        <v>0</v>
      </c>
      <c r="F485" s="115"/>
      <c r="G485" s="116"/>
      <c r="H485" s="118">
        <v>0</v>
      </c>
      <c r="I485" s="115"/>
      <c r="J485" s="116"/>
      <c r="K485" s="9">
        <v>1923.0769230769231</v>
      </c>
      <c r="L485" s="127"/>
      <c r="M485" s="117">
        <f>IFERROR(IF(WEEKDAY($A485)&lt;&gt;1,HLOOKUP($B485,'SERVIÇOS NOTÁVEIS'!$23:$32,10,FALSE)*1.39,0),0)</f>
        <v>2414.8790769230782</v>
      </c>
      <c r="O485" s="99"/>
      <c r="P485" s="10"/>
      <c r="R485" s="10"/>
      <c r="S485" s="10"/>
      <c r="U485" s="10"/>
    </row>
    <row r="486" spans="1:21" x14ac:dyDescent="0.35">
      <c r="A486" s="126">
        <f t="shared" si="16"/>
        <v>46505</v>
      </c>
      <c r="B486" s="118" t="str">
        <f t="shared" si="17"/>
        <v>abr/27</v>
      </c>
      <c r="C486" s="115"/>
      <c r="D486" s="116"/>
      <c r="E486" s="118">
        <v>0</v>
      </c>
      <c r="F486" s="115"/>
      <c r="G486" s="116"/>
      <c r="H486" s="118">
        <v>0</v>
      </c>
      <c r="I486" s="115"/>
      <c r="J486" s="116"/>
      <c r="K486" s="9">
        <v>1923.0769230769231</v>
      </c>
      <c r="L486" s="127"/>
      <c r="M486" s="117">
        <f>IFERROR(IF(WEEKDAY($A486)&lt;&gt;1,HLOOKUP($B486,'SERVIÇOS NOTÁVEIS'!$23:$32,10,FALSE)*1.39,0),0)</f>
        <v>2414.8790769230782</v>
      </c>
      <c r="O486" s="99"/>
      <c r="P486" s="10"/>
      <c r="R486" s="10"/>
      <c r="S486" s="10"/>
      <c r="U486" s="10"/>
    </row>
    <row r="487" spans="1:21" x14ac:dyDescent="0.35">
      <c r="A487" s="126">
        <f t="shared" si="16"/>
        <v>46506</v>
      </c>
      <c r="B487" s="118" t="str">
        <f t="shared" si="17"/>
        <v>abr/27</v>
      </c>
      <c r="C487" s="115"/>
      <c r="D487" s="116"/>
      <c r="E487" s="118">
        <v>0</v>
      </c>
      <c r="F487" s="115"/>
      <c r="G487" s="116"/>
      <c r="H487" s="118">
        <v>0</v>
      </c>
      <c r="I487" s="115"/>
      <c r="J487" s="116"/>
      <c r="K487" s="9">
        <v>1923.0769230769231</v>
      </c>
      <c r="L487" s="127"/>
      <c r="M487" s="117">
        <f>IFERROR(IF(WEEKDAY($A487)&lt;&gt;1,HLOOKUP($B487,'SERVIÇOS NOTÁVEIS'!$23:$32,10,FALSE)*1.39,0),0)</f>
        <v>2414.8790769230782</v>
      </c>
      <c r="O487" s="99"/>
      <c r="P487" s="10"/>
      <c r="R487" s="10"/>
      <c r="S487" s="10"/>
      <c r="U487" s="10"/>
    </row>
    <row r="488" spans="1:21" x14ac:dyDescent="0.35">
      <c r="A488" s="126">
        <f t="shared" si="16"/>
        <v>46507</v>
      </c>
      <c r="B488" s="118" t="str">
        <f t="shared" si="17"/>
        <v>abr/27</v>
      </c>
      <c r="C488" s="115"/>
      <c r="D488" s="116"/>
      <c r="E488" s="118">
        <v>0</v>
      </c>
      <c r="F488" s="115"/>
      <c r="G488" s="116"/>
      <c r="H488" s="118">
        <v>0</v>
      </c>
      <c r="I488" s="115"/>
      <c r="J488" s="116"/>
      <c r="K488" s="9">
        <v>1923.0769230769231</v>
      </c>
      <c r="L488" s="127"/>
      <c r="M488" s="117">
        <f>IFERROR(IF(WEEKDAY($A488)&lt;&gt;1,HLOOKUP($B488,'SERVIÇOS NOTÁVEIS'!$23:$32,10,FALSE)*1.39,0),0)</f>
        <v>2414.8790769230782</v>
      </c>
      <c r="O488" s="99"/>
      <c r="P488" s="10"/>
      <c r="R488" s="10"/>
      <c r="S488" s="10"/>
      <c r="U488" s="10"/>
    </row>
    <row r="489" spans="1:21" x14ac:dyDescent="0.35">
      <c r="A489" s="126">
        <f t="shared" si="16"/>
        <v>46508</v>
      </c>
      <c r="B489" s="118" t="str">
        <f t="shared" si="17"/>
        <v>mai/27</v>
      </c>
      <c r="C489" s="115"/>
      <c r="D489" s="116"/>
      <c r="E489" s="118">
        <v>0</v>
      </c>
      <c r="F489" s="115"/>
      <c r="G489" s="116"/>
      <c r="H489" s="118">
        <v>0</v>
      </c>
      <c r="I489" s="115"/>
      <c r="J489" s="116"/>
      <c r="K489" s="9">
        <v>1923.0769230769231</v>
      </c>
      <c r="L489" s="127"/>
      <c r="M489" s="117">
        <f>IFERROR(IF(WEEKDAY($A489)&lt;&gt;1,HLOOKUP($B489,'SERVIÇOS NOTÁVEIS'!$23:$32,10,FALSE)*1.39,0),0)</f>
        <v>2843.7635769230742</v>
      </c>
      <c r="O489" s="99"/>
      <c r="P489" s="10"/>
      <c r="R489" s="10"/>
      <c r="S489" s="10"/>
      <c r="U489" s="10"/>
    </row>
    <row r="490" spans="1:21" x14ac:dyDescent="0.35">
      <c r="A490" s="126">
        <f t="shared" si="16"/>
        <v>46509</v>
      </c>
      <c r="B490" s="118" t="str">
        <f t="shared" si="17"/>
        <v>mai/27</v>
      </c>
      <c r="C490" s="115"/>
      <c r="D490" s="116"/>
      <c r="E490" s="118">
        <v>0</v>
      </c>
      <c r="F490" s="115"/>
      <c r="G490" s="116"/>
      <c r="H490" s="118">
        <v>0</v>
      </c>
      <c r="I490" s="115"/>
      <c r="J490" s="116"/>
      <c r="K490" s="9">
        <v>0</v>
      </c>
      <c r="L490" s="127"/>
      <c r="M490" s="117">
        <f>IFERROR(IF(WEEKDAY($A490)&lt;&gt;1,HLOOKUP($B490,'SERVIÇOS NOTÁVEIS'!$23:$32,10,FALSE)*1.39,0),0)</f>
        <v>0</v>
      </c>
      <c r="O490" s="99"/>
      <c r="P490" s="10"/>
      <c r="R490" s="10"/>
      <c r="S490" s="10"/>
      <c r="U490" s="10"/>
    </row>
    <row r="491" spans="1:21" x14ac:dyDescent="0.35">
      <c r="A491" s="126">
        <f t="shared" si="16"/>
        <v>46510</v>
      </c>
      <c r="B491" s="118" t="str">
        <f t="shared" si="17"/>
        <v>mai/27</v>
      </c>
      <c r="C491" s="115"/>
      <c r="D491" s="116"/>
      <c r="E491" s="118">
        <v>0</v>
      </c>
      <c r="F491" s="115"/>
      <c r="G491" s="116"/>
      <c r="H491" s="118">
        <v>0</v>
      </c>
      <c r="I491" s="115"/>
      <c r="J491" s="116"/>
      <c r="K491" s="9">
        <v>1923.0769230769231</v>
      </c>
      <c r="L491" s="127"/>
      <c r="M491" s="117">
        <f>IFERROR(IF(WEEKDAY($A491)&lt;&gt;1,HLOOKUP($B491,'SERVIÇOS NOTÁVEIS'!$23:$32,10,FALSE)*1.39,0),0)</f>
        <v>2843.7635769230742</v>
      </c>
      <c r="O491" s="99"/>
      <c r="P491" s="10"/>
      <c r="R491" s="10"/>
      <c r="S491" s="10"/>
      <c r="U491" s="10"/>
    </row>
    <row r="492" spans="1:21" x14ac:dyDescent="0.35">
      <c r="A492" s="126">
        <f t="shared" si="16"/>
        <v>46511</v>
      </c>
      <c r="B492" s="118" t="str">
        <f t="shared" si="17"/>
        <v>mai/27</v>
      </c>
      <c r="C492" s="115"/>
      <c r="D492" s="116"/>
      <c r="E492" s="118">
        <v>0</v>
      </c>
      <c r="F492" s="115"/>
      <c r="G492" s="116"/>
      <c r="H492" s="118">
        <v>0</v>
      </c>
      <c r="I492" s="115"/>
      <c r="J492" s="116"/>
      <c r="K492" s="9">
        <v>1923.0769230769231</v>
      </c>
      <c r="L492" s="127"/>
      <c r="M492" s="117">
        <f>IFERROR(IF(WEEKDAY($A492)&lt;&gt;1,HLOOKUP($B492,'SERVIÇOS NOTÁVEIS'!$23:$32,10,FALSE)*1.39,0),0)</f>
        <v>2843.7635769230742</v>
      </c>
      <c r="O492" s="99"/>
      <c r="P492" s="10"/>
      <c r="R492" s="10"/>
      <c r="S492" s="10"/>
      <c r="U492" s="10"/>
    </row>
    <row r="493" spans="1:21" x14ac:dyDescent="0.35">
      <c r="A493" s="126">
        <f t="shared" si="16"/>
        <v>46512</v>
      </c>
      <c r="B493" s="118" t="str">
        <f t="shared" si="17"/>
        <v>mai/27</v>
      </c>
      <c r="C493" s="115"/>
      <c r="D493" s="116"/>
      <c r="E493" s="118">
        <v>0</v>
      </c>
      <c r="F493" s="115"/>
      <c r="G493" s="116"/>
      <c r="H493" s="118">
        <v>0</v>
      </c>
      <c r="I493" s="115"/>
      <c r="J493" s="116"/>
      <c r="K493" s="9">
        <v>1923.0769230769231</v>
      </c>
      <c r="L493" s="127"/>
      <c r="M493" s="117">
        <f>IFERROR(IF(WEEKDAY($A493)&lt;&gt;1,HLOOKUP($B493,'SERVIÇOS NOTÁVEIS'!$23:$32,10,FALSE)*1.39,0),0)</f>
        <v>2843.7635769230742</v>
      </c>
      <c r="O493" s="99"/>
      <c r="P493" s="10"/>
      <c r="R493" s="10"/>
      <c r="S493" s="10"/>
      <c r="U493" s="10"/>
    </row>
    <row r="494" spans="1:21" x14ac:dyDescent="0.35">
      <c r="A494" s="126">
        <f t="shared" si="16"/>
        <v>46513</v>
      </c>
      <c r="B494" s="118" t="str">
        <f t="shared" si="17"/>
        <v>mai/27</v>
      </c>
      <c r="C494" s="115"/>
      <c r="D494" s="116"/>
      <c r="E494" s="118">
        <v>0</v>
      </c>
      <c r="F494" s="115"/>
      <c r="G494" s="116"/>
      <c r="H494" s="118">
        <v>0</v>
      </c>
      <c r="I494" s="115"/>
      <c r="J494" s="116"/>
      <c r="K494" s="9">
        <v>1923.0769230769231</v>
      </c>
      <c r="L494" s="127"/>
      <c r="M494" s="117">
        <f>IFERROR(IF(WEEKDAY($A494)&lt;&gt;1,HLOOKUP($B494,'SERVIÇOS NOTÁVEIS'!$23:$32,10,FALSE)*1.39,0),0)</f>
        <v>2843.7635769230742</v>
      </c>
      <c r="O494" s="99"/>
      <c r="P494" s="10"/>
      <c r="R494" s="10"/>
      <c r="S494" s="10"/>
      <c r="U494" s="10"/>
    </row>
    <row r="495" spans="1:21" x14ac:dyDescent="0.35">
      <c r="A495" s="126">
        <f t="shared" si="16"/>
        <v>46514</v>
      </c>
      <c r="B495" s="118" t="str">
        <f t="shared" si="17"/>
        <v>mai/27</v>
      </c>
      <c r="C495" s="115"/>
      <c r="D495" s="116"/>
      <c r="E495" s="118">
        <v>0</v>
      </c>
      <c r="F495" s="115"/>
      <c r="G495" s="116"/>
      <c r="H495" s="118">
        <v>0</v>
      </c>
      <c r="I495" s="115"/>
      <c r="J495" s="116"/>
      <c r="K495" s="9">
        <v>1923.0769230769231</v>
      </c>
      <c r="L495" s="127"/>
      <c r="M495" s="117">
        <f>IFERROR(IF(WEEKDAY($A495)&lt;&gt;1,HLOOKUP($B495,'SERVIÇOS NOTÁVEIS'!$23:$32,10,FALSE)*1.39,0),0)</f>
        <v>2843.7635769230742</v>
      </c>
      <c r="O495" s="99"/>
      <c r="P495" s="10"/>
      <c r="R495" s="10"/>
      <c r="S495" s="10"/>
      <c r="U495" s="10"/>
    </row>
    <row r="496" spans="1:21" x14ac:dyDescent="0.35">
      <c r="A496" s="126">
        <f t="shared" si="16"/>
        <v>46515</v>
      </c>
      <c r="B496" s="118" t="str">
        <f t="shared" si="17"/>
        <v>mai/27</v>
      </c>
      <c r="C496" s="115"/>
      <c r="D496" s="116"/>
      <c r="E496" s="118">
        <v>0</v>
      </c>
      <c r="F496" s="115"/>
      <c r="G496" s="116"/>
      <c r="H496" s="118">
        <v>0</v>
      </c>
      <c r="I496" s="115"/>
      <c r="J496" s="116"/>
      <c r="K496" s="9">
        <v>1923.0769230769231</v>
      </c>
      <c r="L496" s="127"/>
      <c r="M496" s="117">
        <f>IFERROR(IF(WEEKDAY($A496)&lt;&gt;1,HLOOKUP($B496,'SERVIÇOS NOTÁVEIS'!$23:$32,10,FALSE)*1.39,0),0)</f>
        <v>2843.7635769230742</v>
      </c>
      <c r="O496" s="99"/>
      <c r="P496" s="10"/>
      <c r="R496" s="10"/>
      <c r="S496" s="10"/>
      <c r="U496" s="10"/>
    </row>
    <row r="497" spans="1:21" x14ac:dyDescent="0.35">
      <c r="A497" s="126">
        <f t="shared" si="16"/>
        <v>46516</v>
      </c>
      <c r="B497" s="118" t="str">
        <f t="shared" si="17"/>
        <v>mai/27</v>
      </c>
      <c r="C497" s="115"/>
      <c r="D497" s="116"/>
      <c r="E497" s="118">
        <v>0</v>
      </c>
      <c r="F497" s="115"/>
      <c r="G497" s="116"/>
      <c r="H497" s="118">
        <v>0</v>
      </c>
      <c r="I497" s="115"/>
      <c r="J497" s="116"/>
      <c r="K497" s="9">
        <v>0</v>
      </c>
      <c r="L497" s="127"/>
      <c r="M497" s="117">
        <f>IFERROR(IF(WEEKDAY($A497)&lt;&gt;1,HLOOKUP($B497,'SERVIÇOS NOTÁVEIS'!$23:$32,10,FALSE)*1.39,0),0)</f>
        <v>0</v>
      </c>
      <c r="O497" s="99"/>
      <c r="P497" s="10"/>
      <c r="R497" s="10"/>
      <c r="S497" s="10"/>
      <c r="U497" s="10"/>
    </row>
    <row r="498" spans="1:21" x14ac:dyDescent="0.35">
      <c r="A498" s="126">
        <f t="shared" si="16"/>
        <v>46517</v>
      </c>
      <c r="B498" s="118" t="str">
        <f t="shared" si="17"/>
        <v>mai/27</v>
      </c>
      <c r="C498" s="115"/>
      <c r="D498" s="116"/>
      <c r="E498" s="118">
        <v>0</v>
      </c>
      <c r="F498" s="115"/>
      <c r="G498" s="116"/>
      <c r="H498" s="118">
        <v>0</v>
      </c>
      <c r="I498" s="115"/>
      <c r="J498" s="116"/>
      <c r="K498" s="9">
        <v>1923.0769230769231</v>
      </c>
      <c r="L498" s="127"/>
      <c r="M498" s="117">
        <f>IFERROR(IF(WEEKDAY($A498)&lt;&gt;1,HLOOKUP($B498,'SERVIÇOS NOTÁVEIS'!$23:$32,10,FALSE)*1.39,0),0)</f>
        <v>2843.7635769230742</v>
      </c>
      <c r="O498" s="99"/>
      <c r="P498" s="10"/>
      <c r="R498" s="10"/>
      <c r="S498" s="10"/>
      <c r="U498" s="10"/>
    </row>
    <row r="499" spans="1:21" x14ac:dyDescent="0.35">
      <c r="A499" s="126">
        <f t="shared" si="16"/>
        <v>46518</v>
      </c>
      <c r="B499" s="118" t="str">
        <f t="shared" si="17"/>
        <v>mai/27</v>
      </c>
      <c r="C499" s="115"/>
      <c r="D499" s="116"/>
      <c r="E499" s="118">
        <v>0</v>
      </c>
      <c r="F499" s="115"/>
      <c r="G499" s="116"/>
      <c r="H499" s="118">
        <v>0</v>
      </c>
      <c r="I499" s="115"/>
      <c r="J499" s="116"/>
      <c r="K499" s="9">
        <v>1923.0769230769231</v>
      </c>
      <c r="L499" s="127"/>
      <c r="M499" s="117">
        <f>IFERROR(IF(WEEKDAY($A499)&lt;&gt;1,HLOOKUP($B499,'SERVIÇOS NOTÁVEIS'!$23:$32,10,FALSE)*1.39,0),0)</f>
        <v>2843.7635769230742</v>
      </c>
      <c r="O499" s="99"/>
      <c r="P499" s="10"/>
      <c r="R499" s="10"/>
      <c r="S499" s="10"/>
      <c r="U499" s="10"/>
    </row>
    <row r="500" spans="1:21" x14ac:dyDescent="0.35">
      <c r="A500" s="126">
        <f t="shared" si="16"/>
        <v>46519</v>
      </c>
      <c r="B500" s="118" t="str">
        <f t="shared" si="17"/>
        <v>mai/27</v>
      </c>
      <c r="C500" s="115"/>
      <c r="D500" s="116"/>
      <c r="E500" s="118">
        <v>0</v>
      </c>
      <c r="F500" s="115"/>
      <c r="G500" s="116"/>
      <c r="H500" s="118">
        <v>0</v>
      </c>
      <c r="I500" s="115"/>
      <c r="J500" s="116"/>
      <c r="K500" s="9">
        <v>1923.0769230769231</v>
      </c>
      <c r="L500" s="127"/>
      <c r="M500" s="117">
        <f>IFERROR(IF(WEEKDAY($A500)&lt;&gt;1,HLOOKUP($B500,'SERVIÇOS NOTÁVEIS'!$23:$32,10,FALSE)*1.39,0),0)</f>
        <v>2843.7635769230742</v>
      </c>
      <c r="O500" s="99"/>
      <c r="P500" s="10"/>
      <c r="R500" s="10"/>
      <c r="S500" s="10"/>
      <c r="U500" s="10"/>
    </row>
    <row r="501" spans="1:21" x14ac:dyDescent="0.35">
      <c r="A501" s="126">
        <f t="shared" si="16"/>
        <v>46520</v>
      </c>
      <c r="B501" s="118" t="str">
        <f t="shared" si="17"/>
        <v>mai/27</v>
      </c>
      <c r="C501" s="115"/>
      <c r="D501" s="116"/>
      <c r="E501" s="118">
        <v>0</v>
      </c>
      <c r="F501" s="115"/>
      <c r="G501" s="116"/>
      <c r="H501" s="118">
        <v>0</v>
      </c>
      <c r="I501" s="115"/>
      <c r="J501" s="116"/>
      <c r="K501" s="9">
        <v>1923.0769230769231</v>
      </c>
      <c r="L501" s="127"/>
      <c r="M501" s="117">
        <f>IFERROR(IF(WEEKDAY($A501)&lt;&gt;1,HLOOKUP($B501,'SERVIÇOS NOTÁVEIS'!$23:$32,10,FALSE)*1.39,0),0)</f>
        <v>2843.7635769230742</v>
      </c>
      <c r="O501" s="99"/>
      <c r="P501" s="10"/>
      <c r="R501" s="10"/>
      <c r="S501" s="10"/>
      <c r="U501" s="10"/>
    </row>
    <row r="502" spans="1:21" x14ac:dyDescent="0.35">
      <c r="A502" s="126">
        <f t="shared" si="16"/>
        <v>46521</v>
      </c>
      <c r="B502" s="118" t="str">
        <f t="shared" si="17"/>
        <v>mai/27</v>
      </c>
      <c r="C502" s="115"/>
      <c r="D502" s="116"/>
      <c r="E502" s="118">
        <v>0</v>
      </c>
      <c r="F502" s="115"/>
      <c r="G502" s="116"/>
      <c r="H502" s="118">
        <v>0</v>
      </c>
      <c r="I502" s="115"/>
      <c r="J502" s="116"/>
      <c r="K502" s="9">
        <v>1923.0769230769231</v>
      </c>
      <c r="L502" s="127"/>
      <c r="M502" s="117">
        <f>IFERROR(IF(WEEKDAY($A502)&lt;&gt;1,HLOOKUP($B502,'SERVIÇOS NOTÁVEIS'!$23:$32,10,FALSE)*1.39,0),0)</f>
        <v>2843.7635769230742</v>
      </c>
      <c r="O502" s="99"/>
      <c r="P502" s="10"/>
      <c r="R502" s="10"/>
      <c r="S502" s="10"/>
      <c r="U502" s="10"/>
    </row>
    <row r="503" spans="1:21" x14ac:dyDescent="0.35">
      <c r="A503" s="126">
        <f t="shared" si="16"/>
        <v>46522</v>
      </c>
      <c r="B503" s="118" t="str">
        <f t="shared" si="17"/>
        <v>mai/27</v>
      </c>
      <c r="C503" s="115"/>
      <c r="D503" s="116"/>
      <c r="E503" s="118">
        <v>0</v>
      </c>
      <c r="F503" s="115"/>
      <c r="G503" s="116"/>
      <c r="H503" s="118">
        <v>0</v>
      </c>
      <c r="I503" s="115"/>
      <c r="J503" s="116"/>
      <c r="K503" s="9">
        <v>1923.0769230769231</v>
      </c>
      <c r="L503" s="127"/>
      <c r="M503" s="117">
        <f>IFERROR(IF(WEEKDAY($A503)&lt;&gt;1,HLOOKUP($B503,'SERVIÇOS NOTÁVEIS'!$23:$32,10,FALSE)*1.39,0),0)</f>
        <v>2843.7635769230742</v>
      </c>
      <c r="O503" s="99"/>
      <c r="P503" s="10"/>
      <c r="R503" s="10"/>
      <c r="S503" s="10"/>
      <c r="U503" s="10"/>
    </row>
    <row r="504" spans="1:21" x14ac:dyDescent="0.35">
      <c r="A504" s="126">
        <f t="shared" ref="A504:A567" si="18">A503+1</f>
        <v>46523</v>
      </c>
      <c r="B504" s="118" t="str">
        <f t="shared" si="17"/>
        <v>mai/27</v>
      </c>
      <c r="C504" s="115"/>
      <c r="D504" s="116"/>
      <c r="E504" s="118">
        <v>0</v>
      </c>
      <c r="F504" s="115"/>
      <c r="G504" s="116"/>
      <c r="H504" s="118">
        <v>0</v>
      </c>
      <c r="I504" s="115"/>
      <c r="J504" s="116"/>
      <c r="K504" s="9">
        <v>0</v>
      </c>
      <c r="L504" s="127"/>
      <c r="M504" s="117">
        <f>IFERROR(IF(WEEKDAY($A504)&lt;&gt;1,HLOOKUP($B504,'SERVIÇOS NOTÁVEIS'!$23:$32,10,FALSE)*1.39,0),0)</f>
        <v>0</v>
      </c>
      <c r="O504" s="99"/>
      <c r="P504" s="10"/>
      <c r="R504" s="10"/>
      <c r="S504" s="10"/>
      <c r="U504" s="10"/>
    </row>
    <row r="505" spans="1:21" x14ac:dyDescent="0.35">
      <c r="A505" s="126">
        <f t="shared" si="18"/>
        <v>46524</v>
      </c>
      <c r="B505" s="118" t="str">
        <f t="shared" si="17"/>
        <v>mai/27</v>
      </c>
      <c r="C505" s="115"/>
      <c r="D505" s="116"/>
      <c r="E505" s="118">
        <v>0</v>
      </c>
      <c r="F505" s="115"/>
      <c r="G505" s="116"/>
      <c r="H505" s="118">
        <v>0</v>
      </c>
      <c r="I505" s="115"/>
      <c r="J505" s="116"/>
      <c r="K505" s="9">
        <v>1923.0769230769231</v>
      </c>
      <c r="L505" s="127"/>
      <c r="M505" s="117">
        <f>IFERROR(IF(WEEKDAY($A505)&lt;&gt;1,HLOOKUP($B505,'SERVIÇOS NOTÁVEIS'!$23:$32,10,FALSE)*1.39,0),0)</f>
        <v>2843.7635769230742</v>
      </c>
      <c r="O505" s="99"/>
      <c r="P505" s="10"/>
      <c r="R505" s="10"/>
      <c r="S505" s="10"/>
      <c r="U505" s="10"/>
    </row>
    <row r="506" spans="1:21" x14ac:dyDescent="0.35">
      <c r="A506" s="126">
        <f t="shared" si="18"/>
        <v>46525</v>
      </c>
      <c r="B506" s="118" t="str">
        <f t="shared" si="17"/>
        <v>mai/27</v>
      </c>
      <c r="C506" s="115"/>
      <c r="D506" s="116"/>
      <c r="E506" s="118">
        <v>0</v>
      </c>
      <c r="F506" s="115"/>
      <c r="G506" s="116"/>
      <c r="H506" s="118">
        <v>0</v>
      </c>
      <c r="I506" s="115"/>
      <c r="J506" s="116"/>
      <c r="K506" s="9">
        <v>1923.0769230769231</v>
      </c>
      <c r="L506" s="127"/>
      <c r="M506" s="117">
        <f>IFERROR(IF(WEEKDAY($A506)&lt;&gt;1,HLOOKUP($B506,'SERVIÇOS NOTÁVEIS'!$23:$32,10,FALSE)*1.39,0),0)</f>
        <v>2843.7635769230742</v>
      </c>
      <c r="O506" s="99"/>
      <c r="P506" s="10"/>
      <c r="R506" s="10"/>
      <c r="S506" s="10"/>
      <c r="U506" s="10"/>
    </row>
    <row r="507" spans="1:21" x14ac:dyDescent="0.35">
      <c r="A507" s="126">
        <f t="shared" si="18"/>
        <v>46526</v>
      </c>
      <c r="B507" s="118" t="str">
        <f t="shared" si="17"/>
        <v>mai/27</v>
      </c>
      <c r="C507" s="115"/>
      <c r="D507" s="116"/>
      <c r="E507" s="118">
        <v>0</v>
      </c>
      <c r="F507" s="115"/>
      <c r="G507" s="116"/>
      <c r="H507" s="118">
        <v>0</v>
      </c>
      <c r="I507" s="115"/>
      <c r="J507" s="116"/>
      <c r="K507" s="9">
        <v>1923.0769230769231</v>
      </c>
      <c r="L507" s="127"/>
      <c r="M507" s="117">
        <f>IFERROR(IF(WEEKDAY($A507)&lt;&gt;1,HLOOKUP($B507,'SERVIÇOS NOTÁVEIS'!$23:$32,10,FALSE)*1.39,0),0)</f>
        <v>2843.7635769230742</v>
      </c>
      <c r="O507" s="99"/>
      <c r="P507" s="10"/>
      <c r="R507" s="10"/>
      <c r="S507" s="10"/>
      <c r="U507" s="10"/>
    </row>
    <row r="508" spans="1:21" x14ac:dyDescent="0.35">
      <c r="A508" s="126">
        <f t="shared" si="18"/>
        <v>46527</v>
      </c>
      <c r="B508" s="118" t="str">
        <f t="shared" si="17"/>
        <v>mai/27</v>
      </c>
      <c r="C508" s="115"/>
      <c r="D508" s="116"/>
      <c r="E508" s="118">
        <v>0</v>
      </c>
      <c r="F508" s="115"/>
      <c r="G508" s="116"/>
      <c r="H508" s="118">
        <v>0</v>
      </c>
      <c r="I508" s="115"/>
      <c r="J508" s="116"/>
      <c r="K508" s="9">
        <v>1923.0769230769231</v>
      </c>
      <c r="L508" s="127"/>
      <c r="M508" s="117">
        <f>IFERROR(IF(WEEKDAY($A508)&lt;&gt;1,HLOOKUP($B508,'SERVIÇOS NOTÁVEIS'!$23:$32,10,FALSE)*1.39,0),0)</f>
        <v>2843.7635769230742</v>
      </c>
      <c r="O508" s="99"/>
      <c r="P508" s="10"/>
      <c r="R508" s="10"/>
      <c r="S508" s="10"/>
      <c r="U508" s="10"/>
    </row>
    <row r="509" spans="1:21" x14ac:dyDescent="0.35">
      <c r="A509" s="126">
        <f t="shared" si="18"/>
        <v>46528</v>
      </c>
      <c r="B509" s="118" t="str">
        <f t="shared" si="17"/>
        <v>mai/27</v>
      </c>
      <c r="C509" s="115"/>
      <c r="D509" s="116"/>
      <c r="E509" s="118">
        <v>0</v>
      </c>
      <c r="F509" s="115"/>
      <c r="G509" s="116"/>
      <c r="H509" s="118">
        <v>0</v>
      </c>
      <c r="I509" s="115"/>
      <c r="J509" s="116"/>
      <c r="K509" s="9">
        <v>1923.0769230769231</v>
      </c>
      <c r="L509" s="127"/>
      <c r="M509" s="117">
        <f>IFERROR(IF(WEEKDAY($A509)&lt;&gt;1,HLOOKUP($B509,'SERVIÇOS NOTÁVEIS'!$23:$32,10,FALSE)*1.39,0),0)</f>
        <v>2843.7635769230742</v>
      </c>
      <c r="O509" s="99"/>
      <c r="P509" s="10"/>
      <c r="R509" s="10"/>
      <c r="S509" s="10"/>
      <c r="U509" s="10"/>
    </row>
    <row r="510" spans="1:21" x14ac:dyDescent="0.35">
      <c r="A510" s="126">
        <f t="shared" si="18"/>
        <v>46529</v>
      </c>
      <c r="B510" s="118" t="str">
        <f t="shared" si="17"/>
        <v>mai/27</v>
      </c>
      <c r="C510" s="115"/>
      <c r="D510" s="116"/>
      <c r="E510" s="118">
        <v>0</v>
      </c>
      <c r="F510" s="115"/>
      <c r="G510" s="116"/>
      <c r="H510" s="118">
        <v>0</v>
      </c>
      <c r="I510" s="115"/>
      <c r="J510" s="116"/>
      <c r="K510" s="9">
        <v>1923.0769230769231</v>
      </c>
      <c r="L510" s="127"/>
      <c r="M510" s="117">
        <f>IFERROR(IF(WEEKDAY($A510)&lt;&gt;1,HLOOKUP($B510,'SERVIÇOS NOTÁVEIS'!$23:$32,10,FALSE)*1.39,0),0)</f>
        <v>2843.7635769230742</v>
      </c>
      <c r="O510" s="99"/>
      <c r="P510" s="10"/>
      <c r="R510" s="10"/>
      <c r="S510" s="10"/>
      <c r="U510" s="10"/>
    </row>
    <row r="511" spans="1:21" x14ac:dyDescent="0.35">
      <c r="A511" s="126">
        <f t="shared" si="18"/>
        <v>46530</v>
      </c>
      <c r="B511" s="118" t="str">
        <f t="shared" si="17"/>
        <v>mai/27</v>
      </c>
      <c r="C511" s="115"/>
      <c r="D511" s="116"/>
      <c r="E511" s="118">
        <v>0</v>
      </c>
      <c r="F511" s="115"/>
      <c r="G511" s="116"/>
      <c r="H511" s="118">
        <v>0</v>
      </c>
      <c r="I511" s="115"/>
      <c r="J511" s="116"/>
      <c r="K511" s="9">
        <v>0</v>
      </c>
      <c r="L511" s="127"/>
      <c r="M511" s="117">
        <f>IFERROR(IF(WEEKDAY($A511)&lt;&gt;1,HLOOKUP($B511,'SERVIÇOS NOTÁVEIS'!$23:$32,10,FALSE)*1.39,0),0)</f>
        <v>0</v>
      </c>
      <c r="O511" s="99"/>
      <c r="P511" s="10"/>
      <c r="R511" s="10"/>
      <c r="S511" s="10"/>
      <c r="U511" s="10"/>
    </row>
    <row r="512" spans="1:21" x14ac:dyDescent="0.35">
      <c r="A512" s="126">
        <f t="shared" si="18"/>
        <v>46531</v>
      </c>
      <c r="B512" s="118" t="str">
        <f t="shared" si="17"/>
        <v>mai/27</v>
      </c>
      <c r="C512" s="115"/>
      <c r="D512" s="116"/>
      <c r="E512" s="118">
        <v>0</v>
      </c>
      <c r="F512" s="115"/>
      <c r="G512" s="116"/>
      <c r="H512" s="118">
        <v>0</v>
      </c>
      <c r="I512" s="115"/>
      <c r="J512" s="116"/>
      <c r="K512" s="9">
        <v>1923.0769230769231</v>
      </c>
      <c r="L512" s="127"/>
      <c r="M512" s="117">
        <f>IFERROR(IF(WEEKDAY($A512)&lt;&gt;1,HLOOKUP($B512,'SERVIÇOS NOTÁVEIS'!$23:$32,10,FALSE)*1.39,0),0)</f>
        <v>2843.7635769230742</v>
      </c>
      <c r="O512" s="99"/>
      <c r="P512" s="10"/>
      <c r="R512" s="10"/>
      <c r="S512" s="10"/>
      <c r="U512" s="10"/>
    </row>
    <row r="513" spans="1:21" x14ac:dyDescent="0.35">
      <c r="A513" s="126">
        <f t="shared" si="18"/>
        <v>46532</v>
      </c>
      <c r="B513" s="118" t="str">
        <f t="shared" si="17"/>
        <v>mai/27</v>
      </c>
      <c r="C513" s="115"/>
      <c r="D513" s="116"/>
      <c r="E513" s="118">
        <v>0</v>
      </c>
      <c r="F513" s="115"/>
      <c r="G513" s="116"/>
      <c r="H513" s="118">
        <v>0</v>
      </c>
      <c r="I513" s="115"/>
      <c r="J513" s="116"/>
      <c r="K513" s="9">
        <v>1923.0769230769231</v>
      </c>
      <c r="L513" s="127"/>
      <c r="M513" s="117">
        <f>IFERROR(IF(WEEKDAY($A513)&lt;&gt;1,HLOOKUP($B513,'SERVIÇOS NOTÁVEIS'!$23:$32,10,FALSE)*1.39,0),0)</f>
        <v>2843.7635769230742</v>
      </c>
      <c r="O513" s="99"/>
      <c r="P513" s="10"/>
      <c r="R513" s="10"/>
      <c r="S513" s="10"/>
      <c r="U513" s="10"/>
    </row>
    <row r="514" spans="1:21" x14ac:dyDescent="0.35">
      <c r="A514" s="126">
        <f t="shared" si="18"/>
        <v>46533</v>
      </c>
      <c r="B514" s="118" t="str">
        <f t="shared" si="17"/>
        <v>mai/27</v>
      </c>
      <c r="C514" s="115"/>
      <c r="D514" s="116"/>
      <c r="E514" s="118">
        <v>0</v>
      </c>
      <c r="F514" s="115"/>
      <c r="G514" s="116"/>
      <c r="H514" s="118">
        <v>0</v>
      </c>
      <c r="I514" s="115"/>
      <c r="J514" s="116"/>
      <c r="K514" s="9">
        <v>1923.0769230769231</v>
      </c>
      <c r="L514" s="127"/>
      <c r="M514" s="117">
        <f>IFERROR(IF(WEEKDAY($A514)&lt;&gt;1,HLOOKUP($B514,'SERVIÇOS NOTÁVEIS'!$23:$32,10,FALSE)*1.39,0),0)</f>
        <v>2843.7635769230742</v>
      </c>
      <c r="O514" s="99"/>
      <c r="P514" s="10"/>
      <c r="R514" s="10"/>
      <c r="S514" s="10"/>
      <c r="U514" s="10"/>
    </row>
    <row r="515" spans="1:21" x14ac:dyDescent="0.35">
      <c r="A515" s="126">
        <f t="shared" si="18"/>
        <v>46534</v>
      </c>
      <c r="B515" s="118" t="str">
        <f t="shared" si="17"/>
        <v>mai/27</v>
      </c>
      <c r="C515" s="115"/>
      <c r="D515" s="116"/>
      <c r="E515" s="118">
        <v>0</v>
      </c>
      <c r="F515" s="115"/>
      <c r="G515" s="116"/>
      <c r="H515" s="118">
        <v>0</v>
      </c>
      <c r="I515" s="115"/>
      <c r="J515" s="116"/>
      <c r="K515" s="9">
        <v>1923.0769230769231</v>
      </c>
      <c r="L515" s="127"/>
      <c r="M515" s="117">
        <f>IFERROR(IF(WEEKDAY($A515)&lt;&gt;1,HLOOKUP($B515,'SERVIÇOS NOTÁVEIS'!$23:$32,10,FALSE)*1.39,0),0)</f>
        <v>2843.7635769230742</v>
      </c>
      <c r="O515" s="99"/>
      <c r="P515" s="10"/>
      <c r="R515" s="10"/>
      <c r="S515" s="10"/>
      <c r="U515" s="10"/>
    </row>
    <row r="516" spans="1:21" x14ac:dyDescent="0.35">
      <c r="A516" s="126">
        <f t="shared" si="18"/>
        <v>46535</v>
      </c>
      <c r="B516" s="118" t="str">
        <f t="shared" si="17"/>
        <v>mai/27</v>
      </c>
      <c r="C516" s="115"/>
      <c r="D516" s="116"/>
      <c r="E516" s="118">
        <v>0</v>
      </c>
      <c r="F516" s="115"/>
      <c r="G516" s="116"/>
      <c r="H516" s="118">
        <v>0</v>
      </c>
      <c r="I516" s="115"/>
      <c r="J516" s="116"/>
      <c r="K516" s="9">
        <v>1923.0769230769231</v>
      </c>
      <c r="L516" s="127"/>
      <c r="M516" s="117">
        <f>IFERROR(IF(WEEKDAY($A516)&lt;&gt;1,HLOOKUP($B516,'SERVIÇOS NOTÁVEIS'!$23:$32,10,FALSE)*1.39,0),0)</f>
        <v>2843.7635769230742</v>
      </c>
      <c r="O516" s="99"/>
      <c r="P516" s="10"/>
      <c r="R516" s="10"/>
      <c r="S516" s="10"/>
      <c r="U516" s="10"/>
    </row>
    <row r="517" spans="1:21" x14ac:dyDescent="0.35">
      <c r="A517" s="126">
        <f t="shared" si="18"/>
        <v>46536</v>
      </c>
      <c r="B517" s="118" t="str">
        <f t="shared" ref="B517:B580" si="19">TEXT(A517,"MMM/AA")</f>
        <v>mai/27</v>
      </c>
      <c r="C517" s="115"/>
      <c r="D517" s="116"/>
      <c r="E517" s="118">
        <v>0</v>
      </c>
      <c r="F517" s="115"/>
      <c r="G517" s="116"/>
      <c r="H517" s="118">
        <v>0</v>
      </c>
      <c r="I517" s="115"/>
      <c r="J517" s="116"/>
      <c r="K517" s="9">
        <v>1923.0769230769231</v>
      </c>
      <c r="L517" s="127"/>
      <c r="M517" s="117">
        <f>IFERROR(IF(WEEKDAY($A517)&lt;&gt;1,HLOOKUP($B517,'SERVIÇOS NOTÁVEIS'!$23:$32,10,FALSE)*1.39,0),0)</f>
        <v>2843.7635769230742</v>
      </c>
      <c r="O517" s="99"/>
      <c r="P517" s="10"/>
      <c r="R517" s="10"/>
      <c r="S517" s="10"/>
      <c r="U517" s="10"/>
    </row>
    <row r="518" spans="1:21" x14ac:dyDescent="0.35">
      <c r="A518" s="126">
        <f t="shared" si="18"/>
        <v>46537</v>
      </c>
      <c r="B518" s="118" t="str">
        <f t="shared" si="19"/>
        <v>mai/27</v>
      </c>
      <c r="C518" s="115"/>
      <c r="D518" s="116"/>
      <c r="E518" s="118">
        <v>0</v>
      </c>
      <c r="F518" s="115"/>
      <c r="G518" s="116"/>
      <c r="H518" s="118">
        <v>0</v>
      </c>
      <c r="I518" s="115"/>
      <c r="J518" s="116"/>
      <c r="K518" s="9">
        <v>0</v>
      </c>
      <c r="L518" s="127"/>
      <c r="M518" s="117">
        <f>IFERROR(IF(WEEKDAY($A518)&lt;&gt;1,HLOOKUP($B518,'SERVIÇOS NOTÁVEIS'!$23:$32,10,FALSE)*1.39,0),0)</f>
        <v>0</v>
      </c>
      <c r="O518" s="99"/>
      <c r="P518" s="10"/>
      <c r="R518" s="10"/>
      <c r="S518" s="10"/>
      <c r="U518" s="10"/>
    </row>
    <row r="519" spans="1:21" x14ac:dyDescent="0.35">
      <c r="A519" s="126">
        <f t="shared" si="18"/>
        <v>46538</v>
      </c>
      <c r="B519" s="118" t="str">
        <f t="shared" si="19"/>
        <v>mai/27</v>
      </c>
      <c r="C519" s="115"/>
      <c r="D519" s="116"/>
      <c r="E519" s="118">
        <v>0</v>
      </c>
      <c r="F519" s="115"/>
      <c r="G519" s="116"/>
      <c r="H519" s="118">
        <v>0</v>
      </c>
      <c r="I519" s="115"/>
      <c r="J519" s="116"/>
      <c r="K519" s="9">
        <v>1923.0769230769231</v>
      </c>
      <c r="L519" s="127"/>
      <c r="M519" s="117">
        <f>IFERROR(IF(WEEKDAY($A519)&lt;&gt;1,HLOOKUP($B519,'SERVIÇOS NOTÁVEIS'!$23:$32,10,FALSE)*1.39,0),0)</f>
        <v>2843.7635769230742</v>
      </c>
      <c r="O519" s="99"/>
      <c r="P519" s="10"/>
      <c r="R519" s="10"/>
      <c r="S519" s="10"/>
      <c r="U519" s="10"/>
    </row>
    <row r="520" spans="1:21" x14ac:dyDescent="0.35">
      <c r="A520" s="126">
        <f t="shared" si="18"/>
        <v>46539</v>
      </c>
      <c r="B520" s="118" t="str">
        <f t="shared" si="19"/>
        <v>jun/27</v>
      </c>
      <c r="C520" s="115"/>
      <c r="D520" s="116"/>
      <c r="E520" s="118">
        <v>0</v>
      </c>
      <c r="F520" s="115"/>
      <c r="G520" s="116"/>
      <c r="H520" s="118">
        <v>0</v>
      </c>
      <c r="I520" s="115"/>
      <c r="J520" s="116"/>
      <c r="K520" s="9">
        <v>1923.0769230769231</v>
      </c>
      <c r="L520" s="127"/>
      <c r="M520" s="117">
        <f>IFERROR(IF(WEEKDAY($A520)&lt;&gt;1,HLOOKUP($B520,'SERVIÇOS NOTÁVEIS'!$23:$32,10,FALSE)*1.39,0),0)</f>
        <v>1594.4101923076923</v>
      </c>
      <c r="O520" s="99"/>
      <c r="P520" s="10"/>
      <c r="R520" s="10"/>
      <c r="S520" s="10"/>
      <c r="U520" s="10"/>
    </row>
    <row r="521" spans="1:21" x14ac:dyDescent="0.35">
      <c r="A521" s="126">
        <f t="shared" si="18"/>
        <v>46540</v>
      </c>
      <c r="B521" s="118" t="str">
        <f t="shared" si="19"/>
        <v>jun/27</v>
      </c>
      <c r="C521" s="115"/>
      <c r="D521" s="116"/>
      <c r="E521" s="118">
        <v>0</v>
      </c>
      <c r="F521" s="115"/>
      <c r="G521" s="116"/>
      <c r="H521" s="118">
        <v>0</v>
      </c>
      <c r="I521" s="115"/>
      <c r="J521" s="116"/>
      <c r="K521" s="9">
        <v>1923.0769230769231</v>
      </c>
      <c r="L521" s="127"/>
      <c r="M521" s="117">
        <f>IFERROR(IF(WEEKDAY($A521)&lt;&gt;1,HLOOKUP($B521,'SERVIÇOS NOTÁVEIS'!$23:$32,10,FALSE)*1.39,0),0)</f>
        <v>1594.4101923076923</v>
      </c>
      <c r="O521" s="99"/>
      <c r="P521" s="10"/>
      <c r="R521" s="10"/>
      <c r="S521" s="10"/>
      <c r="U521" s="10"/>
    </row>
    <row r="522" spans="1:21" x14ac:dyDescent="0.35">
      <c r="A522" s="126">
        <f t="shared" si="18"/>
        <v>46541</v>
      </c>
      <c r="B522" s="118" t="str">
        <f t="shared" si="19"/>
        <v>jun/27</v>
      </c>
      <c r="C522" s="115"/>
      <c r="D522" s="116"/>
      <c r="E522" s="118">
        <v>0</v>
      </c>
      <c r="F522" s="115"/>
      <c r="G522" s="116"/>
      <c r="H522" s="118">
        <v>0</v>
      </c>
      <c r="I522" s="115"/>
      <c r="J522" s="116"/>
      <c r="K522" s="9">
        <v>1923.0769230769231</v>
      </c>
      <c r="L522" s="127"/>
      <c r="M522" s="117">
        <f>IFERROR(IF(WEEKDAY($A522)&lt;&gt;1,HLOOKUP($B522,'SERVIÇOS NOTÁVEIS'!$23:$32,10,FALSE)*1.39,0),0)</f>
        <v>1594.4101923076923</v>
      </c>
      <c r="O522" s="99"/>
      <c r="P522" s="10"/>
      <c r="R522" s="10"/>
      <c r="S522" s="10"/>
      <c r="U522" s="10"/>
    </row>
    <row r="523" spans="1:21" x14ac:dyDescent="0.35">
      <c r="A523" s="126">
        <f t="shared" si="18"/>
        <v>46542</v>
      </c>
      <c r="B523" s="118" t="str">
        <f t="shared" si="19"/>
        <v>jun/27</v>
      </c>
      <c r="C523" s="115"/>
      <c r="D523" s="116"/>
      <c r="E523" s="118">
        <v>0</v>
      </c>
      <c r="F523" s="115"/>
      <c r="G523" s="116"/>
      <c r="H523" s="118">
        <v>0</v>
      </c>
      <c r="I523" s="115"/>
      <c r="J523" s="116"/>
      <c r="K523" s="9">
        <v>1923.0769230769231</v>
      </c>
      <c r="L523" s="127"/>
      <c r="M523" s="117">
        <f>IFERROR(IF(WEEKDAY($A523)&lt;&gt;1,HLOOKUP($B523,'SERVIÇOS NOTÁVEIS'!$23:$32,10,FALSE)*1.39,0),0)</f>
        <v>1594.4101923076923</v>
      </c>
      <c r="O523" s="99"/>
      <c r="P523" s="10"/>
      <c r="R523" s="10"/>
      <c r="S523" s="10"/>
      <c r="U523" s="10"/>
    </row>
    <row r="524" spans="1:21" x14ac:dyDescent="0.35">
      <c r="A524" s="126">
        <f t="shared" si="18"/>
        <v>46543</v>
      </c>
      <c r="B524" s="118" t="str">
        <f t="shared" si="19"/>
        <v>jun/27</v>
      </c>
      <c r="C524" s="115"/>
      <c r="D524" s="116"/>
      <c r="E524" s="118">
        <v>0</v>
      </c>
      <c r="F524" s="115"/>
      <c r="G524" s="116"/>
      <c r="H524" s="118">
        <v>0</v>
      </c>
      <c r="I524" s="115"/>
      <c r="J524" s="116"/>
      <c r="K524" s="9">
        <v>1923.0769230769231</v>
      </c>
      <c r="L524" s="127"/>
      <c r="M524" s="117">
        <f>IFERROR(IF(WEEKDAY($A524)&lt;&gt;1,HLOOKUP($B524,'SERVIÇOS NOTÁVEIS'!$23:$32,10,FALSE)*1.39,0),0)</f>
        <v>1594.4101923076923</v>
      </c>
      <c r="O524" s="99"/>
      <c r="P524" s="10"/>
      <c r="R524" s="10"/>
      <c r="S524" s="10"/>
      <c r="U524" s="10"/>
    </row>
    <row r="525" spans="1:21" x14ac:dyDescent="0.35">
      <c r="A525" s="126">
        <f t="shared" si="18"/>
        <v>46544</v>
      </c>
      <c r="B525" s="118" t="str">
        <f t="shared" si="19"/>
        <v>jun/27</v>
      </c>
      <c r="C525" s="115"/>
      <c r="D525" s="116"/>
      <c r="E525" s="118">
        <v>0</v>
      </c>
      <c r="F525" s="115"/>
      <c r="G525" s="116"/>
      <c r="H525" s="118">
        <v>0</v>
      </c>
      <c r="I525" s="115"/>
      <c r="J525" s="116"/>
      <c r="K525" s="9">
        <v>0</v>
      </c>
      <c r="L525" s="127"/>
      <c r="M525" s="117">
        <f>IFERROR(IF(WEEKDAY($A525)&lt;&gt;1,HLOOKUP($B525,'SERVIÇOS NOTÁVEIS'!$23:$32,10,FALSE)*1.39,0),0)</f>
        <v>0</v>
      </c>
      <c r="O525" s="99"/>
      <c r="P525" s="10"/>
      <c r="R525" s="10"/>
      <c r="S525" s="10"/>
      <c r="U525" s="10"/>
    </row>
    <row r="526" spans="1:21" x14ac:dyDescent="0.35">
      <c r="A526" s="126">
        <f t="shared" si="18"/>
        <v>46545</v>
      </c>
      <c r="B526" s="118" t="str">
        <f t="shared" si="19"/>
        <v>jun/27</v>
      </c>
      <c r="C526" s="115"/>
      <c r="D526" s="116"/>
      <c r="E526" s="118">
        <v>0</v>
      </c>
      <c r="F526" s="115"/>
      <c r="G526" s="116"/>
      <c r="H526" s="118">
        <v>0</v>
      </c>
      <c r="I526" s="115"/>
      <c r="J526" s="116"/>
      <c r="K526" s="9">
        <v>1923.0769230769231</v>
      </c>
      <c r="L526" s="127"/>
      <c r="M526" s="117">
        <f>IFERROR(IF(WEEKDAY($A526)&lt;&gt;1,HLOOKUP($B526,'SERVIÇOS NOTÁVEIS'!$23:$32,10,FALSE)*1.39,0),0)</f>
        <v>1594.4101923076923</v>
      </c>
      <c r="O526" s="99"/>
      <c r="P526" s="10"/>
      <c r="R526" s="10"/>
      <c r="S526" s="10"/>
      <c r="U526" s="10"/>
    </row>
    <row r="527" spans="1:21" x14ac:dyDescent="0.35">
      <c r="A527" s="126">
        <f t="shared" si="18"/>
        <v>46546</v>
      </c>
      <c r="B527" s="118" t="str">
        <f t="shared" si="19"/>
        <v>jun/27</v>
      </c>
      <c r="C527" s="115"/>
      <c r="D527" s="116"/>
      <c r="E527" s="118">
        <v>0</v>
      </c>
      <c r="F527" s="115"/>
      <c r="G527" s="116"/>
      <c r="H527" s="118">
        <v>0</v>
      </c>
      <c r="I527" s="115"/>
      <c r="J527" s="116"/>
      <c r="K527" s="9">
        <v>1923.0769230769231</v>
      </c>
      <c r="L527" s="127"/>
      <c r="M527" s="117">
        <f>IFERROR(IF(WEEKDAY($A527)&lt;&gt;1,HLOOKUP($B527,'SERVIÇOS NOTÁVEIS'!$23:$32,10,FALSE)*1.39,0),0)</f>
        <v>1594.4101923076923</v>
      </c>
      <c r="O527" s="99"/>
      <c r="P527" s="10"/>
      <c r="R527" s="10"/>
      <c r="S527" s="10"/>
      <c r="U527" s="10"/>
    </row>
    <row r="528" spans="1:21" x14ac:dyDescent="0.35">
      <c r="A528" s="126">
        <f t="shared" si="18"/>
        <v>46547</v>
      </c>
      <c r="B528" s="118" t="str">
        <f t="shared" si="19"/>
        <v>jun/27</v>
      </c>
      <c r="C528" s="115"/>
      <c r="D528" s="116"/>
      <c r="E528" s="118">
        <v>0</v>
      </c>
      <c r="F528" s="115"/>
      <c r="G528" s="116"/>
      <c r="H528" s="118">
        <v>0</v>
      </c>
      <c r="I528" s="115"/>
      <c r="J528" s="116"/>
      <c r="K528" s="9">
        <v>1923.0769230769231</v>
      </c>
      <c r="L528" s="127"/>
      <c r="M528" s="117">
        <f>IFERROR(IF(WEEKDAY($A528)&lt;&gt;1,HLOOKUP($B528,'SERVIÇOS NOTÁVEIS'!$23:$32,10,FALSE)*1.39,0),0)</f>
        <v>1594.4101923076923</v>
      </c>
      <c r="O528" s="99"/>
      <c r="P528" s="10"/>
      <c r="R528" s="10"/>
      <c r="S528" s="10"/>
      <c r="U528" s="10"/>
    </row>
    <row r="529" spans="1:21" x14ac:dyDescent="0.35">
      <c r="A529" s="126">
        <f t="shared" si="18"/>
        <v>46548</v>
      </c>
      <c r="B529" s="118" t="str">
        <f t="shared" si="19"/>
        <v>jun/27</v>
      </c>
      <c r="C529" s="115"/>
      <c r="D529" s="116"/>
      <c r="E529" s="118">
        <v>0</v>
      </c>
      <c r="F529" s="115"/>
      <c r="G529" s="116"/>
      <c r="H529" s="118">
        <v>0</v>
      </c>
      <c r="I529" s="115"/>
      <c r="J529" s="116"/>
      <c r="K529" s="9">
        <v>1923.0769230769231</v>
      </c>
      <c r="L529" s="127"/>
      <c r="M529" s="117">
        <f>IFERROR(IF(WEEKDAY($A529)&lt;&gt;1,HLOOKUP($B529,'SERVIÇOS NOTÁVEIS'!$23:$32,10,FALSE)*1.39,0),0)</f>
        <v>1594.4101923076923</v>
      </c>
      <c r="O529" s="99"/>
      <c r="P529" s="10"/>
      <c r="R529" s="10"/>
      <c r="S529" s="10"/>
      <c r="U529" s="10"/>
    </row>
    <row r="530" spans="1:21" x14ac:dyDescent="0.35">
      <c r="A530" s="126">
        <f t="shared" si="18"/>
        <v>46549</v>
      </c>
      <c r="B530" s="118" t="str">
        <f t="shared" si="19"/>
        <v>jun/27</v>
      </c>
      <c r="C530" s="115"/>
      <c r="D530" s="116"/>
      <c r="E530" s="118">
        <v>0</v>
      </c>
      <c r="F530" s="115"/>
      <c r="G530" s="116"/>
      <c r="H530" s="118">
        <v>0</v>
      </c>
      <c r="I530" s="115"/>
      <c r="J530" s="116"/>
      <c r="K530" s="9">
        <v>1923.0769230769231</v>
      </c>
      <c r="L530" s="127"/>
      <c r="M530" s="117">
        <f>IFERROR(IF(WEEKDAY($A530)&lt;&gt;1,HLOOKUP($B530,'SERVIÇOS NOTÁVEIS'!$23:$32,10,FALSE)*1.39,0),0)</f>
        <v>1594.4101923076923</v>
      </c>
      <c r="O530" s="99"/>
      <c r="P530" s="10"/>
      <c r="R530" s="10"/>
      <c r="S530" s="10"/>
      <c r="U530" s="10"/>
    </row>
    <row r="531" spans="1:21" x14ac:dyDescent="0.35">
      <c r="A531" s="126">
        <f t="shared" si="18"/>
        <v>46550</v>
      </c>
      <c r="B531" s="118" t="str">
        <f t="shared" si="19"/>
        <v>jun/27</v>
      </c>
      <c r="C531" s="115"/>
      <c r="D531" s="116"/>
      <c r="E531" s="118">
        <v>0</v>
      </c>
      <c r="F531" s="115"/>
      <c r="G531" s="116"/>
      <c r="H531" s="118">
        <v>0</v>
      </c>
      <c r="I531" s="115"/>
      <c r="J531" s="116"/>
      <c r="K531" s="9">
        <v>1923.0769230769231</v>
      </c>
      <c r="L531" s="127"/>
      <c r="M531" s="117">
        <f>IFERROR(IF(WEEKDAY($A531)&lt;&gt;1,HLOOKUP($B531,'SERVIÇOS NOTÁVEIS'!$23:$32,10,FALSE)*1.39,0),0)</f>
        <v>1594.4101923076923</v>
      </c>
      <c r="O531" s="99"/>
      <c r="P531" s="10"/>
      <c r="R531" s="10"/>
      <c r="S531" s="10"/>
      <c r="U531" s="10"/>
    </row>
    <row r="532" spans="1:21" x14ac:dyDescent="0.35">
      <c r="A532" s="126">
        <f t="shared" si="18"/>
        <v>46551</v>
      </c>
      <c r="B532" s="118" t="str">
        <f t="shared" si="19"/>
        <v>jun/27</v>
      </c>
      <c r="C532" s="115"/>
      <c r="D532" s="116"/>
      <c r="E532" s="118">
        <v>0</v>
      </c>
      <c r="F532" s="115"/>
      <c r="G532" s="116"/>
      <c r="H532" s="118">
        <v>0</v>
      </c>
      <c r="I532" s="115"/>
      <c r="J532" s="116"/>
      <c r="K532" s="9">
        <v>0</v>
      </c>
      <c r="L532" s="127"/>
      <c r="M532" s="117">
        <f>IFERROR(IF(WEEKDAY($A532)&lt;&gt;1,HLOOKUP($B532,'SERVIÇOS NOTÁVEIS'!$23:$32,10,FALSE)*1.39,0),0)</f>
        <v>0</v>
      </c>
      <c r="O532" s="99"/>
      <c r="P532" s="10"/>
      <c r="R532" s="10"/>
      <c r="S532" s="10"/>
      <c r="U532" s="10"/>
    </row>
    <row r="533" spans="1:21" x14ac:dyDescent="0.35">
      <c r="A533" s="126">
        <f t="shared" si="18"/>
        <v>46552</v>
      </c>
      <c r="B533" s="118" t="str">
        <f t="shared" si="19"/>
        <v>jun/27</v>
      </c>
      <c r="C533" s="115"/>
      <c r="D533" s="116"/>
      <c r="E533" s="118">
        <v>0</v>
      </c>
      <c r="F533" s="115"/>
      <c r="G533" s="116"/>
      <c r="H533" s="118">
        <v>0</v>
      </c>
      <c r="I533" s="115"/>
      <c r="J533" s="116"/>
      <c r="K533" s="9">
        <v>1923.0769230769231</v>
      </c>
      <c r="L533" s="127"/>
      <c r="M533" s="117">
        <f>IFERROR(IF(WEEKDAY($A533)&lt;&gt;1,HLOOKUP($B533,'SERVIÇOS NOTÁVEIS'!$23:$32,10,FALSE)*1.39,0),0)</f>
        <v>1594.4101923076923</v>
      </c>
      <c r="O533" s="99"/>
      <c r="P533" s="10"/>
      <c r="R533" s="10"/>
      <c r="S533" s="10"/>
      <c r="U533" s="10"/>
    </row>
    <row r="534" spans="1:21" x14ac:dyDescent="0.35">
      <c r="A534" s="126">
        <f t="shared" si="18"/>
        <v>46553</v>
      </c>
      <c r="B534" s="118" t="str">
        <f t="shared" si="19"/>
        <v>jun/27</v>
      </c>
      <c r="C534" s="115"/>
      <c r="D534" s="116"/>
      <c r="E534" s="118">
        <v>0</v>
      </c>
      <c r="F534" s="115"/>
      <c r="G534" s="116"/>
      <c r="H534" s="118">
        <v>0</v>
      </c>
      <c r="I534" s="115"/>
      <c r="J534" s="116"/>
      <c r="K534" s="9">
        <v>1923.0769230769231</v>
      </c>
      <c r="L534" s="127"/>
      <c r="M534" s="117">
        <f>IFERROR(IF(WEEKDAY($A534)&lt;&gt;1,HLOOKUP($B534,'SERVIÇOS NOTÁVEIS'!$23:$32,10,FALSE)*1.39,0),0)</f>
        <v>1594.4101923076923</v>
      </c>
      <c r="O534" s="99"/>
      <c r="P534" s="10"/>
      <c r="R534" s="10"/>
      <c r="S534" s="10"/>
      <c r="U534" s="10"/>
    </row>
    <row r="535" spans="1:21" x14ac:dyDescent="0.35">
      <c r="A535" s="126">
        <f t="shared" si="18"/>
        <v>46554</v>
      </c>
      <c r="B535" s="118" t="str">
        <f t="shared" si="19"/>
        <v>jun/27</v>
      </c>
      <c r="C535" s="115"/>
      <c r="D535" s="116"/>
      <c r="E535" s="118">
        <v>0</v>
      </c>
      <c r="F535" s="115"/>
      <c r="G535" s="116"/>
      <c r="H535" s="118">
        <v>0</v>
      </c>
      <c r="I535" s="115"/>
      <c r="J535" s="116"/>
      <c r="K535" s="9">
        <v>1923.0769230769231</v>
      </c>
      <c r="L535" s="127"/>
      <c r="M535" s="117">
        <f>IFERROR(IF(WEEKDAY($A535)&lt;&gt;1,HLOOKUP($B535,'SERVIÇOS NOTÁVEIS'!$23:$32,10,FALSE)*1.39,0),0)</f>
        <v>1594.4101923076923</v>
      </c>
      <c r="O535" s="99"/>
      <c r="P535" s="10"/>
      <c r="R535" s="10"/>
      <c r="S535" s="10"/>
      <c r="U535" s="10"/>
    </row>
    <row r="536" spans="1:21" x14ac:dyDescent="0.35">
      <c r="A536" s="126">
        <f t="shared" si="18"/>
        <v>46555</v>
      </c>
      <c r="B536" s="118" t="str">
        <f t="shared" si="19"/>
        <v>jun/27</v>
      </c>
      <c r="C536" s="115"/>
      <c r="D536" s="116"/>
      <c r="E536" s="118">
        <v>0</v>
      </c>
      <c r="F536" s="115"/>
      <c r="G536" s="116"/>
      <c r="H536" s="118">
        <v>0</v>
      </c>
      <c r="I536" s="115"/>
      <c r="J536" s="116"/>
      <c r="K536" s="9">
        <v>1923.0769230769231</v>
      </c>
      <c r="L536" s="127"/>
      <c r="M536" s="117">
        <f>IFERROR(IF(WEEKDAY($A536)&lt;&gt;1,HLOOKUP($B536,'SERVIÇOS NOTÁVEIS'!$23:$32,10,FALSE)*1.39,0),0)</f>
        <v>1594.4101923076923</v>
      </c>
      <c r="O536" s="99"/>
      <c r="P536" s="10"/>
      <c r="R536" s="10"/>
      <c r="S536" s="10"/>
      <c r="U536" s="10"/>
    </row>
    <row r="537" spans="1:21" x14ac:dyDescent="0.35">
      <c r="A537" s="126">
        <f t="shared" si="18"/>
        <v>46556</v>
      </c>
      <c r="B537" s="118" t="str">
        <f t="shared" si="19"/>
        <v>jun/27</v>
      </c>
      <c r="C537" s="115"/>
      <c r="D537" s="116"/>
      <c r="E537" s="118">
        <v>0</v>
      </c>
      <c r="F537" s="115"/>
      <c r="G537" s="116"/>
      <c r="H537" s="118">
        <v>0</v>
      </c>
      <c r="I537" s="115"/>
      <c r="J537" s="116"/>
      <c r="K537" s="9">
        <v>1923.0769230769231</v>
      </c>
      <c r="L537" s="127"/>
      <c r="M537" s="117">
        <f>IFERROR(IF(WEEKDAY($A537)&lt;&gt;1,HLOOKUP($B537,'SERVIÇOS NOTÁVEIS'!$23:$32,10,FALSE)*1.39,0),0)</f>
        <v>1594.4101923076923</v>
      </c>
      <c r="O537" s="99"/>
      <c r="P537" s="10"/>
      <c r="R537" s="10"/>
      <c r="S537" s="10"/>
      <c r="U537" s="10"/>
    </row>
    <row r="538" spans="1:21" x14ac:dyDescent="0.35">
      <c r="A538" s="126">
        <f t="shared" si="18"/>
        <v>46557</v>
      </c>
      <c r="B538" s="118" t="str">
        <f t="shared" si="19"/>
        <v>jun/27</v>
      </c>
      <c r="C538" s="115"/>
      <c r="D538" s="116"/>
      <c r="E538" s="118">
        <v>0</v>
      </c>
      <c r="F538" s="115"/>
      <c r="G538" s="116"/>
      <c r="H538" s="118">
        <v>0</v>
      </c>
      <c r="I538" s="115"/>
      <c r="J538" s="116"/>
      <c r="K538" s="9">
        <v>1923.0769230769231</v>
      </c>
      <c r="L538" s="127"/>
      <c r="M538" s="117">
        <f>IFERROR(IF(WEEKDAY($A538)&lt;&gt;1,HLOOKUP($B538,'SERVIÇOS NOTÁVEIS'!$23:$32,10,FALSE)*1.39,0),0)</f>
        <v>1594.4101923076923</v>
      </c>
      <c r="O538" s="99"/>
      <c r="P538" s="10"/>
      <c r="R538" s="10"/>
      <c r="S538" s="10"/>
      <c r="U538" s="10"/>
    </row>
    <row r="539" spans="1:21" x14ac:dyDescent="0.35">
      <c r="A539" s="126">
        <f t="shared" si="18"/>
        <v>46558</v>
      </c>
      <c r="B539" s="118" t="str">
        <f t="shared" si="19"/>
        <v>jun/27</v>
      </c>
      <c r="C539" s="115"/>
      <c r="D539" s="116"/>
      <c r="E539" s="118">
        <v>0</v>
      </c>
      <c r="F539" s="115"/>
      <c r="G539" s="116"/>
      <c r="H539" s="118">
        <v>0</v>
      </c>
      <c r="I539" s="115"/>
      <c r="J539" s="116"/>
      <c r="K539" s="9">
        <v>0</v>
      </c>
      <c r="L539" s="127"/>
      <c r="M539" s="117">
        <f>IFERROR(IF(WEEKDAY($A539)&lt;&gt;1,HLOOKUP($B539,'SERVIÇOS NOTÁVEIS'!$23:$32,10,FALSE)*1.39,0),0)</f>
        <v>0</v>
      </c>
      <c r="O539" s="99"/>
      <c r="P539" s="10"/>
      <c r="R539" s="10"/>
      <c r="S539" s="10"/>
      <c r="U539" s="10"/>
    </row>
    <row r="540" spans="1:21" x14ac:dyDescent="0.35">
      <c r="A540" s="126">
        <f t="shared" si="18"/>
        <v>46559</v>
      </c>
      <c r="B540" s="118" t="str">
        <f t="shared" si="19"/>
        <v>jun/27</v>
      </c>
      <c r="C540" s="115"/>
      <c r="D540" s="116"/>
      <c r="E540" s="118">
        <v>0</v>
      </c>
      <c r="F540" s="115"/>
      <c r="G540" s="116"/>
      <c r="H540" s="118">
        <v>0</v>
      </c>
      <c r="I540" s="115"/>
      <c r="J540" s="116"/>
      <c r="K540" s="9">
        <v>1923.0769230769231</v>
      </c>
      <c r="L540" s="127"/>
      <c r="M540" s="117">
        <f>IFERROR(IF(WEEKDAY($A540)&lt;&gt;1,HLOOKUP($B540,'SERVIÇOS NOTÁVEIS'!$23:$32,10,FALSE)*1.39,0),0)</f>
        <v>1594.4101923076923</v>
      </c>
      <c r="O540" s="99"/>
      <c r="P540" s="10"/>
      <c r="R540" s="10"/>
      <c r="S540" s="10"/>
      <c r="U540" s="10"/>
    </row>
    <row r="541" spans="1:21" x14ac:dyDescent="0.35">
      <c r="A541" s="126">
        <f t="shared" si="18"/>
        <v>46560</v>
      </c>
      <c r="B541" s="118" t="str">
        <f t="shared" si="19"/>
        <v>jun/27</v>
      </c>
      <c r="C541" s="115"/>
      <c r="D541" s="116"/>
      <c r="E541" s="118">
        <v>0</v>
      </c>
      <c r="F541" s="115"/>
      <c r="G541" s="116"/>
      <c r="H541" s="118">
        <v>0</v>
      </c>
      <c r="I541" s="115"/>
      <c r="J541" s="116"/>
      <c r="K541" s="9">
        <v>1923.0769230769231</v>
      </c>
      <c r="L541" s="127"/>
      <c r="M541" s="117">
        <f>IFERROR(IF(WEEKDAY($A541)&lt;&gt;1,HLOOKUP($B541,'SERVIÇOS NOTÁVEIS'!$23:$32,10,FALSE)*1.39,0),0)</f>
        <v>1594.4101923076923</v>
      </c>
      <c r="O541" s="99"/>
      <c r="P541" s="10"/>
      <c r="R541" s="10"/>
      <c r="S541" s="10"/>
      <c r="U541" s="10"/>
    </row>
    <row r="542" spans="1:21" x14ac:dyDescent="0.35">
      <c r="A542" s="126">
        <f t="shared" si="18"/>
        <v>46561</v>
      </c>
      <c r="B542" s="118" t="str">
        <f t="shared" si="19"/>
        <v>jun/27</v>
      </c>
      <c r="C542" s="115"/>
      <c r="D542" s="116"/>
      <c r="E542" s="118">
        <v>0</v>
      </c>
      <c r="F542" s="115"/>
      <c r="G542" s="116"/>
      <c r="H542" s="118">
        <v>0</v>
      </c>
      <c r="I542" s="115"/>
      <c r="J542" s="116"/>
      <c r="K542" s="9">
        <v>1923.0769230769231</v>
      </c>
      <c r="L542" s="127"/>
      <c r="M542" s="117">
        <f>IFERROR(IF(WEEKDAY($A542)&lt;&gt;1,HLOOKUP($B542,'SERVIÇOS NOTÁVEIS'!$23:$32,10,FALSE)*1.39,0),0)</f>
        <v>1594.4101923076923</v>
      </c>
      <c r="O542" s="99"/>
      <c r="P542" s="10"/>
      <c r="R542" s="10"/>
      <c r="S542" s="10"/>
      <c r="U542" s="10"/>
    </row>
    <row r="543" spans="1:21" x14ac:dyDescent="0.35">
      <c r="A543" s="126">
        <f t="shared" si="18"/>
        <v>46562</v>
      </c>
      <c r="B543" s="118" t="str">
        <f t="shared" si="19"/>
        <v>jun/27</v>
      </c>
      <c r="C543" s="115"/>
      <c r="D543" s="116"/>
      <c r="E543" s="118">
        <v>0</v>
      </c>
      <c r="F543" s="115"/>
      <c r="G543" s="116"/>
      <c r="H543" s="118">
        <v>0</v>
      </c>
      <c r="I543" s="115"/>
      <c r="J543" s="116"/>
      <c r="K543" s="9">
        <v>1923.0769230769231</v>
      </c>
      <c r="L543" s="127"/>
      <c r="M543" s="117">
        <f>IFERROR(IF(WEEKDAY($A543)&lt;&gt;1,HLOOKUP($B543,'SERVIÇOS NOTÁVEIS'!$23:$32,10,FALSE)*1.39,0),0)</f>
        <v>1594.4101923076923</v>
      </c>
      <c r="O543" s="99"/>
      <c r="P543" s="10"/>
      <c r="R543" s="10"/>
      <c r="S543" s="10"/>
      <c r="U543" s="10"/>
    </row>
    <row r="544" spans="1:21" x14ac:dyDescent="0.35">
      <c r="A544" s="126">
        <f t="shared" si="18"/>
        <v>46563</v>
      </c>
      <c r="B544" s="118" t="str">
        <f t="shared" si="19"/>
        <v>jun/27</v>
      </c>
      <c r="C544" s="115"/>
      <c r="D544" s="116"/>
      <c r="E544" s="118">
        <v>0</v>
      </c>
      <c r="F544" s="115"/>
      <c r="G544" s="116"/>
      <c r="H544" s="118">
        <v>0</v>
      </c>
      <c r="I544" s="115"/>
      <c r="J544" s="116"/>
      <c r="K544" s="9">
        <v>1923.0769230769231</v>
      </c>
      <c r="L544" s="127"/>
      <c r="M544" s="117">
        <f>IFERROR(IF(WEEKDAY($A544)&lt;&gt;1,HLOOKUP($B544,'SERVIÇOS NOTÁVEIS'!$23:$32,10,FALSE)*1.39,0),0)</f>
        <v>1594.4101923076923</v>
      </c>
      <c r="O544" s="99"/>
      <c r="P544" s="10"/>
      <c r="R544" s="10"/>
      <c r="S544" s="10"/>
      <c r="U544" s="10"/>
    </row>
    <row r="545" spans="1:21" x14ac:dyDescent="0.35">
      <c r="A545" s="126">
        <f t="shared" si="18"/>
        <v>46564</v>
      </c>
      <c r="B545" s="118" t="str">
        <f t="shared" si="19"/>
        <v>jun/27</v>
      </c>
      <c r="C545" s="115"/>
      <c r="D545" s="116"/>
      <c r="E545" s="118">
        <v>0</v>
      </c>
      <c r="F545" s="115"/>
      <c r="G545" s="116"/>
      <c r="H545" s="118">
        <v>0</v>
      </c>
      <c r="I545" s="115"/>
      <c r="J545" s="116"/>
      <c r="K545" s="9">
        <v>1923.0769230769231</v>
      </c>
      <c r="L545" s="127"/>
      <c r="M545" s="117">
        <f>IFERROR(IF(WEEKDAY($A545)&lt;&gt;1,HLOOKUP($B545,'SERVIÇOS NOTÁVEIS'!$23:$32,10,FALSE)*1.39,0),0)</f>
        <v>1594.4101923076923</v>
      </c>
      <c r="O545" s="99"/>
      <c r="P545" s="10"/>
      <c r="R545" s="10"/>
      <c r="S545" s="10"/>
      <c r="U545" s="10"/>
    </row>
    <row r="546" spans="1:21" x14ac:dyDescent="0.35">
      <c r="A546" s="126">
        <f t="shared" si="18"/>
        <v>46565</v>
      </c>
      <c r="B546" s="118" t="str">
        <f t="shared" si="19"/>
        <v>jun/27</v>
      </c>
      <c r="C546" s="115"/>
      <c r="D546" s="116"/>
      <c r="E546" s="118">
        <v>0</v>
      </c>
      <c r="F546" s="115"/>
      <c r="G546" s="116"/>
      <c r="H546" s="118">
        <v>0</v>
      </c>
      <c r="I546" s="115"/>
      <c r="J546" s="116"/>
      <c r="K546" s="9">
        <v>0</v>
      </c>
      <c r="L546" s="127"/>
      <c r="M546" s="117">
        <f>IFERROR(IF(WEEKDAY($A546)&lt;&gt;1,HLOOKUP($B546,'SERVIÇOS NOTÁVEIS'!$23:$32,10,FALSE)*1.39,0),0)</f>
        <v>0</v>
      </c>
      <c r="O546" s="99"/>
      <c r="P546" s="10"/>
      <c r="R546" s="10"/>
      <c r="S546" s="10"/>
      <c r="U546" s="10"/>
    </row>
    <row r="547" spans="1:21" x14ac:dyDescent="0.35">
      <c r="A547" s="126">
        <f t="shared" si="18"/>
        <v>46566</v>
      </c>
      <c r="B547" s="118" t="str">
        <f t="shared" si="19"/>
        <v>jun/27</v>
      </c>
      <c r="C547" s="115"/>
      <c r="D547" s="116"/>
      <c r="E547" s="118">
        <v>0</v>
      </c>
      <c r="F547" s="115"/>
      <c r="G547" s="116"/>
      <c r="H547" s="118">
        <v>0</v>
      </c>
      <c r="I547" s="115"/>
      <c r="J547" s="116"/>
      <c r="K547" s="9">
        <v>1923.0769230769231</v>
      </c>
      <c r="L547" s="127"/>
      <c r="M547" s="117">
        <f>IFERROR(IF(WEEKDAY($A547)&lt;&gt;1,HLOOKUP($B547,'SERVIÇOS NOTÁVEIS'!$23:$32,10,FALSE)*1.39,0),0)</f>
        <v>1594.4101923076923</v>
      </c>
      <c r="O547" s="99"/>
      <c r="P547" s="10"/>
      <c r="R547" s="10"/>
      <c r="S547" s="10"/>
      <c r="U547" s="10"/>
    </row>
    <row r="548" spans="1:21" x14ac:dyDescent="0.35">
      <c r="A548" s="126">
        <f t="shared" si="18"/>
        <v>46567</v>
      </c>
      <c r="B548" s="118" t="str">
        <f t="shared" si="19"/>
        <v>jun/27</v>
      </c>
      <c r="C548" s="115"/>
      <c r="D548" s="116"/>
      <c r="E548" s="118">
        <v>0</v>
      </c>
      <c r="F548" s="115"/>
      <c r="G548" s="116"/>
      <c r="H548" s="118">
        <v>0</v>
      </c>
      <c r="I548" s="115"/>
      <c r="J548" s="116"/>
      <c r="K548" s="9">
        <v>1923.0769230769231</v>
      </c>
      <c r="L548" s="127"/>
      <c r="M548" s="117">
        <f>IFERROR(IF(WEEKDAY($A548)&lt;&gt;1,HLOOKUP($B548,'SERVIÇOS NOTÁVEIS'!$23:$32,10,FALSE)*1.39,0),0)</f>
        <v>1594.4101923076923</v>
      </c>
      <c r="O548" s="99"/>
      <c r="P548" s="10"/>
      <c r="R548" s="10"/>
      <c r="S548" s="10"/>
      <c r="U548" s="10"/>
    </row>
    <row r="549" spans="1:21" x14ac:dyDescent="0.35">
      <c r="A549" s="126">
        <f t="shared" si="18"/>
        <v>46568</v>
      </c>
      <c r="B549" s="118" t="str">
        <f t="shared" si="19"/>
        <v>jun/27</v>
      </c>
      <c r="C549" s="115"/>
      <c r="D549" s="116"/>
      <c r="E549" s="118">
        <v>0</v>
      </c>
      <c r="F549" s="115"/>
      <c r="G549" s="116"/>
      <c r="H549" s="118">
        <v>0</v>
      </c>
      <c r="I549" s="115"/>
      <c r="J549" s="116"/>
      <c r="K549" s="9">
        <v>1923.0769230769231</v>
      </c>
      <c r="L549" s="127"/>
      <c r="M549" s="117">
        <f>IFERROR(IF(WEEKDAY($A549)&lt;&gt;1,HLOOKUP($B549,'SERVIÇOS NOTÁVEIS'!$23:$32,10,FALSE)*1.39,0),0)</f>
        <v>1594.4101923076923</v>
      </c>
      <c r="O549" s="99"/>
      <c r="P549" s="10"/>
      <c r="R549" s="10"/>
      <c r="S549" s="10"/>
      <c r="U549" s="10"/>
    </row>
    <row r="550" spans="1:21" x14ac:dyDescent="0.35">
      <c r="A550" s="126">
        <f t="shared" si="18"/>
        <v>46569</v>
      </c>
      <c r="B550" s="118" t="str">
        <f t="shared" si="19"/>
        <v>jul/27</v>
      </c>
      <c r="C550" s="115"/>
      <c r="D550" s="116"/>
      <c r="E550" s="118">
        <v>0</v>
      </c>
      <c r="F550" s="115"/>
      <c r="G550" s="116"/>
      <c r="H550" s="118">
        <v>0</v>
      </c>
      <c r="I550" s="115"/>
      <c r="J550" s="116"/>
      <c r="K550" s="9">
        <v>1851.851851851852</v>
      </c>
      <c r="L550" s="127"/>
      <c r="M550" s="117">
        <f>IFERROR(IF(WEEKDAY($A550)&lt;&gt;1,HLOOKUP($B550,'SERVIÇOS NOTÁVEIS'!$23:$32,10,FALSE)*1.39,0),0)</f>
        <v>464.56888888888886</v>
      </c>
      <c r="O550" s="99"/>
      <c r="P550" s="10"/>
      <c r="R550" s="10"/>
      <c r="S550" s="10"/>
      <c r="U550" s="10"/>
    </row>
    <row r="551" spans="1:21" x14ac:dyDescent="0.35">
      <c r="A551" s="126">
        <f t="shared" si="18"/>
        <v>46570</v>
      </c>
      <c r="B551" s="118" t="str">
        <f t="shared" si="19"/>
        <v>jul/27</v>
      </c>
      <c r="C551" s="115"/>
      <c r="D551" s="116"/>
      <c r="E551" s="118">
        <v>0</v>
      </c>
      <c r="F551" s="115"/>
      <c r="G551" s="116"/>
      <c r="H551" s="118">
        <v>0</v>
      </c>
      <c r="I551" s="115"/>
      <c r="J551" s="116"/>
      <c r="K551" s="9">
        <v>1851.851851851852</v>
      </c>
      <c r="L551" s="127"/>
      <c r="M551" s="117">
        <f>IFERROR(IF(WEEKDAY($A551)&lt;&gt;1,HLOOKUP($B551,'SERVIÇOS NOTÁVEIS'!$23:$32,10,FALSE)*1.39,0),0)</f>
        <v>464.56888888888886</v>
      </c>
      <c r="O551" s="99"/>
      <c r="P551" s="10"/>
      <c r="R551" s="10"/>
      <c r="S551" s="10"/>
      <c r="U551" s="10"/>
    </row>
    <row r="552" spans="1:21" x14ac:dyDescent="0.35">
      <c r="A552" s="126">
        <f t="shared" si="18"/>
        <v>46571</v>
      </c>
      <c r="B552" s="118" t="str">
        <f t="shared" si="19"/>
        <v>jul/27</v>
      </c>
      <c r="C552" s="115"/>
      <c r="D552" s="116"/>
      <c r="E552" s="118">
        <v>0</v>
      </c>
      <c r="F552" s="115"/>
      <c r="G552" s="116"/>
      <c r="H552" s="118">
        <v>0</v>
      </c>
      <c r="I552" s="115"/>
      <c r="J552" s="116"/>
      <c r="K552" s="9">
        <v>1851.851851851852</v>
      </c>
      <c r="L552" s="127"/>
      <c r="M552" s="117">
        <f>IFERROR(IF(WEEKDAY($A552)&lt;&gt;1,HLOOKUP($B552,'SERVIÇOS NOTÁVEIS'!$23:$32,10,FALSE)*1.39,0),0)</f>
        <v>464.56888888888886</v>
      </c>
      <c r="O552" s="99"/>
      <c r="P552" s="10"/>
      <c r="R552" s="10"/>
      <c r="S552" s="10"/>
      <c r="U552" s="10"/>
    </row>
    <row r="553" spans="1:21" x14ac:dyDescent="0.35">
      <c r="A553" s="126">
        <f t="shared" si="18"/>
        <v>46572</v>
      </c>
      <c r="B553" s="118" t="str">
        <f t="shared" si="19"/>
        <v>jul/27</v>
      </c>
      <c r="C553" s="115"/>
      <c r="D553" s="116"/>
      <c r="E553" s="118">
        <v>0</v>
      </c>
      <c r="F553" s="115"/>
      <c r="G553" s="116"/>
      <c r="H553" s="118">
        <v>0</v>
      </c>
      <c r="I553" s="115"/>
      <c r="J553" s="116"/>
      <c r="K553" s="9">
        <v>0</v>
      </c>
      <c r="L553" s="127"/>
      <c r="M553" s="117">
        <f>IFERROR(IF(WEEKDAY($A553)&lt;&gt;1,HLOOKUP($B553,'SERVIÇOS NOTÁVEIS'!$23:$32,10,FALSE)*1.39,0),0)</f>
        <v>0</v>
      </c>
      <c r="O553" s="99"/>
      <c r="P553" s="10"/>
      <c r="R553" s="10"/>
      <c r="S553" s="10"/>
      <c r="U553" s="10"/>
    </row>
    <row r="554" spans="1:21" x14ac:dyDescent="0.35">
      <c r="A554" s="126">
        <f t="shared" si="18"/>
        <v>46573</v>
      </c>
      <c r="B554" s="118" t="str">
        <f t="shared" si="19"/>
        <v>jul/27</v>
      </c>
      <c r="C554" s="115"/>
      <c r="D554" s="116"/>
      <c r="E554" s="118">
        <v>0</v>
      </c>
      <c r="F554" s="115"/>
      <c r="G554" s="116"/>
      <c r="H554" s="118">
        <v>0</v>
      </c>
      <c r="I554" s="115"/>
      <c r="J554" s="116"/>
      <c r="K554" s="9">
        <v>1851.851851851852</v>
      </c>
      <c r="L554" s="127"/>
      <c r="M554" s="117">
        <f>IFERROR(IF(WEEKDAY($A554)&lt;&gt;1,HLOOKUP($B554,'SERVIÇOS NOTÁVEIS'!$23:$32,10,FALSE)*1.39,0),0)</f>
        <v>464.56888888888886</v>
      </c>
      <c r="O554" s="99"/>
      <c r="P554" s="10"/>
      <c r="R554" s="10"/>
      <c r="S554" s="10"/>
      <c r="U554" s="10"/>
    </row>
    <row r="555" spans="1:21" x14ac:dyDescent="0.35">
      <c r="A555" s="126">
        <f t="shared" si="18"/>
        <v>46574</v>
      </c>
      <c r="B555" s="118" t="str">
        <f t="shared" si="19"/>
        <v>jul/27</v>
      </c>
      <c r="C555" s="115"/>
      <c r="D555" s="116"/>
      <c r="E555" s="118">
        <v>0</v>
      </c>
      <c r="F555" s="115"/>
      <c r="G555" s="116"/>
      <c r="H555" s="118">
        <v>0</v>
      </c>
      <c r="I555" s="115"/>
      <c r="J555" s="116"/>
      <c r="K555" s="9">
        <v>1851.851851851852</v>
      </c>
      <c r="L555" s="127"/>
      <c r="M555" s="117">
        <f>IFERROR(IF(WEEKDAY($A555)&lt;&gt;1,HLOOKUP($B555,'SERVIÇOS NOTÁVEIS'!$23:$32,10,FALSE)*1.39,0),0)</f>
        <v>464.56888888888886</v>
      </c>
      <c r="O555" s="99"/>
      <c r="P555" s="10"/>
      <c r="R555" s="10"/>
      <c r="S555" s="10"/>
      <c r="U555" s="10"/>
    </row>
    <row r="556" spans="1:21" x14ac:dyDescent="0.35">
      <c r="A556" s="126">
        <f t="shared" si="18"/>
        <v>46575</v>
      </c>
      <c r="B556" s="118" t="str">
        <f t="shared" si="19"/>
        <v>jul/27</v>
      </c>
      <c r="C556" s="115"/>
      <c r="D556" s="116"/>
      <c r="E556" s="118">
        <v>0</v>
      </c>
      <c r="F556" s="115"/>
      <c r="G556" s="116"/>
      <c r="H556" s="118">
        <v>0</v>
      </c>
      <c r="I556" s="115"/>
      <c r="J556" s="116"/>
      <c r="K556" s="9">
        <v>1851.851851851852</v>
      </c>
      <c r="L556" s="127"/>
      <c r="M556" s="117">
        <f>IFERROR(IF(WEEKDAY($A556)&lt;&gt;1,HLOOKUP($B556,'SERVIÇOS NOTÁVEIS'!$23:$32,10,FALSE)*1.39,0),0)</f>
        <v>464.56888888888886</v>
      </c>
      <c r="O556" s="99"/>
      <c r="P556" s="10"/>
      <c r="R556" s="10"/>
      <c r="S556" s="10"/>
      <c r="U556" s="10"/>
    </row>
    <row r="557" spans="1:21" x14ac:dyDescent="0.35">
      <c r="A557" s="126">
        <f t="shared" si="18"/>
        <v>46576</v>
      </c>
      <c r="B557" s="118" t="str">
        <f t="shared" si="19"/>
        <v>jul/27</v>
      </c>
      <c r="C557" s="115"/>
      <c r="D557" s="116"/>
      <c r="E557" s="118">
        <v>0</v>
      </c>
      <c r="F557" s="115"/>
      <c r="G557" s="116"/>
      <c r="H557" s="118">
        <v>0</v>
      </c>
      <c r="I557" s="115"/>
      <c r="J557" s="116"/>
      <c r="K557" s="9">
        <v>1851.851851851852</v>
      </c>
      <c r="L557" s="127"/>
      <c r="M557" s="117">
        <f>IFERROR(IF(WEEKDAY($A557)&lt;&gt;1,HLOOKUP($B557,'SERVIÇOS NOTÁVEIS'!$23:$32,10,FALSE)*1.39,0),0)</f>
        <v>464.56888888888886</v>
      </c>
      <c r="O557" s="99"/>
      <c r="P557" s="10"/>
      <c r="R557" s="10"/>
      <c r="S557" s="10"/>
      <c r="U557" s="10"/>
    </row>
    <row r="558" spans="1:21" x14ac:dyDescent="0.35">
      <c r="A558" s="126">
        <f t="shared" si="18"/>
        <v>46577</v>
      </c>
      <c r="B558" s="118" t="str">
        <f t="shared" si="19"/>
        <v>jul/27</v>
      </c>
      <c r="C558" s="115"/>
      <c r="D558" s="116"/>
      <c r="E558" s="118">
        <v>0</v>
      </c>
      <c r="F558" s="115"/>
      <c r="G558" s="116"/>
      <c r="H558" s="118">
        <v>0</v>
      </c>
      <c r="I558" s="115"/>
      <c r="J558" s="116"/>
      <c r="K558" s="9">
        <v>1851.851851851852</v>
      </c>
      <c r="L558" s="127"/>
      <c r="M558" s="117">
        <f>IFERROR(IF(WEEKDAY($A558)&lt;&gt;1,HLOOKUP($B558,'SERVIÇOS NOTÁVEIS'!$23:$32,10,FALSE)*1.39,0),0)</f>
        <v>464.56888888888886</v>
      </c>
      <c r="O558" s="99"/>
      <c r="P558" s="10"/>
      <c r="R558" s="10"/>
      <c r="S558" s="10"/>
      <c r="U558" s="10"/>
    </row>
    <row r="559" spans="1:21" x14ac:dyDescent="0.35">
      <c r="A559" s="126">
        <f t="shared" si="18"/>
        <v>46578</v>
      </c>
      <c r="B559" s="118" t="str">
        <f t="shared" si="19"/>
        <v>jul/27</v>
      </c>
      <c r="C559" s="115"/>
      <c r="D559" s="116"/>
      <c r="E559" s="118">
        <v>0</v>
      </c>
      <c r="F559" s="115"/>
      <c r="G559" s="116"/>
      <c r="H559" s="118">
        <v>0</v>
      </c>
      <c r="I559" s="115"/>
      <c r="J559" s="116"/>
      <c r="K559" s="9">
        <v>1851.851851851852</v>
      </c>
      <c r="L559" s="127"/>
      <c r="M559" s="117">
        <f>IFERROR(IF(WEEKDAY($A559)&lt;&gt;1,HLOOKUP($B559,'SERVIÇOS NOTÁVEIS'!$23:$32,10,FALSE)*1.39,0),0)</f>
        <v>464.56888888888886</v>
      </c>
      <c r="O559" s="99"/>
      <c r="P559" s="10"/>
      <c r="R559" s="10"/>
      <c r="S559" s="10"/>
      <c r="U559" s="10"/>
    </row>
    <row r="560" spans="1:21" x14ac:dyDescent="0.35">
      <c r="A560" s="126">
        <f t="shared" si="18"/>
        <v>46579</v>
      </c>
      <c r="B560" s="118" t="str">
        <f t="shared" si="19"/>
        <v>jul/27</v>
      </c>
      <c r="C560" s="115"/>
      <c r="D560" s="116"/>
      <c r="E560" s="118">
        <v>0</v>
      </c>
      <c r="F560" s="115"/>
      <c r="G560" s="116"/>
      <c r="H560" s="118">
        <v>0</v>
      </c>
      <c r="I560" s="115"/>
      <c r="J560" s="116"/>
      <c r="K560" s="9">
        <v>0</v>
      </c>
      <c r="L560" s="127"/>
      <c r="M560" s="117">
        <f>IFERROR(IF(WEEKDAY($A560)&lt;&gt;1,HLOOKUP($B560,'SERVIÇOS NOTÁVEIS'!$23:$32,10,FALSE)*1.39,0),0)</f>
        <v>0</v>
      </c>
      <c r="O560" s="99"/>
      <c r="P560" s="10"/>
      <c r="R560" s="10"/>
      <c r="S560" s="10"/>
      <c r="U560" s="10"/>
    </row>
    <row r="561" spans="1:21" x14ac:dyDescent="0.35">
      <c r="A561" s="126">
        <f t="shared" si="18"/>
        <v>46580</v>
      </c>
      <c r="B561" s="118" t="str">
        <f t="shared" si="19"/>
        <v>jul/27</v>
      </c>
      <c r="C561" s="115"/>
      <c r="D561" s="116"/>
      <c r="E561" s="118">
        <v>0</v>
      </c>
      <c r="F561" s="115"/>
      <c r="G561" s="116"/>
      <c r="H561" s="118">
        <v>0</v>
      </c>
      <c r="I561" s="115"/>
      <c r="J561" s="116"/>
      <c r="K561" s="9">
        <v>1851.851851851852</v>
      </c>
      <c r="L561" s="127"/>
      <c r="M561" s="117">
        <f>IFERROR(IF(WEEKDAY($A561)&lt;&gt;1,HLOOKUP($B561,'SERVIÇOS NOTÁVEIS'!$23:$32,10,FALSE)*1.39,0),0)</f>
        <v>464.56888888888886</v>
      </c>
      <c r="O561" s="99"/>
      <c r="P561" s="10"/>
      <c r="R561" s="10"/>
      <c r="S561" s="10"/>
      <c r="U561" s="10"/>
    </row>
    <row r="562" spans="1:21" x14ac:dyDescent="0.35">
      <c r="A562" s="126">
        <f t="shared" si="18"/>
        <v>46581</v>
      </c>
      <c r="B562" s="118" t="str">
        <f t="shared" si="19"/>
        <v>jul/27</v>
      </c>
      <c r="C562" s="115"/>
      <c r="D562" s="116"/>
      <c r="E562" s="118">
        <v>0</v>
      </c>
      <c r="F562" s="115"/>
      <c r="G562" s="116"/>
      <c r="H562" s="118">
        <v>0</v>
      </c>
      <c r="I562" s="115"/>
      <c r="J562" s="116"/>
      <c r="K562" s="9">
        <v>1851.851851851852</v>
      </c>
      <c r="L562" s="127"/>
      <c r="M562" s="117">
        <f>IFERROR(IF(WEEKDAY($A562)&lt;&gt;1,HLOOKUP($B562,'SERVIÇOS NOTÁVEIS'!$23:$32,10,FALSE)*1.39,0),0)</f>
        <v>464.56888888888886</v>
      </c>
      <c r="O562" s="99"/>
      <c r="P562" s="10"/>
      <c r="R562" s="10"/>
      <c r="S562" s="10"/>
      <c r="U562" s="10"/>
    </row>
    <row r="563" spans="1:21" x14ac:dyDescent="0.35">
      <c r="A563" s="126">
        <f t="shared" si="18"/>
        <v>46582</v>
      </c>
      <c r="B563" s="118" t="str">
        <f t="shared" si="19"/>
        <v>jul/27</v>
      </c>
      <c r="C563" s="115"/>
      <c r="D563" s="116"/>
      <c r="E563" s="118">
        <v>0</v>
      </c>
      <c r="F563" s="115"/>
      <c r="G563" s="116"/>
      <c r="H563" s="118">
        <v>0</v>
      </c>
      <c r="I563" s="115"/>
      <c r="J563" s="116"/>
      <c r="K563" s="9">
        <v>1851.851851851852</v>
      </c>
      <c r="L563" s="127"/>
      <c r="M563" s="117">
        <f>IFERROR(IF(WEEKDAY($A563)&lt;&gt;1,HLOOKUP($B563,'SERVIÇOS NOTÁVEIS'!$23:$32,10,FALSE)*1.39,0),0)</f>
        <v>464.56888888888886</v>
      </c>
      <c r="O563" s="99"/>
      <c r="P563" s="10"/>
      <c r="R563" s="10"/>
      <c r="S563" s="10"/>
      <c r="U563" s="10"/>
    </row>
    <row r="564" spans="1:21" x14ac:dyDescent="0.35">
      <c r="A564" s="126">
        <f t="shared" si="18"/>
        <v>46583</v>
      </c>
      <c r="B564" s="118" t="str">
        <f t="shared" si="19"/>
        <v>jul/27</v>
      </c>
      <c r="C564" s="115"/>
      <c r="D564" s="116"/>
      <c r="E564" s="118">
        <v>0</v>
      </c>
      <c r="F564" s="115"/>
      <c r="G564" s="116"/>
      <c r="H564" s="118">
        <v>0</v>
      </c>
      <c r="I564" s="115"/>
      <c r="J564" s="116"/>
      <c r="K564" s="9">
        <v>1851.851851851852</v>
      </c>
      <c r="L564" s="127"/>
      <c r="M564" s="117">
        <f>IFERROR(IF(WEEKDAY($A564)&lt;&gt;1,HLOOKUP($B564,'SERVIÇOS NOTÁVEIS'!$23:$32,10,FALSE)*1.39,0),0)</f>
        <v>464.56888888888886</v>
      </c>
      <c r="O564" s="99"/>
      <c r="P564" s="10"/>
      <c r="R564" s="10"/>
      <c r="S564" s="10"/>
      <c r="U564" s="10"/>
    </row>
    <row r="565" spans="1:21" x14ac:dyDescent="0.35">
      <c r="A565" s="126">
        <f t="shared" si="18"/>
        <v>46584</v>
      </c>
      <c r="B565" s="118" t="str">
        <f t="shared" si="19"/>
        <v>jul/27</v>
      </c>
      <c r="C565" s="115"/>
      <c r="D565" s="116"/>
      <c r="E565" s="118">
        <v>0</v>
      </c>
      <c r="F565" s="115"/>
      <c r="G565" s="116"/>
      <c r="H565" s="118">
        <v>0</v>
      </c>
      <c r="I565" s="115"/>
      <c r="J565" s="116"/>
      <c r="K565" s="9">
        <v>1851.851851851852</v>
      </c>
      <c r="L565" s="127"/>
      <c r="M565" s="117">
        <f>IFERROR(IF(WEEKDAY($A565)&lt;&gt;1,HLOOKUP($B565,'SERVIÇOS NOTÁVEIS'!$23:$32,10,FALSE)*1.39,0),0)</f>
        <v>464.56888888888886</v>
      </c>
      <c r="O565" s="99"/>
      <c r="P565" s="10"/>
      <c r="R565" s="10"/>
      <c r="S565" s="10"/>
      <c r="U565" s="10"/>
    </row>
    <row r="566" spans="1:21" x14ac:dyDescent="0.35">
      <c r="A566" s="126">
        <f t="shared" si="18"/>
        <v>46585</v>
      </c>
      <c r="B566" s="118" t="str">
        <f t="shared" si="19"/>
        <v>jul/27</v>
      </c>
      <c r="C566" s="115"/>
      <c r="D566" s="116"/>
      <c r="E566" s="118">
        <v>0</v>
      </c>
      <c r="F566" s="115"/>
      <c r="G566" s="116"/>
      <c r="H566" s="118">
        <v>0</v>
      </c>
      <c r="I566" s="115"/>
      <c r="J566" s="116"/>
      <c r="K566" s="9">
        <v>1851.851851851852</v>
      </c>
      <c r="L566" s="127"/>
      <c r="M566" s="117">
        <f>IFERROR(IF(WEEKDAY($A566)&lt;&gt;1,HLOOKUP($B566,'SERVIÇOS NOTÁVEIS'!$23:$32,10,FALSE)*1.39,0),0)</f>
        <v>464.56888888888886</v>
      </c>
      <c r="O566" s="99"/>
      <c r="P566" s="10"/>
      <c r="R566" s="10"/>
      <c r="S566" s="10"/>
      <c r="U566" s="10"/>
    </row>
    <row r="567" spans="1:21" x14ac:dyDescent="0.35">
      <c r="A567" s="126">
        <f t="shared" si="18"/>
        <v>46586</v>
      </c>
      <c r="B567" s="118" t="str">
        <f t="shared" si="19"/>
        <v>jul/27</v>
      </c>
      <c r="C567" s="115"/>
      <c r="D567" s="116"/>
      <c r="E567" s="118">
        <v>0</v>
      </c>
      <c r="F567" s="115"/>
      <c r="G567" s="116"/>
      <c r="H567" s="118">
        <v>0</v>
      </c>
      <c r="I567" s="115"/>
      <c r="J567" s="116"/>
      <c r="K567" s="9">
        <v>0</v>
      </c>
      <c r="L567" s="127"/>
      <c r="M567" s="117">
        <f>IFERROR(IF(WEEKDAY($A567)&lt;&gt;1,HLOOKUP($B567,'SERVIÇOS NOTÁVEIS'!$23:$32,10,FALSE)*1.39,0),0)</f>
        <v>0</v>
      </c>
      <c r="O567" s="99"/>
      <c r="P567" s="10"/>
      <c r="R567" s="10"/>
      <c r="S567" s="10"/>
      <c r="U567" s="10"/>
    </row>
    <row r="568" spans="1:21" x14ac:dyDescent="0.35">
      <c r="A568" s="126">
        <f t="shared" ref="A568:A631" si="20">A567+1</f>
        <v>46587</v>
      </c>
      <c r="B568" s="118" t="str">
        <f t="shared" si="19"/>
        <v>jul/27</v>
      </c>
      <c r="C568" s="115"/>
      <c r="D568" s="116"/>
      <c r="E568" s="118">
        <v>0</v>
      </c>
      <c r="F568" s="115"/>
      <c r="G568" s="116"/>
      <c r="H568" s="118">
        <v>0</v>
      </c>
      <c r="I568" s="115"/>
      <c r="J568" s="116"/>
      <c r="K568" s="9">
        <v>1851.851851851852</v>
      </c>
      <c r="L568" s="127"/>
      <c r="M568" s="117">
        <f>IFERROR(IF(WEEKDAY($A568)&lt;&gt;1,HLOOKUP($B568,'SERVIÇOS NOTÁVEIS'!$23:$32,10,FALSE)*1.39,0),0)</f>
        <v>464.56888888888886</v>
      </c>
      <c r="O568" s="99"/>
      <c r="P568" s="10"/>
      <c r="R568" s="10"/>
      <c r="S568" s="10"/>
      <c r="U568" s="10"/>
    </row>
    <row r="569" spans="1:21" x14ac:dyDescent="0.35">
      <c r="A569" s="126">
        <f t="shared" si="20"/>
        <v>46588</v>
      </c>
      <c r="B569" s="118" t="str">
        <f t="shared" si="19"/>
        <v>jul/27</v>
      </c>
      <c r="C569" s="115"/>
      <c r="D569" s="116"/>
      <c r="E569" s="118">
        <v>0</v>
      </c>
      <c r="F569" s="115"/>
      <c r="G569" s="116"/>
      <c r="H569" s="118">
        <v>0</v>
      </c>
      <c r="I569" s="115"/>
      <c r="J569" s="116"/>
      <c r="K569" s="9">
        <v>1851.851851851852</v>
      </c>
      <c r="L569" s="127"/>
      <c r="M569" s="117">
        <f>IFERROR(IF(WEEKDAY($A569)&lt;&gt;1,HLOOKUP($B569,'SERVIÇOS NOTÁVEIS'!$23:$32,10,FALSE)*1.39,0),0)</f>
        <v>464.56888888888886</v>
      </c>
      <c r="O569" s="99"/>
      <c r="P569" s="10"/>
      <c r="R569" s="10"/>
      <c r="S569" s="10"/>
      <c r="U569" s="10"/>
    </row>
    <row r="570" spans="1:21" x14ac:dyDescent="0.35">
      <c r="A570" s="126">
        <f t="shared" si="20"/>
        <v>46589</v>
      </c>
      <c r="B570" s="118" t="str">
        <f t="shared" si="19"/>
        <v>jul/27</v>
      </c>
      <c r="C570" s="115"/>
      <c r="D570" s="116"/>
      <c r="E570" s="118">
        <v>0</v>
      </c>
      <c r="F570" s="115"/>
      <c r="G570" s="116"/>
      <c r="H570" s="118">
        <v>0</v>
      </c>
      <c r="I570" s="115"/>
      <c r="J570" s="116"/>
      <c r="K570" s="9">
        <v>1851.851851851852</v>
      </c>
      <c r="L570" s="127"/>
      <c r="M570" s="117">
        <f>IFERROR(IF(WEEKDAY($A570)&lt;&gt;1,HLOOKUP($B570,'SERVIÇOS NOTÁVEIS'!$23:$32,10,FALSE)*1.39,0),0)</f>
        <v>464.56888888888886</v>
      </c>
      <c r="O570" s="99"/>
      <c r="P570" s="10"/>
      <c r="R570" s="10"/>
      <c r="S570" s="10"/>
      <c r="U570" s="10"/>
    </row>
    <row r="571" spans="1:21" x14ac:dyDescent="0.35">
      <c r="A571" s="126">
        <f t="shared" si="20"/>
        <v>46590</v>
      </c>
      <c r="B571" s="118" t="str">
        <f t="shared" si="19"/>
        <v>jul/27</v>
      </c>
      <c r="C571" s="115"/>
      <c r="D571" s="116"/>
      <c r="E571" s="118">
        <v>0</v>
      </c>
      <c r="F571" s="115"/>
      <c r="G571" s="116"/>
      <c r="H571" s="118">
        <v>0</v>
      </c>
      <c r="I571" s="115"/>
      <c r="J571" s="116"/>
      <c r="K571" s="9">
        <v>1851.851851851852</v>
      </c>
      <c r="L571" s="127"/>
      <c r="M571" s="117">
        <f>IFERROR(IF(WEEKDAY($A571)&lt;&gt;1,HLOOKUP($B571,'SERVIÇOS NOTÁVEIS'!$23:$32,10,FALSE)*1.39,0),0)</f>
        <v>464.56888888888886</v>
      </c>
      <c r="O571" s="99"/>
      <c r="P571" s="10"/>
      <c r="R571" s="10"/>
      <c r="S571" s="10"/>
      <c r="U571" s="10"/>
    </row>
    <row r="572" spans="1:21" x14ac:dyDescent="0.35">
      <c r="A572" s="126">
        <f t="shared" si="20"/>
        <v>46591</v>
      </c>
      <c r="B572" s="118" t="str">
        <f t="shared" si="19"/>
        <v>jul/27</v>
      </c>
      <c r="C572" s="115"/>
      <c r="D572" s="116"/>
      <c r="E572" s="118">
        <v>0</v>
      </c>
      <c r="F572" s="115"/>
      <c r="G572" s="116"/>
      <c r="H572" s="118">
        <v>0</v>
      </c>
      <c r="I572" s="115"/>
      <c r="J572" s="116"/>
      <c r="K572" s="9">
        <v>1851.851851851852</v>
      </c>
      <c r="L572" s="127"/>
      <c r="M572" s="117">
        <f>IFERROR(IF(WEEKDAY($A572)&lt;&gt;1,HLOOKUP($B572,'SERVIÇOS NOTÁVEIS'!$23:$32,10,FALSE)*1.39,0),0)</f>
        <v>464.56888888888886</v>
      </c>
      <c r="O572" s="99"/>
      <c r="P572" s="10"/>
      <c r="R572" s="10"/>
      <c r="S572" s="10"/>
      <c r="U572" s="10"/>
    </row>
    <row r="573" spans="1:21" x14ac:dyDescent="0.35">
      <c r="A573" s="126">
        <f t="shared" si="20"/>
        <v>46592</v>
      </c>
      <c r="B573" s="118" t="str">
        <f t="shared" si="19"/>
        <v>jul/27</v>
      </c>
      <c r="C573" s="115"/>
      <c r="D573" s="116"/>
      <c r="E573" s="118">
        <v>0</v>
      </c>
      <c r="F573" s="115"/>
      <c r="G573" s="116"/>
      <c r="H573" s="118">
        <v>0</v>
      </c>
      <c r="I573" s="115"/>
      <c r="J573" s="116"/>
      <c r="K573" s="9">
        <v>1851.851851851852</v>
      </c>
      <c r="L573" s="127"/>
      <c r="M573" s="117">
        <f>IFERROR(IF(WEEKDAY($A573)&lt;&gt;1,HLOOKUP($B573,'SERVIÇOS NOTÁVEIS'!$23:$32,10,FALSE)*1.39,0),0)</f>
        <v>464.56888888888886</v>
      </c>
      <c r="O573" s="99"/>
      <c r="P573" s="10"/>
      <c r="R573" s="10"/>
      <c r="S573" s="10"/>
      <c r="U573" s="10"/>
    </row>
    <row r="574" spans="1:21" x14ac:dyDescent="0.35">
      <c r="A574" s="126">
        <f t="shared" si="20"/>
        <v>46593</v>
      </c>
      <c r="B574" s="118" t="str">
        <f t="shared" si="19"/>
        <v>jul/27</v>
      </c>
      <c r="C574" s="115"/>
      <c r="D574" s="116"/>
      <c r="E574" s="118">
        <v>0</v>
      </c>
      <c r="F574" s="115"/>
      <c r="G574" s="116"/>
      <c r="H574" s="118">
        <v>0</v>
      </c>
      <c r="I574" s="115"/>
      <c r="J574" s="116"/>
      <c r="K574" s="9">
        <v>0</v>
      </c>
      <c r="L574" s="127"/>
      <c r="M574" s="117">
        <f>IFERROR(IF(WEEKDAY($A574)&lt;&gt;1,HLOOKUP($B574,'SERVIÇOS NOTÁVEIS'!$23:$32,10,FALSE)*1.39,0),0)</f>
        <v>0</v>
      </c>
      <c r="O574" s="99"/>
      <c r="P574" s="10"/>
      <c r="R574" s="10"/>
      <c r="S574" s="10"/>
      <c r="U574" s="10"/>
    </row>
    <row r="575" spans="1:21" x14ac:dyDescent="0.35">
      <c r="A575" s="126">
        <f t="shared" si="20"/>
        <v>46594</v>
      </c>
      <c r="B575" s="118" t="str">
        <f t="shared" si="19"/>
        <v>jul/27</v>
      </c>
      <c r="C575" s="115"/>
      <c r="D575" s="116"/>
      <c r="E575" s="118">
        <v>0</v>
      </c>
      <c r="F575" s="115"/>
      <c r="G575" s="116"/>
      <c r="H575" s="118">
        <v>0</v>
      </c>
      <c r="I575" s="115"/>
      <c r="J575" s="116"/>
      <c r="K575" s="9">
        <v>1851.851851851852</v>
      </c>
      <c r="L575" s="127"/>
      <c r="M575" s="117">
        <f>IFERROR(IF(WEEKDAY($A575)&lt;&gt;1,HLOOKUP($B575,'SERVIÇOS NOTÁVEIS'!$23:$32,10,FALSE)*1.39,0),0)</f>
        <v>464.56888888888886</v>
      </c>
      <c r="O575" s="99"/>
      <c r="P575" s="10"/>
      <c r="R575" s="10"/>
      <c r="S575" s="10"/>
      <c r="U575" s="10"/>
    </row>
    <row r="576" spans="1:21" x14ac:dyDescent="0.35">
      <c r="A576" s="126">
        <f t="shared" si="20"/>
        <v>46595</v>
      </c>
      <c r="B576" s="118" t="str">
        <f t="shared" si="19"/>
        <v>jul/27</v>
      </c>
      <c r="C576" s="115"/>
      <c r="D576" s="116"/>
      <c r="E576" s="118">
        <v>0</v>
      </c>
      <c r="F576" s="115"/>
      <c r="G576" s="116"/>
      <c r="H576" s="118">
        <v>0</v>
      </c>
      <c r="I576" s="115"/>
      <c r="J576" s="116"/>
      <c r="K576" s="9">
        <v>1851.851851851852</v>
      </c>
      <c r="L576" s="127"/>
      <c r="M576" s="117">
        <f>IFERROR(IF(WEEKDAY($A576)&lt;&gt;1,HLOOKUP($B576,'SERVIÇOS NOTÁVEIS'!$23:$32,10,FALSE)*1.39,0),0)</f>
        <v>464.56888888888886</v>
      </c>
      <c r="O576" s="99"/>
      <c r="P576" s="10"/>
      <c r="R576" s="10"/>
      <c r="S576" s="10"/>
      <c r="U576" s="10"/>
    </row>
    <row r="577" spans="1:21" x14ac:dyDescent="0.35">
      <c r="A577" s="126">
        <f t="shared" si="20"/>
        <v>46596</v>
      </c>
      <c r="B577" s="118" t="str">
        <f t="shared" si="19"/>
        <v>jul/27</v>
      </c>
      <c r="C577" s="115"/>
      <c r="D577" s="116"/>
      <c r="E577" s="118">
        <v>0</v>
      </c>
      <c r="F577" s="115"/>
      <c r="G577" s="116"/>
      <c r="H577" s="118">
        <v>0</v>
      </c>
      <c r="I577" s="115"/>
      <c r="J577" s="116"/>
      <c r="K577" s="9">
        <v>1851.851851851852</v>
      </c>
      <c r="L577" s="127"/>
      <c r="M577" s="117">
        <f>IFERROR(IF(WEEKDAY($A577)&lt;&gt;1,HLOOKUP($B577,'SERVIÇOS NOTÁVEIS'!$23:$32,10,FALSE)*1.39,0),0)</f>
        <v>464.56888888888886</v>
      </c>
      <c r="O577" s="99"/>
      <c r="P577" s="10"/>
      <c r="R577" s="10"/>
      <c r="S577" s="10"/>
      <c r="U577" s="10"/>
    </row>
    <row r="578" spans="1:21" x14ac:dyDescent="0.35">
      <c r="A578" s="126">
        <f t="shared" si="20"/>
        <v>46597</v>
      </c>
      <c r="B578" s="118" t="str">
        <f t="shared" si="19"/>
        <v>jul/27</v>
      </c>
      <c r="C578" s="115"/>
      <c r="D578" s="116"/>
      <c r="E578" s="118">
        <v>0</v>
      </c>
      <c r="F578" s="115"/>
      <c r="G578" s="116"/>
      <c r="H578" s="118">
        <v>0</v>
      </c>
      <c r="I578" s="115"/>
      <c r="J578" s="116"/>
      <c r="K578" s="9">
        <v>1851.851851851852</v>
      </c>
      <c r="L578" s="127"/>
      <c r="M578" s="117">
        <f>IFERROR(IF(WEEKDAY($A578)&lt;&gt;1,HLOOKUP($B578,'SERVIÇOS NOTÁVEIS'!$23:$32,10,FALSE)*1.39,0),0)</f>
        <v>464.56888888888886</v>
      </c>
      <c r="O578" s="99"/>
      <c r="P578" s="10"/>
      <c r="R578" s="10"/>
      <c r="S578" s="10"/>
      <c r="U578" s="10"/>
    </row>
    <row r="579" spans="1:21" x14ac:dyDescent="0.35">
      <c r="A579" s="126">
        <f t="shared" si="20"/>
        <v>46598</v>
      </c>
      <c r="B579" s="118" t="str">
        <f t="shared" si="19"/>
        <v>jul/27</v>
      </c>
      <c r="C579" s="115"/>
      <c r="D579" s="116"/>
      <c r="E579" s="118">
        <v>0</v>
      </c>
      <c r="F579" s="115"/>
      <c r="G579" s="116"/>
      <c r="H579" s="118">
        <v>0</v>
      </c>
      <c r="I579" s="115"/>
      <c r="J579" s="116"/>
      <c r="K579" s="9">
        <v>1851.851851851852</v>
      </c>
      <c r="L579" s="127"/>
      <c r="M579" s="117">
        <f>IFERROR(IF(WEEKDAY($A579)&lt;&gt;1,HLOOKUP($B579,'SERVIÇOS NOTÁVEIS'!$23:$32,10,FALSE)*1.39,0),0)</f>
        <v>464.56888888888886</v>
      </c>
      <c r="O579" s="99"/>
      <c r="P579" s="10"/>
      <c r="R579" s="10"/>
      <c r="S579" s="10"/>
      <c r="U579" s="10"/>
    </row>
    <row r="580" spans="1:21" x14ac:dyDescent="0.35">
      <c r="A580" s="126">
        <f t="shared" si="20"/>
        <v>46599</v>
      </c>
      <c r="B580" s="118" t="str">
        <f t="shared" si="19"/>
        <v>jul/27</v>
      </c>
      <c r="C580" s="115"/>
      <c r="D580" s="116"/>
      <c r="E580" s="118">
        <v>0</v>
      </c>
      <c r="F580" s="115"/>
      <c r="G580" s="116"/>
      <c r="H580" s="118">
        <v>0</v>
      </c>
      <c r="I580" s="115"/>
      <c r="J580" s="116"/>
      <c r="K580" s="9">
        <v>1851.851851851852</v>
      </c>
      <c r="L580" s="127"/>
      <c r="M580" s="117">
        <f>IFERROR(IF(WEEKDAY($A580)&lt;&gt;1,HLOOKUP($B580,'SERVIÇOS NOTÁVEIS'!$23:$32,10,FALSE)*1.39,0),0)</f>
        <v>464.56888888888886</v>
      </c>
      <c r="O580" s="99"/>
      <c r="P580" s="10"/>
      <c r="R580" s="10"/>
      <c r="S580" s="10"/>
      <c r="U580" s="10"/>
    </row>
    <row r="581" spans="1:21" x14ac:dyDescent="0.35">
      <c r="A581" s="126">
        <f t="shared" si="20"/>
        <v>46600</v>
      </c>
      <c r="B581" s="118" t="str">
        <f t="shared" ref="B581:B644" si="21">TEXT(A581,"MMM/AA")</f>
        <v>ago/27</v>
      </c>
      <c r="C581" s="115"/>
      <c r="D581" s="116"/>
      <c r="E581" s="118">
        <v>0</v>
      </c>
      <c r="F581" s="115"/>
      <c r="G581" s="116"/>
      <c r="H581" s="118">
        <v>0</v>
      </c>
      <c r="I581" s="115"/>
      <c r="J581" s="116"/>
      <c r="K581" s="9">
        <v>0</v>
      </c>
      <c r="L581" s="127"/>
      <c r="M581" s="117">
        <f>IFERROR(IF(WEEKDAY($A581)&lt;&gt;1,HLOOKUP($B581,'SERVIÇOS NOTÁVEIS'!$23:$32,10,FALSE)*1.39,0),0)</f>
        <v>0</v>
      </c>
      <c r="O581" s="99"/>
      <c r="P581" s="10"/>
      <c r="R581" s="10"/>
      <c r="S581" s="10"/>
      <c r="U581" s="10"/>
    </row>
    <row r="582" spans="1:21" x14ac:dyDescent="0.35">
      <c r="A582" s="126">
        <f t="shared" si="20"/>
        <v>46601</v>
      </c>
      <c r="B582" s="118" t="str">
        <f t="shared" si="21"/>
        <v>ago/27</v>
      </c>
      <c r="C582" s="115"/>
      <c r="D582" s="116"/>
      <c r="E582" s="118">
        <v>0</v>
      </c>
      <c r="F582" s="115"/>
      <c r="G582" s="116"/>
      <c r="H582" s="118">
        <v>0</v>
      </c>
      <c r="I582" s="115"/>
      <c r="J582" s="116"/>
      <c r="K582" s="9">
        <v>1923.0769230769231</v>
      </c>
      <c r="L582" s="127"/>
      <c r="M582" s="117">
        <f>IFERROR(IF(WEEKDAY($A582)&lt;&gt;1,HLOOKUP($B582,'SERVIÇOS NOTÁVEIS'!$23:$32,10,FALSE)*1.39,0),0)</f>
        <v>3054.1186923076934</v>
      </c>
      <c r="O582" s="99"/>
      <c r="P582" s="10"/>
      <c r="R582" s="10"/>
      <c r="S582" s="10"/>
      <c r="U582" s="10"/>
    </row>
    <row r="583" spans="1:21" x14ac:dyDescent="0.35">
      <c r="A583" s="126">
        <f t="shared" si="20"/>
        <v>46602</v>
      </c>
      <c r="B583" s="118" t="str">
        <f t="shared" si="21"/>
        <v>ago/27</v>
      </c>
      <c r="C583" s="115"/>
      <c r="D583" s="116"/>
      <c r="E583" s="118">
        <v>0</v>
      </c>
      <c r="F583" s="115"/>
      <c r="G583" s="116"/>
      <c r="H583" s="118">
        <v>0</v>
      </c>
      <c r="I583" s="115"/>
      <c r="J583" s="116"/>
      <c r="K583" s="9">
        <v>1923.0769230769231</v>
      </c>
      <c r="L583" s="127"/>
      <c r="M583" s="117">
        <f>IFERROR(IF(WEEKDAY($A583)&lt;&gt;1,HLOOKUP($B583,'SERVIÇOS NOTÁVEIS'!$23:$32,10,FALSE)*1.39,0),0)</f>
        <v>3054.1186923076934</v>
      </c>
      <c r="O583" s="99"/>
      <c r="P583" s="10"/>
      <c r="R583" s="10"/>
      <c r="S583" s="10"/>
      <c r="U583" s="10"/>
    </row>
    <row r="584" spans="1:21" x14ac:dyDescent="0.35">
      <c r="A584" s="126">
        <f t="shared" si="20"/>
        <v>46603</v>
      </c>
      <c r="B584" s="118" t="str">
        <f t="shared" si="21"/>
        <v>ago/27</v>
      </c>
      <c r="C584" s="115"/>
      <c r="D584" s="116"/>
      <c r="E584" s="118">
        <v>0</v>
      </c>
      <c r="F584" s="115"/>
      <c r="G584" s="116"/>
      <c r="H584" s="118">
        <v>0</v>
      </c>
      <c r="I584" s="115"/>
      <c r="J584" s="116"/>
      <c r="K584" s="9">
        <v>1923.0769230769231</v>
      </c>
      <c r="L584" s="127"/>
      <c r="M584" s="117">
        <f>IFERROR(IF(WEEKDAY($A584)&lt;&gt;1,HLOOKUP($B584,'SERVIÇOS NOTÁVEIS'!$23:$32,10,FALSE)*1.39,0),0)</f>
        <v>3054.1186923076934</v>
      </c>
      <c r="O584" s="99"/>
      <c r="P584" s="10"/>
      <c r="R584" s="10"/>
      <c r="S584" s="10"/>
      <c r="U584" s="10"/>
    </row>
    <row r="585" spans="1:21" x14ac:dyDescent="0.35">
      <c r="A585" s="126">
        <f t="shared" si="20"/>
        <v>46604</v>
      </c>
      <c r="B585" s="118" t="str">
        <f t="shared" si="21"/>
        <v>ago/27</v>
      </c>
      <c r="C585" s="115"/>
      <c r="D585" s="116"/>
      <c r="E585" s="118">
        <v>0</v>
      </c>
      <c r="F585" s="115"/>
      <c r="G585" s="116"/>
      <c r="H585" s="118">
        <v>0</v>
      </c>
      <c r="I585" s="115"/>
      <c r="J585" s="116"/>
      <c r="K585" s="9">
        <v>1923.0769230769231</v>
      </c>
      <c r="L585" s="127"/>
      <c r="M585" s="117">
        <f>IFERROR(IF(WEEKDAY($A585)&lt;&gt;1,HLOOKUP($B585,'SERVIÇOS NOTÁVEIS'!$23:$32,10,FALSE)*1.39,0),0)</f>
        <v>3054.1186923076934</v>
      </c>
      <c r="O585" s="99"/>
      <c r="P585" s="10"/>
      <c r="R585" s="10"/>
      <c r="S585" s="10"/>
      <c r="U585" s="10"/>
    </row>
    <row r="586" spans="1:21" x14ac:dyDescent="0.35">
      <c r="A586" s="126">
        <f t="shared" si="20"/>
        <v>46605</v>
      </c>
      <c r="B586" s="118" t="str">
        <f t="shared" si="21"/>
        <v>ago/27</v>
      </c>
      <c r="C586" s="115"/>
      <c r="D586" s="116"/>
      <c r="E586" s="118">
        <v>0</v>
      </c>
      <c r="F586" s="115"/>
      <c r="G586" s="116"/>
      <c r="H586" s="118">
        <v>0</v>
      </c>
      <c r="I586" s="115"/>
      <c r="J586" s="116"/>
      <c r="K586" s="9">
        <v>1923.0769230769231</v>
      </c>
      <c r="L586" s="127"/>
      <c r="M586" s="117">
        <f>IFERROR(IF(WEEKDAY($A586)&lt;&gt;1,HLOOKUP($B586,'SERVIÇOS NOTÁVEIS'!$23:$32,10,FALSE)*1.39,0),0)</f>
        <v>3054.1186923076934</v>
      </c>
      <c r="O586" s="99"/>
      <c r="P586" s="10"/>
      <c r="R586" s="10"/>
      <c r="S586" s="10"/>
      <c r="U586" s="10"/>
    </row>
    <row r="587" spans="1:21" x14ac:dyDescent="0.35">
      <c r="A587" s="126">
        <f t="shared" si="20"/>
        <v>46606</v>
      </c>
      <c r="B587" s="118" t="str">
        <f t="shared" si="21"/>
        <v>ago/27</v>
      </c>
      <c r="C587" s="115"/>
      <c r="D587" s="116"/>
      <c r="E587" s="118">
        <v>0</v>
      </c>
      <c r="F587" s="115"/>
      <c r="G587" s="116"/>
      <c r="H587" s="118">
        <v>0</v>
      </c>
      <c r="I587" s="115"/>
      <c r="J587" s="116"/>
      <c r="K587" s="9">
        <v>1923.0769230769231</v>
      </c>
      <c r="L587" s="127"/>
      <c r="M587" s="117">
        <f>IFERROR(IF(WEEKDAY($A587)&lt;&gt;1,HLOOKUP($B587,'SERVIÇOS NOTÁVEIS'!$23:$32,10,FALSE)*1.39,0),0)</f>
        <v>3054.1186923076934</v>
      </c>
      <c r="O587" s="99"/>
      <c r="P587" s="10"/>
      <c r="R587" s="10"/>
      <c r="S587" s="10"/>
      <c r="U587" s="10"/>
    </row>
    <row r="588" spans="1:21" x14ac:dyDescent="0.35">
      <c r="A588" s="126">
        <f t="shared" si="20"/>
        <v>46607</v>
      </c>
      <c r="B588" s="118" t="str">
        <f t="shared" si="21"/>
        <v>ago/27</v>
      </c>
      <c r="C588" s="115"/>
      <c r="D588" s="116"/>
      <c r="E588" s="118">
        <v>0</v>
      </c>
      <c r="F588" s="115"/>
      <c r="G588" s="116"/>
      <c r="H588" s="118">
        <v>0</v>
      </c>
      <c r="I588" s="115"/>
      <c r="J588" s="116"/>
      <c r="K588" s="9">
        <v>0</v>
      </c>
      <c r="L588" s="127"/>
      <c r="M588" s="117">
        <f>IFERROR(IF(WEEKDAY($A588)&lt;&gt;1,HLOOKUP($B588,'SERVIÇOS NOTÁVEIS'!$23:$32,10,FALSE)*1.39,0),0)</f>
        <v>0</v>
      </c>
      <c r="O588" s="99"/>
      <c r="P588" s="10"/>
      <c r="R588" s="10"/>
      <c r="S588" s="10"/>
      <c r="U588" s="10"/>
    </row>
    <row r="589" spans="1:21" x14ac:dyDescent="0.35">
      <c r="A589" s="126">
        <f t="shared" si="20"/>
        <v>46608</v>
      </c>
      <c r="B589" s="118" t="str">
        <f t="shared" si="21"/>
        <v>ago/27</v>
      </c>
      <c r="C589" s="115"/>
      <c r="D589" s="116"/>
      <c r="E589" s="118">
        <v>0</v>
      </c>
      <c r="F589" s="115"/>
      <c r="G589" s="116"/>
      <c r="H589" s="118">
        <v>0</v>
      </c>
      <c r="I589" s="115"/>
      <c r="J589" s="116"/>
      <c r="K589" s="9">
        <v>1923.0769230769231</v>
      </c>
      <c r="L589" s="127"/>
      <c r="M589" s="117">
        <f>IFERROR(IF(WEEKDAY($A589)&lt;&gt;1,HLOOKUP($B589,'SERVIÇOS NOTÁVEIS'!$23:$32,10,FALSE)*1.39,0),0)</f>
        <v>3054.1186923076934</v>
      </c>
      <c r="O589" s="99"/>
      <c r="P589" s="10"/>
      <c r="R589" s="10"/>
      <c r="S589" s="10"/>
      <c r="U589" s="10"/>
    </row>
    <row r="590" spans="1:21" x14ac:dyDescent="0.35">
      <c r="A590" s="126">
        <f t="shared" si="20"/>
        <v>46609</v>
      </c>
      <c r="B590" s="118" t="str">
        <f t="shared" si="21"/>
        <v>ago/27</v>
      </c>
      <c r="C590" s="115"/>
      <c r="D590" s="116"/>
      <c r="E590" s="118">
        <v>0</v>
      </c>
      <c r="F590" s="115"/>
      <c r="G590" s="116"/>
      <c r="H590" s="118">
        <v>0</v>
      </c>
      <c r="I590" s="115"/>
      <c r="J590" s="116"/>
      <c r="K590" s="9">
        <v>1923.0769230769231</v>
      </c>
      <c r="L590" s="127"/>
      <c r="M590" s="117">
        <f>IFERROR(IF(WEEKDAY($A590)&lt;&gt;1,HLOOKUP($B590,'SERVIÇOS NOTÁVEIS'!$23:$32,10,FALSE)*1.39,0),0)</f>
        <v>3054.1186923076934</v>
      </c>
      <c r="O590" s="99"/>
      <c r="P590" s="10"/>
      <c r="R590" s="10"/>
      <c r="S590" s="10"/>
      <c r="U590" s="10"/>
    </row>
    <row r="591" spans="1:21" x14ac:dyDescent="0.35">
      <c r="A591" s="126">
        <f t="shared" si="20"/>
        <v>46610</v>
      </c>
      <c r="B591" s="118" t="str">
        <f t="shared" si="21"/>
        <v>ago/27</v>
      </c>
      <c r="C591" s="115"/>
      <c r="D591" s="116"/>
      <c r="E591" s="118">
        <v>0</v>
      </c>
      <c r="F591" s="115"/>
      <c r="G591" s="116"/>
      <c r="H591" s="118">
        <v>0</v>
      </c>
      <c r="I591" s="115"/>
      <c r="J591" s="116"/>
      <c r="K591" s="9">
        <v>1923.0769230769231</v>
      </c>
      <c r="L591" s="127"/>
      <c r="M591" s="117">
        <f>IFERROR(IF(WEEKDAY($A591)&lt;&gt;1,HLOOKUP($B591,'SERVIÇOS NOTÁVEIS'!$23:$32,10,FALSE)*1.39,0),0)</f>
        <v>3054.1186923076934</v>
      </c>
      <c r="O591" s="99"/>
      <c r="P591" s="10"/>
      <c r="R591" s="10"/>
      <c r="S591" s="10"/>
      <c r="U591" s="10"/>
    </row>
    <row r="592" spans="1:21" x14ac:dyDescent="0.35">
      <c r="A592" s="126">
        <f t="shared" si="20"/>
        <v>46611</v>
      </c>
      <c r="B592" s="118" t="str">
        <f t="shared" si="21"/>
        <v>ago/27</v>
      </c>
      <c r="C592" s="115"/>
      <c r="D592" s="116"/>
      <c r="E592" s="118">
        <v>0</v>
      </c>
      <c r="F592" s="115"/>
      <c r="G592" s="116"/>
      <c r="H592" s="118">
        <v>0</v>
      </c>
      <c r="I592" s="115"/>
      <c r="J592" s="116"/>
      <c r="K592" s="9">
        <v>1923.0769230769231</v>
      </c>
      <c r="L592" s="127"/>
      <c r="M592" s="117">
        <f>IFERROR(IF(WEEKDAY($A592)&lt;&gt;1,HLOOKUP($B592,'SERVIÇOS NOTÁVEIS'!$23:$32,10,FALSE)*1.39,0),0)</f>
        <v>3054.1186923076934</v>
      </c>
      <c r="O592" s="99"/>
      <c r="P592" s="10"/>
      <c r="R592" s="10"/>
      <c r="S592" s="10"/>
      <c r="U592" s="10"/>
    </row>
    <row r="593" spans="1:21" x14ac:dyDescent="0.35">
      <c r="A593" s="126">
        <f t="shared" si="20"/>
        <v>46612</v>
      </c>
      <c r="B593" s="118" t="str">
        <f t="shared" si="21"/>
        <v>ago/27</v>
      </c>
      <c r="C593" s="115"/>
      <c r="D593" s="116"/>
      <c r="E593" s="118">
        <v>0</v>
      </c>
      <c r="F593" s="115"/>
      <c r="G593" s="116"/>
      <c r="H593" s="118">
        <v>0</v>
      </c>
      <c r="I593" s="115"/>
      <c r="J593" s="116"/>
      <c r="K593" s="9">
        <v>1923.0769230769231</v>
      </c>
      <c r="L593" s="127"/>
      <c r="M593" s="117">
        <f>IFERROR(IF(WEEKDAY($A593)&lt;&gt;1,HLOOKUP($B593,'SERVIÇOS NOTÁVEIS'!$23:$32,10,FALSE)*1.39,0),0)</f>
        <v>3054.1186923076934</v>
      </c>
      <c r="O593" s="99"/>
      <c r="P593" s="10"/>
      <c r="R593" s="10"/>
      <c r="S593" s="10"/>
      <c r="U593" s="10"/>
    </row>
    <row r="594" spans="1:21" x14ac:dyDescent="0.35">
      <c r="A594" s="126">
        <f t="shared" si="20"/>
        <v>46613</v>
      </c>
      <c r="B594" s="118" t="str">
        <f t="shared" si="21"/>
        <v>ago/27</v>
      </c>
      <c r="C594" s="115"/>
      <c r="D594" s="116"/>
      <c r="E594" s="118">
        <v>0</v>
      </c>
      <c r="F594" s="115"/>
      <c r="G594" s="116"/>
      <c r="H594" s="118">
        <v>0</v>
      </c>
      <c r="I594" s="115"/>
      <c r="J594" s="116"/>
      <c r="K594" s="9">
        <v>1923.0769230769231</v>
      </c>
      <c r="L594" s="127"/>
      <c r="M594" s="117">
        <f>IFERROR(IF(WEEKDAY($A594)&lt;&gt;1,HLOOKUP($B594,'SERVIÇOS NOTÁVEIS'!$23:$32,10,FALSE)*1.39,0),0)</f>
        <v>3054.1186923076934</v>
      </c>
      <c r="O594" s="99"/>
      <c r="P594" s="10"/>
      <c r="R594" s="10"/>
      <c r="S594" s="10"/>
      <c r="U594" s="10"/>
    </row>
    <row r="595" spans="1:21" x14ac:dyDescent="0.35">
      <c r="A595" s="126">
        <f t="shared" si="20"/>
        <v>46614</v>
      </c>
      <c r="B595" s="118" t="str">
        <f t="shared" si="21"/>
        <v>ago/27</v>
      </c>
      <c r="C595" s="115"/>
      <c r="D595" s="116"/>
      <c r="E595" s="118">
        <v>0</v>
      </c>
      <c r="F595" s="115"/>
      <c r="G595" s="116"/>
      <c r="H595" s="118">
        <v>0</v>
      </c>
      <c r="I595" s="115"/>
      <c r="J595" s="116"/>
      <c r="K595" s="9">
        <v>0</v>
      </c>
      <c r="L595" s="127"/>
      <c r="M595" s="117">
        <f>IFERROR(IF(WEEKDAY($A595)&lt;&gt;1,HLOOKUP($B595,'SERVIÇOS NOTÁVEIS'!$23:$32,10,FALSE)*1.39,0),0)</f>
        <v>0</v>
      </c>
      <c r="O595" s="99"/>
      <c r="P595" s="10"/>
      <c r="R595" s="10"/>
      <c r="S595" s="10"/>
      <c r="U595" s="10"/>
    </row>
    <row r="596" spans="1:21" x14ac:dyDescent="0.35">
      <c r="A596" s="126">
        <f t="shared" si="20"/>
        <v>46615</v>
      </c>
      <c r="B596" s="118" t="str">
        <f t="shared" si="21"/>
        <v>ago/27</v>
      </c>
      <c r="C596" s="115"/>
      <c r="D596" s="116"/>
      <c r="E596" s="118">
        <v>0</v>
      </c>
      <c r="F596" s="115"/>
      <c r="G596" s="116"/>
      <c r="H596" s="118">
        <v>0</v>
      </c>
      <c r="I596" s="115"/>
      <c r="J596" s="116"/>
      <c r="K596" s="9">
        <v>1923.0769230769231</v>
      </c>
      <c r="L596" s="127"/>
      <c r="M596" s="117">
        <f>IFERROR(IF(WEEKDAY($A596)&lt;&gt;1,HLOOKUP($B596,'SERVIÇOS NOTÁVEIS'!$23:$32,10,FALSE)*1.39,0),0)</f>
        <v>3054.1186923076934</v>
      </c>
      <c r="O596" s="99"/>
      <c r="P596" s="10"/>
      <c r="R596" s="10"/>
      <c r="S596" s="10"/>
      <c r="U596" s="10"/>
    </row>
    <row r="597" spans="1:21" x14ac:dyDescent="0.35">
      <c r="A597" s="126">
        <f t="shared" si="20"/>
        <v>46616</v>
      </c>
      <c r="B597" s="118" t="str">
        <f t="shared" si="21"/>
        <v>ago/27</v>
      </c>
      <c r="C597" s="115"/>
      <c r="D597" s="116"/>
      <c r="E597" s="118">
        <v>0</v>
      </c>
      <c r="F597" s="115"/>
      <c r="G597" s="116"/>
      <c r="H597" s="118">
        <v>0</v>
      </c>
      <c r="I597" s="115"/>
      <c r="J597" s="116"/>
      <c r="K597" s="9">
        <v>1923.0769230769231</v>
      </c>
      <c r="L597" s="127"/>
      <c r="M597" s="117">
        <f>IFERROR(IF(WEEKDAY($A597)&lt;&gt;1,HLOOKUP($B597,'SERVIÇOS NOTÁVEIS'!$23:$32,10,FALSE)*1.39,0),0)</f>
        <v>3054.1186923076934</v>
      </c>
      <c r="O597" s="99"/>
      <c r="P597" s="10"/>
      <c r="R597" s="10"/>
      <c r="S597" s="10"/>
      <c r="U597" s="10"/>
    </row>
    <row r="598" spans="1:21" x14ac:dyDescent="0.35">
      <c r="A598" s="126">
        <f t="shared" si="20"/>
        <v>46617</v>
      </c>
      <c r="B598" s="118" t="str">
        <f t="shared" si="21"/>
        <v>ago/27</v>
      </c>
      <c r="C598" s="115"/>
      <c r="D598" s="116"/>
      <c r="E598" s="118">
        <v>0</v>
      </c>
      <c r="F598" s="115"/>
      <c r="G598" s="116"/>
      <c r="H598" s="118">
        <v>0</v>
      </c>
      <c r="I598" s="115"/>
      <c r="J598" s="116"/>
      <c r="K598" s="9">
        <v>1923.0769230769231</v>
      </c>
      <c r="L598" s="127"/>
      <c r="M598" s="117">
        <f>IFERROR(IF(WEEKDAY($A598)&lt;&gt;1,HLOOKUP($B598,'SERVIÇOS NOTÁVEIS'!$23:$32,10,FALSE)*1.39,0),0)</f>
        <v>3054.1186923076934</v>
      </c>
      <c r="O598" s="99"/>
      <c r="P598" s="10"/>
      <c r="R598" s="10"/>
      <c r="S598" s="10"/>
      <c r="U598" s="10"/>
    </row>
    <row r="599" spans="1:21" x14ac:dyDescent="0.35">
      <c r="A599" s="126">
        <f t="shared" si="20"/>
        <v>46618</v>
      </c>
      <c r="B599" s="118" t="str">
        <f t="shared" si="21"/>
        <v>ago/27</v>
      </c>
      <c r="C599" s="115"/>
      <c r="D599" s="116"/>
      <c r="E599" s="118">
        <v>0</v>
      </c>
      <c r="F599" s="115"/>
      <c r="G599" s="116"/>
      <c r="H599" s="118">
        <v>0</v>
      </c>
      <c r="I599" s="115"/>
      <c r="J599" s="116"/>
      <c r="K599" s="9">
        <v>1923.0769230769231</v>
      </c>
      <c r="L599" s="127"/>
      <c r="M599" s="117">
        <f>IFERROR(IF(WEEKDAY($A599)&lt;&gt;1,HLOOKUP($B599,'SERVIÇOS NOTÁVEIS'!$23:$32,10,FALSE)*1.39,0),0)</f>
        <v>3054.1186923076934</v>
      </c>
      <c r="O599" s="99"/>
      <c r="P599" s="10"/>
      <c r="R599" s="10"/>
      <c r="S599" s="10"/>
      <c r="U599" s="10"/>
    </row>
    <row r="600" spans="1:21" x14ac:dyDescent="0.35">
      <c r="A600" s="126">
        <f t="shared" si="20"/>
        <v>46619</v>
      </c>
      <c r="B600" s="118" t="str">
        <f t="shared" si="21"/>
        <v>ago/27</v>
      </c>
      <c r="C600" s="115"/>
      <c r="D600" s="116"/>
      <c r="E600" s="118">
        <v>0</v>
      </c>
      <c r="F600" s="115"/>
      <c r="G600" s="116"/>
      <c r="H600" s="118">
        <v>0</v>
      </c>
      <c r="I600" s="115"/>
      <c r="J600" s="116"/>
      <c r="K600" s="9">
        <v>1923.0769230769231</v>
      </c>
      <c r="L600" s="127"/>
      <c r="M600" s="117">
        <f>IFERROR(IF(WEEKDAY($A600)&lt;&gt;1,HLOOKUP($B600,'SERVIÇOS NOTÁVEIS'!$23:$32,10,FALSE)*1.39,0),0)</f>
        <v>3054.1186923076934</v>
      </c>
      <c r="O600" s="99"/>
      <c r="P600" s="10"/>
      <c r="R600" s="10"/>
      <c r="S600" s="10"/>
      <c r="U600" s="10"/>
    </row>
    <row r="601" spans="1:21" x14ac:dyDescent="0.35">
      <c r="A601" s="126">
        <f t="shared" si="20"/>
        <v>46620</v>
      </c>
      <c r="B601" s="118" t="str">
        <f t="shared" si="21"/>
        <v>ago/27</v>
      </c>
      <c r="C601" s="115"/>
      <c r="D601" s="116"/>
      <c r="E601" s="118">
        <v>0</v>
      </c>
      <c r="F601" s="115"/>
      <c r="G601" s="116"/>
      <c r="H601" s="118">
        <v>0</v>
      </c>
      <c r="I601" s="115"/>
      <c r="J601" s="116"/>
      <c r="K601" s="9">
        <v>1923.0769230769231</v>
      </c>
      <c r="L601" s="127"/>
      <c r="M601" s="117">
        <f>IFERROR(IF(WEEKDAY($A601)&lt;&gt;1,HLOOKUP($B601,'SERVIÇOS NOTÁVEIS'!$23:$32,10,FALSE)*1.39,0),0)</f>
        <v>3054.1186923076934</v>
      </c>
      <c r="O601" s="99"/>
      <c r="P601" s="10"/>
      <c r="R601" s="10"/>
      <c r="S601" s="10"/>
      <c r="U601" s="10"/>
    </row>
    <row r="602" spans="1:21" x14ac:dyDescent="0.35">
      <c r="A602" s="126">
        <f t="shared" si="20"/>
        <v>46621</v>
      </c>
      <c r="B602" s="118" t="str">
        <f t="shared" si="21"/>
        <v>ago/27</v>
      </c>
      <c r="C602" s="115"/>
      <c r="D602" s="116"/>
      <c r="E602" s="118">
        <v>0</v>
      </c>
      <c r="F602" s="115"/>
      <c r="G602" s="116"/>
      <c r="H602" s="118">
        <v>0</v>
      </c>
      <c r="I602" s="115"/>
      <c r="J602" s="116"/>
      <c r="K602" s="9">
        <v>0</v>
      </c>
      <c r="L602" s="127"/>
      <c r="M602" s="117">
        <f>IFERROR(IF(WEEKDAY($A602)&lt;&gt;1,HLOOKUP($B602,'SERVIÇOS NOTÁVEIS'!$23:$32,10,FALSE)*1.39,0),0)</f>
        <v>0</v>
      </c>
      <c r="O602" s="99"/>
      <c r="P602" s="10"/>
      <c r="R602" s="10"/>
      <c r="S602" s="10"/>
      <c r="U602" s="10"/>
    </row>
    <row r="603" spans="1:21" x14ac:dyDescent="0.35">
      <c r="A603" s="126">
        <f t="shared" si="20"/>
        <v>46622</v>
      </c>
      <c r="B603" s="118" t="str">
        <f t="shared" si="21"/>
        <v>ago/27</v>
      </c>
      <c r="C603" s="115"/>
      <c r="D603" s="116"/>
      <c r="E603" s="118">
        <v>0</v>
      </c>
      <c r="F603" s="115"/>
      <c r="G603" s="116"/>
      <c r="H603" s="118">
        <v>0</v>
      </c>
      <c r="I603" s="115"/>
      <c r="J603" s="116"/>
      <c r="K603" s="9">
        <v>1923.0769230769231</v>
      </c>
      <c r="L603" s="127"/>
      <c r="M603" s="117">
        <f>IFERROR(IF(WEEKDAY($A603)&lt;&gt;1,HLOOKUP($B603,'SERVIÇOS NOTÁVEIS'!$23:$32,10,FALSE)*1.39,0),0)</f>
        <v>3054.1186923076934</v>
      </c>
      <c r="O603" s="99"/>
      <c r="P603" s="10"/>
      <c r="R603" s="10"/>
      <c r="S603" s="10"/>
      <c r="U603" s="10"/>
    </row>
    <row r="604" spans="1:21" x14ac:dyDescent="0.35">
      <c r="A604" s="126">
        <f t="shared" si="20"/>
        <v>46623</v>
      </c>
      <c r="B604" s="118" t="str">
        <f t="shared" si="21"/>
        <v>ago/27</v>
      </c>
      <c r="C604" s="115"/>
      <c r="D604" s="116"/>
      <c r="E604" s="118">
        <v>0</v>
      </c>
      <c r="F604" s="115"/>
      <c r="G604" s="116"/>
      <c r="H604" s="118">
        <v>0</v>
      </c>
      <c r="I604" s="115"/>
      <c r="J604" s="116"/>
      <c r="K604" s="9">
        <v>1923.0769230769231</v>
      </c>
      <c r="L604" s="127"/>
      <c r="M604" s="117">
        <f>IFERROR(IF(WEEKDAY($A604)&lt;&gt;1,HLOOKUP($B604,'SERVIÇOS NOTÁVEIS'!$23:$32,10,FALSE)*1.39,0),0)</f>
        <v>3054.1186923076934</v>
      </c>
      <c r="O604" s="99"/>
      <c r="P604" s="10"/>
      <c r="R604" s="10"/>
      <c r="S604" s="10"/>
      <c r="U604" s="10"/>
    </row>
    <row r="605" spans="1:21" x14ac:dyDescent="0.35">
      <c r="A605" s="126">
        <f t="shared" si="20"/>
        <v>46624</v>
      </c>
      <c r="B605" s="118" t="str">
        <f t="shared" si="21"/>
        <v>ago/27</v>
      </c>
      <c r="C605" s="115"/>
      <c r="D605" s="116"/>
      <c r="E605" s="118">
        <v>0</v>
      </c>
      <c r="F605" s="115"/>
      <c r="G605" s="116"/>
      <c r="H605" s="118">
        <v>0</v>
      </c>
      <c r="I605" s="115"/>
      <c r="J605" s="116"/>
      <c r="K605" s="9">
        <v>1923.0769230769231</v>
      </c>
      <c r="L605" s="127"/>
      <c r="M605" s="117">
        <f>IFERROR(IF(WEEKDAY($A605)&lt;&gt;1,HLOOKUP($B605,'SERVIÇOS NOTÁVEIS'!$23:$32,10,FALSE)*1.39,0),0)</f>
        <v>3054.1186923076934</v>
      </c>
      <c r="O605" s="99"/>
      <c r="P605" s="10"/>
      <c r="R605" s="10"/>
      <c r="S605" s="10"/>
      <c r="U605" s="10"/>
    </row>
    <row r="606" spans="1:21" x14ac:dyDescent="0.35">
      <c r="A606" s="126">
        <f t="shared" si="20"/>
        <v>46625</v>
      </c>
      <c r="B606" s="118" t="str">
        <f t="shared" si="21"/>
        <v>ago/27</v>
      </c>
      <c r="C606" s="115"/>
      <c r="D606" s="116"/>
      <c r="E606" s="118">
        <v>0</v>
      </c>
      <c r="F606" s="115"/>
      <c r="G606" s="116"/>
      <c r="H606" s="118">
        <v>0</v>
      </c>
      <c r="I606" s="115"/>
      <c r="J606" s="116"/>
      <c r="K606" s="9">
        <v>1923.0769230769231</v>
      </c>
      <c r="L606" s="127"/>
      <c r="M606" s="117">
        <f>IFERROR(IF(WEEKDAY($A606)&lt;&gt;1,HLOOKUP($B606,'SERVIÇOS NOTÁVEIS'!$23:$32,10,FALSE)*1.39,0),0)</f>
        <v>3054.1186923076934</v>
      </c>
      <c r="O606" s="99"/>
      <c r="P606" s="10"/>
      <c r="R606" s="10"/>
      <c r="S606" s="10"/>
      <c r="U606" s="10"/>
    </row>
    <row r="607" spans="1:21" x14ac:dyDescent="0.35">
      <c r="A607" s="126">
        <f t="shared" si="20"/>
        <v>46626</v>
      </c>
      <c r="B607" s="118" t="str">
        <f t="shared" si="21"/>
        <v>ago/27</v>
      </c>
      <c r="C607" s="115"/>
      <c r="D607" s="116"/>
      <c r="E607" s="118">
        <v>0</v>
      </c>
      <c r="F607" s="115"/>
      <c r="G607" s="116"/>
      <c r="H607" s="118">
        <v>0</v>
      </c>
      <c r="I607" s="115"/>
      <c r="J607" s="116"/>
      <c r="K607" s="9">
        <v>1923.0769230769231</v>
      </c>
      <c r="L607" s="127"/>
      <c r="M607" s="117">
        <f>IFERROR(IF(WEEKDAY($A607)&lt;&gt;1,HLOOKUP($B607,'SERVIÇOS NOTÁVEIS'!$23:$32,10,FALSE)*1.39,0),0)</f>
        <v>3054.1186923076934</v>
      </c>
      <c r="O607" s="99"/>
      <c r="P607" s="10"/>
      <c r="R607" s="10"/>
      <c r="S607" s="10"/>
      <c r="U607" s="10"/>
    </row>
    <row r="608" spans="1:21" x14ac:dyDescent="0.35">
      <c r="A608" s="126">
        <f t="shared" si="20"/>
        <v>46627</v>
      </c>
      <c r="B608" s="118" t="str">
        <f t="shared" si="21"/>
        <v>ago/27</v>
      </c>
      <c r="C608" s="115"/>
      <c r="D608" s="116"/>
      <c r="E608" s="118">
        <v>0</v>
      </c>
      <c r="F608" s="115"/>
      <c r="G608" s="116"/>
      <c r="H608" s="118">
        <v>0</v>
      </c>
      <c r="I608" s="115"/>
      <c r="J608" s="116"/>
      <c r="K608" s="9">
        <v>1923.0769230769231</v>
      </c>
      <c r="L608" s="127"/>
      <c r="M608" s="117">
        <f>IFERROR(IF(WEEKDAY($A608)&lt;&gt;1,HLOOKUP($B608,'SERVIÇOS NOTÁVEIS'!$23:$32,10,FALSE)*1.39,0),0)</f>
        <v>3054.1186923076934</v>
      </c>
      <c r="O608" s="99"/>
      <c r="P608" s="10"/>
      <c r="R608" s="10"/>
      <c r="S608" s="10"/>
      <c r="U608" s="10"/>
    </row>
    <row r="609" spans="1:21" x14ac:dyDescent="0.35">
      <c r="A609" s="126">
        <f t="shared" si="20"/>
        <v>46628</v>
      </c>
      <c r="B609" s="118" t="str">
        <f t="shared" si="21"/>
        <v>ago/27</v>
      </c>
      <c r="C609" s="115"/>
      <c r="D609" s="116"/>
      <c r="E609" s="118">
        <v>0</v>
      </c>
      <c r="F609" s="115"/>
      <c r="G609" s="116"/>
      <c r="H609" s="118">
        <v>0</v>
      </c>
      <c r="I609" s="115"/>
      <c r="J609" s="116"/>
      <c r="K609" s="9">
        <v>0</v>
      </c>
      <c r="L609" s="127"/>
      <c r="M609" s="117">
        <f>IFERROR(IF(WEEKDAY($A609)&lt;&gt;1,HLOOKUP($B609,'SERVIÇOS NOTÁVEIS'!$23:$32,10,FALSE)*1.39,0),0)</f>
        <v>0</v>
      </c>
      <c r="O609" s="99"/>
      <c r="P609" s="10"/>
      <c r="R609" s="10"/>
      <c r="S609" s="10"/>
      <c r="U609" s="10"/>
    </row>
    <row r="610" spans="1:21" x14ac:dyDescent="0.35">
      <c r="A610" s="126">
        <f t="shared" si="20"/>
        <v>46629</v>
      </c>
      <c r="B610" s="118" t="str">
        <f t="shared" si="21"/>
        <v>ago/27</v>
      </c>
      <c r="C610" s="115"/>
      <c r="D610" s="116"/>
      <c r="E610" s="118">
        <v>0</v>
      </c>
      <c r="F610" s="115"/>
      <c r="G610" s="116"/>
      <c r="H610" s="118">
        <v>0</v>
      </c>
      <c r="I610" s="115"/>
      <c r="J610" s="116"/>
      <c r="K610" s="9">
        <v>1923.0769230769231</v>
      </c>
      <c r="L610" s="127"/>
      <c r="M610" s="117">
        <f>IFERROR(IF(WEEKDAY($A610)&lt;&gt;1,HLOOKUP($B610,'SERVIÇOS NOTÁVEIS'!$23:$32,10,FALSE)*1.39,0),0)</f>
        <v>3054.1186923076934</v>
      </c>
      <c r="O610" s="99"/>
      <c r="P610" s="10"/>
      <c r="R610" s="10"/>
      <c r="S610" s="10"/>
      <c r="U610" s="10"/>
    </row>
    <row r="611" spans="1:21" x14ac:dyDescent="0.35">
      <c r="A611" s="126">
        <f t="shared" si="20"/>
        <v>46630</v>
      </c>
      <c r="B611" s="118" t="str">
        <f t="shared" si="21"/>
        <v>ago/27</v>
      </c>
      <c r="C611" s="115"/>
      <c r="D611" s="116"/>
      <c r="E611" s="118">
        <v>0</v>
      </c>
      <c r="F611" s="115"/>
      <c r="G611" s="116"/>
      <c r="H611" s="118">
        <v>0</v>
      </c>
      <c r="I611" s="115"/>
      <c r="J611" s="116"/>
      <c r="K611" s="9">
        <v>1923.0769230769231</v>
      </c>
      <c r="L611" s="127"/>
      <c r="M611" s="117">
        <f>IFERROR(IF(WEEKDAY($A611)&lt;&gt;1,HLOOKUP($B611,'SERVIÇOS NOTÁVEIS'!$23:$32,10,FALSE)*1.39,0),0)</f>
        <v>3054.1186923076934</v>
      </c>
      <c r="O611" s="99"/>
      <c r="P611" s="10"/>
      <c r="R611" s="10"/>
      <c r="S611" s="10"/>
      <c r="U611" s="10"/>
    </row>
    <row r="612" spans="1:21" x14ac:dyDescent="0.35">
      <c r="A612" s="126">
        <f t="shared" si="20"/>
        <v>46631</v>
      </c>
      <c r="B612" s="118" t="str">
        <f t="shared" si="21"/>
        <v>set/27</v>
      </c>
      <c r="C612" s="115"/>
      <c r="D612" s="116"/>
      <c r="E612" s="118">
        <v>0</v>
      </c>
      <c r="F612" s="115"/>
      <c r="G612" s="116"/>
      <c r="H612" s="118">
        <v>0</v>
      </c>
      <c r="I612" s="115"/>
      <c r="J612" s="116"/>
      <c r="K612" s="9">
        <v>1923.0769230769231</v>
      </c>
      <c r="L612" s="127"/>
      <c r="M612" s="117">
        <f>IFERROR(IF(WEEKDAY($A612)&lt;&gt;1,HLOOKUP($B612,'SERVIÇOS NOTÁVEIS'!$23:$32,10,FALSE)*1.39,0),0)</f>
        <v>3376.7964999999986</v>
      </c>
      <c r="O612" s="99"/>
      <c r="P612" s="10"/>
      <c r="R612" s="10"/>
      <c r="S612" s="10"/>
      <c r="U612" s="10"/>
    </row>
    <row r="613" spans="1:21" x14ac:dyDescent="0.35">
      <c r="A613" s="126">
        <f t="shared" si="20"/>
        <v>46632</v>
      </c>
      <c r="B613" s="118" t="str">
        <f t="shared" si="21"/>
        <v>set/27</v>
      </c>
      <c r="C613" s="115"/>
      <c r="D613" s="116"/>
      <c r="E613" s="118">
        <v>0</v>
      </c>
      <c r="F613" s="115"/>
      <c r="G613" s="116"/>
      <c r="H613" s="118">
        <v>0</v>
      </c>
      <c r="I613" s="115"/>
      <c r="J613" s="116"/>
      <c r="K613" s="9">
        <v>1923.0769230769231</v>
      </c>
      <c r="L613" s="127"/>
      <c r="M613" s="117">
        <f>IFERROR(IF(WEEKDAY($A613)&lt;&gt;1,HLOOKUP($B613,'SERVIÇOS NOTÁVEIS'!$23:$32,10,FALSE)*1.39,0),0)</f>
        <v>3376.7964999999986</v>
      </c>
      <c r="O613" s="99"/>
      <c r="P613" s="10"/>
      <c r="R613" s="10"/>
      <c r="S613" s="10"/>
      <c r="U613" s="10"/>
    </row>
    <row r="614" spans="1:21" x14ac:dyDescent="0.35">
      <c r="A614" s="126">
        <f t="shared" si="20"/>
        <v>46633</v>
      </c>
      <c r="B614" s="118" t="str">
        <f t="shared" si="21"/>
        <v>set/27</v>
      </c>
      <c r="C614" s="115"/>
      <c r="D614" s="116"/>
      <c r="E614" s="118">
        <v>0</v>
      </c>
      <c r="F614" s="115"/>
      <c r="G614" s="116"/>
      <c r="H614" s="118">
        <v>0</v>
      </c>
      <c r="I614" s="115"/>
      <c r="J614" s="116"/>
      <c r="K614" s="9">
        <v>1923.0769230769231</v>
      </c>
      <c r="L614" s="127"/>
      <c r="M614" s="117">
        <f>IFERROR(IF(WEEKDAY($A614)&lt;&gt;1,HLOOKUP($B614,'SERVIÇOS NOTÁVEIS'!$23:$32,10,FALSE)*1.39,0),0)</f>
        <v>3376.7964999999986</v>
      </c>
      <c r="O614" s="99"/>
      <c r="P614" s="10"/>
      <c r="R614" s="10"/>
      <c r="S614" s="10"/>
      <c r="U614" s="10"/>
    </row>
    <row r="615" spans="1:21" x14ac:dyDescent="0.35">
      <c r="A615" s="126">
        <f t="shared" si="20"/>
        <v>46634</v>
      </c>
      <c r="B615" s="118" t="str">
        <f t="shared" si="21"/>
        <v>set/27</v>
      </c>
      <c r="C615" s="115"/>
      <c r="D615" s="116"/>
      <c r="E615" s="118">
        <v>0</v>
      </c>
      <c r="F615" s="115"/>
      <c r="G615" s="116"/>
      <c r="H615" s="118">
        <v>0</v>
      </c>
      <c r="I615" s="115"/>
      <c r="J615" s="116"/>
      <c r="K615" s="9">
        <v>1923.0769230769231</v>
      </c>
      <c r="L615" s="127"/>
      <c r="M615" s="117">
        <f>IFERROR(IF(WEEKDAY($A615)&lt;&gt;1,HLOOKUP($B615,'SERVIÇOS NOTÁVEIS'!$23:$32,10,FALSE)*1.39,0),0)</f>
        <v>3376.7964999999986</v>
      </c>
      <c r="O615" s="99"/>
      <c r="P615" s="10"/>
      <c r="R615" s="10"/>
      <c r="S615" s="10"/>
      <c r="U615" s="10"/>
    </row>
    <row r="616" spans="1:21" x14ac:dyDescent="0.35">
      <c r="A616" s="126">
        <f t="shared" si="20"/>
        <v>46635</v>
      </c>
      <c r="B616" s="118" t="str">
        <f t="shared" si="21"/>
        <v>set/27</v>
      </c>
      <c r="C616" s="115"/>
      <c r="D616" s="116"/>
      <c r="E616" s="118">
        <v>0</v>
      </c>
      <c r="F616" s="115"/>
      <c r="G616" s="116"/>
      <c r="H616" s="118">
        <v>0</v>
      </c>
      <c r="I616" s="115"/>
      <c r="J616" s="116"/>
      <c r="K616" s="9">
        <v>0</v>
      </c>
      <c r="L616" s="127"/>
      <c r="M616" s="117">
        <f>IFERROR(IF(WEEKDAY($A616)&lt;&gt;1,HLOOKUP($B616,'SERVIÇOS NOTÁVEIS'!$23:$32,10,FALSE)*1.39,0),0)</f>
        <v>0</v>
      </c>
      <c r="O616" s="99"/>
      <c r="P616" s="10"/>
      <c r="R616" s="10"/>
      <c r="S616" s="10"/>
      <c r="U616" s="10"/>
    </row>
    <row r="617" spans="1:21" x14ac:dyDescent="0.35">
      <c r="A617" s="126">
        <f t="shared" si="20"/>
        <v>46636</v>
      </c>
      <c r="B617" s="118" t="str">
        <f t="shared" si="21"/>
        <v>set/27</v>
      </c>
      <c r="C617" s="115"/>
      <c r="D617" s="116"/>
      <c r="E617" s="118">
        <v>0</v>
      </c>
      <c r="F617" s="115"/>
      <c r="G617" s="116"/>
      <c r="H617" s="118">
        <v>0</v>
      </c>
      <c r="I617" s="115"/>
      <c r="J617" s="116"/>
      <c r="K617" s="9">
        <v>1923.0769230769231</v>
      </c>
      <c r="L617" s="127"/>
      <c r="M617" s="117">
        <f>IFERROR(IF(WEEKDAY($A617)&lt;&gt;1,HLOOKUP($B617,'SERVIÇOS NOTÁVEIS'!$23:$32,10,FALSE)*1.39,0),0)</f>
        <v>3376.7964999999986</v>
      </c>
      <c r="O617" s="99"/>
      <c r="P617" s="10"/>
      <c r="R617" s="10"/>
      <c r="S617" s="10"/>
      <c r="U617" s="10"/>
    </row>
    <row r="618" spans="1:21" x14ac:dyDescent="0.35">
      <c r="A618" s="126">
        <f t="shared" si="20"/>
        <v>46637</v>
      </c>
      <c r="B618" s="118" t="str">
        <f t="shared" si="21"/>
        <v>set/27</v>
      </c>
      <c r="C618" s="115"/>
      <c r="D618" s="116"/>
      <c r="E618" s="118">
        <v>0</v>
      </c>
      <c r="F618" s="115"/>
      <c r="G618" s="116"/>
      <c r="H618" s="118">
        <v>0</v>
      </c>
      <c r="I618" s="115"/>
      <c r="J618" s="116"/>
      <c r="K618" s="9">
        <v>1923.0769230769231</v>
      </c>
      <c r="L618" s="127"/>
      <c r="M618" s="117">
        <f>IFERROR(IF(WEEKDAY($A618)&lt;&gt;1,HLOOKUP($B618,'SERVIÇOS NOTÁVEIS'!$23:$32,10,FALSE)*1.39,0),0)</f>
        <v>3376.7964999999986</v>
      </c>
      <c r="O618" s="99"/>
      <c r="P618" s="10"/>
      <c r="R618" s="10"/>
      <c r="S618" s="10"/>
      <c r="U618" s="10"/>
    </row>
    <row r="619" spans="1:21" x14ac:dyDescent="0.35">
      <c r="A619" s="126">
        <f t="shared" si="20"/>
        <v>46638</v>
      </c>
      <c r="B619" s="118" t="str">
        <f t="shared" si="21"/>
        <v>set/27</v>
      </c>
      <c r="C619" s="115"/>
      <c r="D619" s="116"/>
      <c r="E619" s="118">
        <v>0</v>
      </c>
      <c r="F619" s="115"/>
      <c r="G619" s="116"/>
      <c r="H619" s="118">
        <v>0</v>
      </c>
      <c r="I619" s="115"/>
      <c r="J619" s="116"/>
      <c r="K619" s="9">
        <v>1923.0769230769231</v>
      </c>
      <c r="L619" s="127"/>
      <c r="M619" s="117">
        <f>IFERROR(IF(WEEKDAY($A619)&lt;&gt;1,HLOOKUP($B619,'SERVIÇOS NOTÁVEIS'!$23:$32,10,FALSE)*1.39,0),0)</f>
        <v>3376.7964999999986</v>
      </c>
      <c r="O619" s="99"/>
      <c r="P619" s="10"/>
      <c r="R619" s="10"/>
      <c r="S619" s="10"/>
      <c r="U619" s="10"/>
    </row>
    <row r="620" spans="1:21" x14ac:dyDescent="0.35">
      <c r="A620" s="126">
        <f t="shared" si="20"/>
        <v>46639</v>
      </c>
      <c r="B620" s="118" t="str">
        <f t="shared" si="21"/>
        <v>set/27</v>
      </c>
      <c r="C620" s="115"/>
      <c r="D620" s="116"/>
      <c r="E620" s="118">
        <v>0</v>
      </c>
      <c r="F620" s="115"/>
      <c r="G620" s="116"/>
      <c r="H620" s="118">
        <v>0</v>
      </c>
      <c r="I620" s="115"/>
      <c r="J620" s="116"/>
      <c r="K620" s="9">
        <v>1923.0769230769231</v>
      </c>
      <c r="L620" s="127"/>
      <c r="M620" s="117">
        <f>IFERROR(IF(WEEKDAY($A620)&lt;&gt;1,HLOOKUP($B620,'SERVIÇOS NOTÁVEIS'!$23:$32,10,FALSE)*1.39,0),0)</f>
        <v>3376.7964999999986</v>
      </c>
      <c r="O620" s="99"/>
      <c r="P620" s="10"/>
      <c r="R620" s="10"/>
      <c r="S620" s="10"/>
      <c r="U620" s="10"/>
    </row>
    <row r="621" spans="1:21" x14ac:dyDescent="0.35">
      <c r="A621" s="126">
        <f t="shared" si="20"/>
        <v>46640</v>
      </c>
      <c r="B621" s="118" t="str">
        <f t="shared" si="21"/>
        <v>set/27</v>
      </c>
      <c r="C621" s="115"/>
      <c r="D621" s="116"/>
      <c r="E621" s="118">
        <v>0</v>
      </c>
      <c r="F621" s="115"/>
      <c r="G621" s="116"/>
      <c r="H621" s="118">
        <v>0</v>
      </c>
      <c r="I621" s="115"/>
      <c r="J621" s="116"/>
      <c r="K621" s="9">
        <v>1923.0769230769231</v>
      </c>
      <c r="L621" s="127"/>
      <c r="M621" s="117">
        <f>IFERROR(IF(WEEKDAY($A621)&lt;&gt;1,HLOOKUP($B621,'SERVIÇOS NOTÁVEIS'!$23:$32,10,FALSE)*1.39,0),0)</f>
        <v>3376.7964999999986</v>
      </c>
      <c r="O621" s="99"/>
      <c r="P621" s="10"/>
      <c r="R621" s="10"/>
      <c r="S621" s="10"/>
      <c r="U621" s="10"/>
    </row>
    <row r="622" spans="1:21" x14ac:dyDescent="0.35">
      <c r="A622" s="126">
        <f t="shared" si="20"/>
        <v>46641</v>
      </c>
      <c r="B622" s="118" t="str">
        <f t="shared" si="21"/>
        <v>set/27</v>
      </c>
      <c r="C622" s="115"/>
      <c r="D622" s="116"/>
      <c r="E622" s="118">
        <v>0</v>
      </c>
      <c r="F622" s="115"/>
      <c r="G622" s="116"/>
      <c r="H622" s="118">
        <v>0</v>
      </c>
      <c r="I622" s="115"/>
      <c r="J622" s="116"/>
      <c r="K622" s="9">
        <v>1923.0769230769231</v>
      </c>
      <c r="L622" s="127"/>
      <c r="M622" s="117">
        <f>IFERROR(IF(WEEKDAY($A622)&lt;&gt;1,HLOOKUP($B622,'SERVIÇOS NOTÁVEIS'!$23:$32,10,FALSE)*1.39,0),0)</f>
        <v>3376.7964999999986</v>
      </c>
      <c r="O622" s="99"/>
      <c r="P622" s="10"/>
      <c r="R622" s="10"/>
      <c r="S622" s="10"/>
      <c r="U622" s="10"/>
    </row>
    <row r="623" spans="1:21" x14ac:dyDescent="0.35">
      <c r="A623" s="126">
        <f t="shared" si="20"/>
        <v>46642</v>
      </c>
      <c r="B623" s="118" t="str">
        <f t="shared" si="21"/>
        <v>set/27</v>
      </c>
      <c r="C623" s="115"/>
      <c r="D623" s="116"/>
      <c r="E623" s="118">
        <v>0</v>
      </c>
      <c r="F623" s="115"/>
      <c r="G623" s="116"/>
      <c r="H623" s="118">
        <v>0</v>
      </c>
      <c r="I623" s="115"/>
      <c r="J623" s="116"/>
      <c r="K623" s="9">
        <v>0</v>
      </c>
      <c r="L623" s="127"/>
      <c r="M623" s="117">
        <f>IFERROR(IF(WEEKDAY($A623)&lt;&gt;1,HLOOKUP($B623,'SERVIÇOS NOTÁVEIS'!$23:$32,10,FALSE)*1.39,0),0)</f>
        <v>0</v>
      </c>
      <c r="O623" s="99"/>
      <c r="P623" s="10"/>
      <c r="R623" s="10"/>
      <c r="S623" s="10"/>
      <c r="U623" s="10"/>
    </row>
    <row r="624" spans="1:21" x14ac:dyDescent="0.35">
      <c r="A624" s="126">
        <f t="shared" si="20"/>
        <v>46643</v>
      </c>
      <c r="B624" s="118" t="str">
        <f t="shared" si="21"/>
        <v>set/27</v>
      </c>
      <c r="C624" s="115"/>
      <c r="D624" s="116"/>
      <c r="E624" s="118">
        <v>0</v>
      </c>
      <c r="F624" s="115"/>
      <c r="G624" s="116"/>
      <c r="H624" s="118">
        <v>0</v>
      </c>
      <c r="I624" s="115"/>
      <c r="J624" s="116"/>
      <c r="K624" s="9">
        <v>1923.0769230769231</v>
      </c>
      <c r="L624" s="127"/>
      <c r="M624" s="117">
        <f>IFERROR(IF(WEEKDAY($A624)&lt;&gt;1,HLOOKUP($B624,'SERVIÇOS NOTÁVEIS'!$23:$32,10,FALSE)*1.39,0),0)</f>
        <v>3376.7964999999986</v>
      </c>
      <c r="O624" s="99"/>
      <c r="P624" s="10"/>
      <c r="R624" s="10"/>
      <c r="S624" s="10"/>
      <c r="U624" s="10"/>
    </row>
    <row r="625" spans="1:21" x14ac:dyDescent="0.35">
      <c r="A625" s="126">
        <f t="shared" si="20"/>
        <v>46644</v>
      </c>
      <c r="B625" s="118" t="str">
        <f t="shared" si="21"/>
        <v>set/27</v>
      </c>
      <c r="C625" s="115"/>
      <c r="D625" s="116"/>
      <c r="E625" s="118">
        <v>0</v>
      </c>
      <c r="F625" s="115"/>
      <c r="G625" s="116"/>
      <c r="H625" s="118">
        <v>0</v>
      </c>
      <c r="I625" s="115"/>
      <c r="J625" s="116"/>
      <c r="K625" s="9">
        <v>1923.0769230769231</v>
      </c>
      <c r="L625" s="127"/>
      <c r="M625" s="117">
        <f>IFERROR(IF(WEEKDAY($A625)&lt;&gt;1,HLOOKUP($B625,'SERVIÇOS NOTÁVEIS'!$23:$32,10,FALSE)*1.39,0),0)</f>
        <v>3376.7964999999986</v>
      </c>
      <c r="O625" s="99"/>
      <c r="P625" s="10"/>
      <c r="R625" s="10"/>
      <c r="S625" s="10"/>
      <c r="U625" s="10"/>
    </row>
    <row r="626" spans="1:21" x14ac:dyDescent="0.35">
      <c r="A626" s="126">
        <f t="shared" si="20"/>
        <v>46645</v>
      </c>
      <c r="B626" s="118" t="str">
        <f t="shared" si="21"/>
        <v>set/27</v>
      </c>
      <c r="C626" s="115"/>
      <c r="D626" s="116"/>
      <c r="E626" s="118">
        <v>0</v>
      </c>
      <c r="F626" s="115"/>
      <c r="G626" s="116"/>
      <c r="H626" s="118">
        <v>0</v>
      </c>
      <c r="I626" s="115"/>
      <c r="J626" s="116"/>
      <c r="K626" s="9">
        <v>1923.0769230769231</v>
      </c>
      <c r="L626" s="127"/>
      <c r="M626" s="117">
        <f>IFERROR(IF(WEEKDAY($A626)&lt;&gt;1,HLOOKUP($B626,'SERVIÇOS NOTÁVEIS'!$23:$32,10,FALSE)*1.39,0),0)</f>
        <v>3376.7964999999986</v>
      </c>
      <c r="O626" s="99"/>
      <c r="P626" s="10"/>
      <c r="R626" s="10"/>
      <c r="S626" s="10"/>
      <c r="U626" s="10"/>
    </row>
    <row r="627" spans="1:21" x14ac:dyDescent="0.35">
      <c r="A627" s="126">
        <f t="shared" si="20"/>
        <v>46646</v>
      </c>
      <c r="B627" s="118" t="str">
        <f t="shared" si="21"/>
        <v>set/27</v>
      </c>
      <c r="C627" s="115"/>
      <c r="D627" s="116"/>
      <c r="E627" s="118">
        <v>0</v>
      </c>
      <c r="F627" s="115"/>
      <c r="G627" s="116"/>
      <c r="H627" s="118">
        <v>0</v>
      </c>
      <c r="I627" s="115"/>
      <c r="J627" s="116"/>
      <c r="K627" s="9">
        <v>1923.0769230769231</v>
      </c>
      <c r="L627" s="127"/>
      <c r="M627" s="117">
        <f>IFERROR(IF(WEEKDAY($A627)&lt;&gt;1,HLOOKUP($B627,'SERVIÇOS NOTÁVEIS'!$23:$32,10,FALSE)*1.39,0),0)</f>
        <v>3376.7964999999986</v>
      </c>
      <c r="O627" s="99"/>
      <c r="P627" s="10"/>
      <c r="R627" s="10"/>
      <c r="S627" s="10"/>
      <c r="U627" s="10"/>
    </row>
    <row r="628" spans="1:21" x14ac:dyDescent="0.35">
      <c r="A628" s="126">
        <f t="shared" si="20"/>
        <v>46647</v>
      </c>
      <c r="B628" s="118" t="str">
        <f t="shared" si="21"/>
        <v>set/27</v>
      </c>
      <c r="C628" s="115"/>
      <c r="D628" s="116"/>
      <c r="E628" s="118">
        <v>0</v>
      </c>
      <c r="F628" s="115"/>
      <c r="G628" s="116"/>
      <c r="H628" s="118">
        <v>0</v>
      </c>
      <c r="I628" s="115"/>
      <c r="J628" s="116"/>
      <c r="K628" s="9">
        <v>1923.0769230769231</v>
      </c>
      <c r="L628" s="127"/>
      <c r="M628" s="117">
        <f>IFERROR(IF(WEEKDAY($A628)&lt;&gt;1,HLOOKUP($B628,'SERVIÇOS NOTÁVEIS'!$23:$32,10,FALSE)*1.39,0),0)</f>
        <v>3376.7964999999986</v>
      </c>
      <c r="O628" s="99"/>
      <c r="P628" s="10"/>
      <c r="R628" s="10"/>
      <c r="S628" s="10"/>
      <c r="U628" s="10"/>
    </row>
    <row r="629" spans="1:21" x14ac:dyDescent="0.35">
      <c r="A629" s="126">
        <f t="shared" si="20"/>
        <v>46648</v>
      </c>
      <c r="B629" s="118" t="str">
        <f t="shared" si="21"/>
        <v>set/27</v>
      </c>
      <c r="C629" s="115"/>
      <c r="D629" s="116"/>
      <c r="E629" s="118">
        <v>0</v>
      </c>
      <c r="F629" s="115"/>
      <c r="G629" s="116"/>
      <c r="H629" s="118">
        <v>0</v>
      </c>
      <c r="I629" s="115"/>
      <c r="J629" s="116"/>
      <c r="K629" s="9">
        <v>1923.0769230769231</v>
      </c>
      <c r="L629" s="127"/>
      <c r="M629" s="117">
        <f>IFERROR(IF(WEEKDAY($A629)&lt;&gt;1,HLOOKUP($B629,'SERVIÇOS NOTÁVEIS'!$23:$32,10,FALSE)*1.39,0),0)</f>
        <v>3376.7964999999986</v>
      </c>
      <c r="O629" s="99"/>
      <c r="P629" s="10"/>
      <c r="R629" s="10"/>
      <c r="S629" s="10"/>
      <c r="U629" s="10"/>
    </row>
    <row r="630" spans="1:21" x14ac:dyDescent="0.35">
      <c r="A630" s="126">
        <f t="shared" si="20"/>
        <v>46649</v>
      </c>
      <c r="B630" s="118" t="str">
        <f t="shared" si="21"/>
        <v>set/27</v>
      </c>
      <c r="C630" s="115"/>
      <c r="D630" s="116"/>
      <c r="E630" s="118">
        <v>0</v>
      </c>
      <c r="F630" s="115"/>
      <c r="G630" s="116"/>
      <c r="H630" s="118">
        <v>0</v>
      </c>
      <c r="I630" s="115"/>
      <c r="J630" s="116"/>
      <c r="K630" s="9">
        <v>0</v>
      </c>
      <c r="L630" s="127"/>
      <c r="M630" s="117">
        <f>IFERROR(IF(WEEKDAY($A630)&lt;&gt;1,HLOOKUP($B630,'SERVIÇOS NOTÁVEIS'!$23:$32,10,FALSE)*1.39,0),0)</f>
        <v>0</v>
      </c>
      <c r="O630" s="99"/>
      <c r="P630" s="10"/>
      <c r="R630" s="10"/>
      <c r="S630" s="10"/>
      <c r="U630" s="10"/>
    </row>
    <row r="631" spans="1:21" x14ac:dyDescent="0.35">
      <c r="A631" s="126">
        <f t="shared" si="20"/>
        <v>46650</v>
      </c>
      <c r="B631" s="118" t="str">
        <f t="shared" si="21"/>
        <v>set/27</v>
      </c>
      <c r="C631" s="115"/>
      <c r="D631" s="116"/>
      <c r="E631" s="118">
        <v>0</v>
      </c>
      <c r="F631" s="115"/>
      <c r="G631" s="116"/>
      <c r="H631" s="118">
        <v>0</v>
      </c>
      <c r="I631" s="115"/>
      <c r="J631" s="116"/>
      <c r="K631" s="9">
        <v>1923.0769230769231</v>
      </c>
      <c r="L631" s="127"/>
      <c r="M631" s="117">
        <f>IFERROR(IF(WEEKDAY($A631)&lt;&gt;1,HLOOKUP($B631,'SERVIÇOS NOTÁVEIS'!$23:$32,10,FALSE)*1.39,0),0)</f>
        <v>3376.7964999999986</v>
      </c>
      <c r="O631" s="99"/>
      <c r="P631" s="10"/>
      <c r="R631" s="10"/>
      <c r="S631" s="10"/>
      <c r="U631" s="10"/>
    </row>
    <row r="632" spans="1:21" x14ac:dyDescent="0.35">
      <c r="A632" s="126">
        <f t="shared" ref="A632:A695" si="22">A631+1</f>
        <v>46651</v>
      </c>
      <c r="B632" s="118" t="str">
        <f t="shared" si="21"/>
        <v>set/27</v>
      </c>
      <c r="C632" s="115"/>
      <c r="D632" s="116"/>
      <c r="E632" s="118">
        <v>0</v>
      </c>
      <c r="F632" s="115"/>
      <c r="G632" s="116"/>
      <c r="H632" s="118">
        <v>0</v>
      </c>
      <c r="I632" s="115"/>
      <c r="J632" s="116"/>
      <c r="K632" s="9">
        <v>1923.0769230769231</v>
      </c>
      <c r="L632" s="127"/>
      <c r="M632" s="117">
        <f>IFERROR(IF(WEEKDAY($A632)&lt;&gt;1,HLOOKUP($B632,'SERVIÇOS NOTÁVEIS'!$23:$32,10,FALSE)*1.39,0),0)</f>
        <v>3376.7964999999986</v>
      </c>
      <c r="O632" s="99"/>
      <c r="P632" s="10"/>
      <c r="R632" s="10"/>
      <c r="S632" s="10"/>
      <c r="U632" s="10"/>
    </row>
    <row r="633" spans="1:21" x14ac:dyDescent="0.35">
      <c r="A633" s="126">
        <f t="shared" si="22"/>
        <v>46652</v>
      </c>
      <c r="B633" s="118" t="str">
        <f t="shared" si="21"/>
        <v>set/27</v>
      </c>
      <c r="C633" s="115"/>
      <c r="D633" s="116"/>
      <c r="E633" s="118">
        <v>0</v>
      </c>
      <c r="F633" s="115"/>
      <c r="G633" s="116"/>
      <c r="H633" s="118">
        <v>0</v>
      </c>
      <c r="I633" s="115"/>
      <c r="J633" s="116"/>
      <c r="K633" s="9">
        <v>1923.0769230769231</v>
      </c>
      <c r="L633" s="127"/>
      <c r="M633" s="117">
        <f>IFERROR(IF(WEEKDAY($A633)&lt;&gt;1,HLOOKUP($B633,'SERVIÇOS NOTÁVEIS'!$23:$32,10,FALSE)*1.39,0),0)</f>
        <v>3376.7964999999986</v>
      </c>
      <c r="O633" s="99"/>
      <c r="P633" s="10"/>
      <c r="R633" s="10"/>
      <c r="S633" s="10"/>
      <c r="U633" s="10"/>
    </row>
    <row r="634" spans="1:21" x14ac:dyDescent="0.35">
      <c r="A634" s="126">
        <f t="shared" si="22"/>
        <v>46653</v>
      </c>
      <c r="B634" s="118" t="str">
        <f t="shared" si="21"/>
        <v>set/27</v>
      </c>
      <c r="C634" s="115"/>
      <c r="D634" s="116"/>
      <c r="E634" s="118">
        <v>0</v>
      </c>
      <c r="F634" s="115"/>
      <c r="G634" s="116"/>
      <c r="H634" s="118">
        <v>0</v>
      </c>
      <c r="I634" s="115"/>
      <c r="J634" s="116"/>
      <c r="K634" s="9">
        <v>1923.0769230769231</v>
      </c>
      <c r="L634" s="127"/>
      <c r="M634" s="117">
        <f>IFERROR(IF(WEEKDAY($A634)&lt;&gt;1,HLOOKUP($B634,'SERVIÇOS NOTÁVEIS'!$23:$32,10,FALSE)*1.39,0),0)</f>
        <v>3376.7964999999986</v>
      </c>
      <c r="O634" s="99"/>
      <c r="P634" s="10"/>
      <c r="R634" s="10"/>
      <c r="S634" s="10"/>
      <c r="U634" s="10"/>
    </row>
    <row r="635" spans="1:21" x14ac:dyDescent="0.35">
      <c r="A635" s="126">
        <f t="shared" si="22"/>
        <v>46654</v>
      </c>
      <c r="B635" s="118" t="str">
        <f t="shared" si="21"/>
        <v>set/27</v>
      </c>
      <c r="C635" s="115"/>
      <c r="D635" s="116"/>
      <c r="E635" s="118">
        <v>0</v>
      </c>
      <c r="F635" s="115"/>
      <c r="G635" s="116"/>
      <c r="H635" s="118">
        <v>0</v>
      </c>
      <c r="I635" s="115"/>
      <c r="J635" s="116"/>
      <c r="K635" s="9">
        <v>1923.0769230769231</v>
      </c>
      <c r="L635" s="127"/>
      <c r="M635" s="117">
        <f>IFERROR(IF(WEEKDAY($A635)&lt;&gt;1,HLOOKUP($B635,'SERVIÇOS NOTÁVEIS'!$23:$32,10,FALSE)*1.39,0),0)</f>
        <v>3376.7964999999986</v>
      </c>
      <c r="O635" s="99"/>
      <c r="P635" s="10"/>
      <c r="R635" s="10"/>
      <c r="S635" s="10"/>
      <c r="U635" s="10"/>
    </row>
    <row r="636" spans="1:21" x14ac:dyDescent="0.35">
      <c r="A636" s="126">
        <f t="shared" si="22"/>
        <v>46655</v>
      </c>
      <c r="B636" s="118" t="str">
        <f t="shared" si="21"/>
        <v>set/27</v>
      </c>
      <c r="C636" s="115"/>
      <c r="D636" s="116"/>
      <c r="E636" s="118">
        <v>0</v>
      </c>
      <c r="F636" s="115"/>
      <c r="G636" s="116"/>
      <c r="H636" s="118">
        <v>0</v>
      </c>
      <c r="I636" s="115"/>
      <c r="J636" s="116"/>
      <c r="K636" s="9">
        <v>1923.0769230769231</v>
      </c>
      <c r="L636" s="127"/>
      <c r="M636" s="117">
        <f>IFERROR(IF(WEEKDAY($A636)&lt;&gt;1,HLOOKUP($B636,'SERVIÇOS NOTÁVEIS'!$23:$32,10,FALSE)*1.39,0),0)</f>
        <v>3376.7964999999986</v>
      </c>
      <c r="O636" s="99"/>
      <c r="P636" s="10"/>
      <c r="R636" s="10"/>
      <c r="S636" s="10"/>
      <c r="U636" s="10"/>
    </row>
    <row r="637" spans="1:21" x14ac:dyDescent="0.35">
      <c r="A637" s="126">
        <f t="shared" si="22"/>
        <v>46656</v>
      </c>
      <c r="B637" s="118" t="str">
        <f t="shared" si="21"/>
        <v>set/27</v>
      </c>
      <c r="C637" s="115"/>
      <c r="D637" s="116"/>
      <c r="E637" s="118">
        <v>0</v>
      </c>
      <c r="F637" s="115"/>
      <c r="G637" s="116"/>
      <c r="H637" s="118">
        <v>0</v>
      </c>
      <c r="I637" s="115"/>
      <c r="J637" s="116"/>
      <c r="K637" s="9">
        <v>0</v>
      </c>
      <c r="L637" s="127"/>
      <c r="M637" s="117">
        <f>IFERROR(IF(WEEKDAY($A637)&lt;&gt;1,HLOOKUP($B637,'SERVIÇOS NOTÁVEIS'!$23:$32,10,FALSE)*1.39,0),0)</f>
        <v>0</v>
      </c>
      <c r="O637" s="99"/>
      <c r="P637" s="10"/>
      <c r="R637" s="10"/>
      <c r="S637" s="10"/>
      <c r="U637" s="10"/>
    </row>
    <row r="638" spans="1:21" x14ac:dyDescent="0.35">
      <c r="A638" s="126">
        <f t="shared" si="22"/>
        <v>46657</v>
      </c>
      <c r="B638" s="118" t="str">
        <f t="shared" si="21"/>
        <v>set/27</v>
      </c>
      <c r="C638" s="115"/>
      <c r="D638" s="116"/>
      <c r="E638" s="118">
        <v>0</v>
      </c>
      <c r="F638" s="115"/>
      <c r="G638" s="116"/>
      <c r="H638" s="118">
        <v>0</v>
      </c>
      <c r="I638" s="115"/>
      <c r="J638" s="116"/>
      <c r="K638" s="9">
        <v>1923.0769230769231</v>
      </c>
      <c r="L638" s="127"/>
      <c r="M638" s="117">
        <f>IFERROR(IF(WEEKDAY($A638)&lt;&gt;1,HLOOKUP($B638,'SERVIÇOS NOTÁVEIS'!$23:$32,10,FALSE)*1.39,0),0)</f>
        <v>3376.7964999999986</v>
      </c>
      <c r="O638" s="99"/>
      <c r="P638" s="10"/>
      <c r="R638" s="10"/>
      <c r="S638" s="10"/>
      <c r="U638" s="10"/>
    </row>
    <row r="639" spans="1:21" x14ac:dyDescent="0.35">
      <c r="A639" s="126">
        <f t="shared" si="22"/>
        <v>46658</v>
      </c>
      <c r="B639" s="118" t="str">
        <f t="shared" si="21"/>
        <v>set/27</v>
      </c>
      <c r="C639" s="115"/>
      <c r="D639" s="116"/>
      <c r="E639" s="118">
        <v>0</v>
      </c>
      <c r="F639" s="115"/>
      <c r="G639" s="116"/>
      <c r="H639" s="118">
        <v>0</v>
      </c>
      <c r="I639" s="115"/>
      <c r="J639" s="116"/>
      <c r="K639" s="9">
        <v>1923.0769230769231</v>
      </c>
      <c r="L639" s="127"/>
      <c r="M639" s="117">
        <f>IFERROR(IF(WEEKDAY($A639)&lt;&gt;1,HLOOKUP($B639,'SERVIÇOS NOTÁVEIS'!$23:$32,10,FALSE)*1.39,0),0)</f>
        <v>3376.7964999999986</v>
      </c>
      <c r="O639" s="99"/>
      <c r="P639" s="10"/>
      <c r="R639" s="10"/>
      <c r="S639" s="10"/>
      <c r="U639" s="10"/>
    </row>
    <row r="640" spans="1:21" x14ac:dyDescent="0.35">
      <c r="A640" s="126">
        <f t="shared" si="22"/>
        <v>46659</v>
      </c>
      <c r="B640" s="118" t="str">
        <f t="shared" si="21"/>
        <v>set/27</v>
      </c>
      <c r="C640" s="115"/>
      <c r="D640" s="116"/>
      <c r="E640" s="118">
        <v>0</v>
      </c>
      <c r="F640" s="115"/>
      <c r="G640" s="116"/>
      <c r="H640" s="118">
        <v>0</v>
      </c>
      <c r="I640" s="115"/>
      <c r="J640" s="116"/>
      <c r="K640" s="9">
        <v>1923.0769230769231</v>
      </c>
      <c r="L640" s="127"/>
      <c r="M640" s="117">
        <f>IFERROR(IF(WEEKDAY($A640)&lt;&gt;1,HLOOKUP($B640,'SERVIÇOS NOTÁVEIS'!$23:$32,10,FALSE)*1.39,0),0)</f>
        <v>3376.7964999999986</v>
      </c>
      <c r="O640" s="99"/>
      <c r="P640" s="10"/>
      <c r="R640" s="10"/>
      <c r="S640" s="10"/>
      <c r="U640" s="10"/>
    </row>
    <row r="641" spans="1:21" x14ac:dyDescent="0.35">
      <c r="A641" s="126">
        <f t="shared" si="22"/>
        <v>46660</v>
      </c>
      <c r="B641" s="118" t="str">
        <f t="shared" si="21"/>
        <v>set/27</v>
      </c>
      <c r="C641" s="115"/>
      <c r="D641" s="116"/>
      <c r="E641" s="118">
        <v>0</v>
      </c>
      <c r="F641" s="115"/>
      <c r="G641" s="116"/>
      <c r="H641" s="118">
        <v>0</v>
      </c>
      <c r="I641" s="115"/>
      <c r="J641" s="116"/>
      <c r="K641" s="9">
        <v>1923.0769230769231</v>
      </c>
      <c r="L641" s="127"/>
      <c r="M641" s="117">
        <f>IFERROR(IF(WEEKDAY($A641)&lt;&gt;1,HLOOKUP($B641,'SERVIÇOS NOTÁVEIS'!$23:$32,10,FALSE)*1.39,0),0)</f>
        <v>3376.7964999999986</v>
      </c>
      <c r="O641" s="99"/>
      <c r="P641" s="10"/>
      <c r="R641" s="10"/>
      <c r="S641" s="10"/>
      <c r="U641" s="10"/>
    </row>
    <row r="642" spans="1:21" x14ac:dyDescent="0.35">
      <c r="A642" s="126">
        <f t="shared" si="22"/>
        <v>46661</v>
      </c>
      <c r="B642" s="118" t="str">
        <f t="shared" si="21"/>
        <v>out/27</v>
      </c>
      <c r="C642" s="115"/>
      <c r="D642" s="116"/>
      <c r="E642" s="118">
        <v>0</v>
      </c>
      <c r="F642" s="115"/>
      <c r="G642" s="116"/>
      <c r="H642" s="118">
        <v>0</v>
      </c>
      <c r="I642" s="115"/>
      <c r="J642" s="116"/>
      <c r="K642" s="9">
        <v>0</v>
      </c>
      <c r="L642" s="127"/>
      <c r="M642" s="117">
        <f>IFERROR(IF(WEEKDAY($A642)&lt;&gt;1,HLOOKUP($B642,'SERVIÇOS NOTÁVEIS'!$23:$32,10,FALSE)*1.39,0),0)</f>
        <v>0</v>
      </c>
      <c r="O642" s="99"/>
      <c r="P642" s="10"/>
      <c r="R642" s="10"/>
      <c r="S642" s="10"/>
      <c r="U642" s="10"/>
    </row>
    <row r="643" spans="1:21" x14ac:dyDescent="0.35">
      <c r="A643" s="126">
        <f t="shared" si="22"/>
        <v>46662</v>
      </c>
      <c r="B643" s="118" t="str">
        <f t="shared" si="21"/>
        <v>out/27</v>
      </c>
      <c r="C643" s="115"/>
      <c r="D643" s="116"/>
      <c r="E643" s="118">
        <v>0</v>
      </c>
      <c r="F643" s="115"/>
      <c r="G643" s="116"/>
      <c r="H643" s="118">
        <v>0</v>
      </c>
      <c r="I643" s="115"/>
      <c r="J643" s="116"/>
      <c r="K643" s="9">
        <v>0</v>
      </c>
      <c r="L643" s="127"/>
      <c r="M643" s="117">
        <f>IFERROR(IF(WEEKDAY($A643)&lt;&gt;1,HLOOKUP($B643,'SERVIÇOS NOTÁVEIS'!$23:$32,10,FALSE)*1.39,0),0)</f>
        <v>0</v>
      </c>
      <c r="O643" s="99"/>
      <c r="P643" s="10"/>
      <c r="R643" s="10"/>
      <c r="S643" s="10"/>
      <c r="U643" s="10"/>
    </row>
    <row r="644" spans="1:21" x14ac:dyDescent="0.35">
      <c r="A644" s="126">
        <f t="shared" si="22"/>
        <v>46663</v>
      </c>
      <c r="B644" s="118" t="str">
        <f t="shared" si="21"/>
        <v>out/27</v>
      </c>
      <c r="C644" s="115"/>
      <c r="D644" s="116"/>
      <c r="E644" s="118">
        <v>0</v>
      </c>
      <c r="F644" s="115"/>
      <c r="G644" s="116"/>
      <c r="H644" s="118">
        <v>0</v>
      </c>
      <c r="I644" s="115"/>
      <c r="J644" s="116"/>
      <c r="K644" s="9">
        <v>0</v>
      </c>
      <c r="L644" s="127"/>
      <c r="M644" s="117">
        <f>IFERROR(IF(WEEKDAY($A644)&lt;&gt;1,HLOOKUP($B644,'SERVIÇOS NOTÁVEIS'!$23:$32,10,FALSE)*1.39,0),0)</f>
        <v>0</v>
      </c>
      <c r="O644" s="99"/>
      <c r="P644" s="10"/>
      <c r="R644" s="10"/>
      <c r="S644" s="10"/>
      <c r="U644" s="10"/>
    </row>
    <row r="645" spans="1:21" x14ac:dyDescent="0.35">
      <c r="A645" s="126">
        <f t="shared" si="22"/>
        <v>46664</v>
      </c>
      <c r="B645" s="118" t="str">
        <f t="shared" ref="B645:B708" si="23">TEXT(A645,"MMM/AA")</f>
        <v>out/27</v>
      </c>
      <c r="C645" s="115"/>
      <c r="D645" s="116"/>
      <c r="E645" s="118">
        <v>0</v>
      </c>
      <c r="F645" s="115"/>
      <c r="G645" s="116"/>
      <c r="H645" s="118">
        <v>0</v>
      </c>
      <c r="I645" s="115"/>
      <c r="J645" s="116"/>
      <c r="K645" s="9">
        <v>0</v>
      </c>
      <c r="L645" s="127"/>
      <c r="M645" s="117">
        <f>IFERROR(IF(WEEKDAY($A645)&lt;&gt;1,HLOOKUP($B645,'SERVIÇOS NOTÁVEIS'!$23:$32,10,FALSE)*1.39,0),0)</f>
        <v>0</v>
      </c>
      <c r="O645" s="99"/>
      <c r="P645" s="10"/>
      <c r="R645" s="10"/>
      <c r="S645" s="10"/>
      <c r="U645" s="10"/>
    </row>
    <row r="646" spans="1:21" x14ac:dyDescent="0.35">
      <c r="A646" s="126">
        <f t="shared" si="22"/>
        <v>46665</v>
      </c>
      <c r="B646" s="118" t="str">
        <f t="shared" si="23"/>
        <v>out/27</v>
      </c>
      <c r="C646" s="115"/>
      <c r="D646" s="116"/>
      <c r="E646" s="118">
        <v>0</v>
      </c>
      <c r="F646" s="115"/>
      <c r="G646" s="116"/>
      <c r="H646" s="118">
        <v>0</v>
      </c>
      <c r="I646" s="115"/>
      <c r="J646" s="116"/>
      <c r="K646" s="9">
        <v>0</v>
      </c>
      <c r="L646" s="127"/>
      <c r="M646" s="117">
        <f>IFERROR(IF(WEEKDAY($A646)&lt;&gt;1,HLOOKUP($B646,'SERVIÇOS NOTÁVEIS'!$23:$32,10,FALSE)*1.39,0),0)</f>
        <v>0</v>
      </c>
      <c r="O646" s="99"/>
      <c r="P646" s="10"/>
      <c r="R646" s="10"/>
      <c r="S646" s="10"/>
      <c r="U646" s="10"/>
    </row>
    <row r="647" spans="1:21" x14ac:dyDescent="0.35">
      <c r="A647" s="126">
        <f t="shared" si="22"/>
        <v>46666</v>
      </c>
      <c r="B647" s="118" t="str">
        <f t="shared" si="23"/>
        <v>out/27</v>
      </c>
      <c r="C647" s="115"/>
      <c r="D647" s="116"/>
      <c r="E647" s="118">
        <v>0</v>
      </c>
      <c r="F647" s="115"/>
      <c r="G647" s="116"/>
      <c r="H647" s="118">
        <v>0</v>
      </c>
      <c r="I647" s="115"/>
      <c r="J647" s="116"/>
      <c r="K647" s="9">
        <v>0</v>
      </c>
      <c r="L647" s="127"/>
      <c r="M647" s="117">
        <f>IFERROR(IF(WEEKDAY($A647)&lt;&gt;1,HLOOKUP($B647,'SERVIÇOS NOTÁVEIS'!$23:$32,10,FALSE)*1.39,0),0)</f>
        <v>0</v>
      </c>
      <c r="O647" s="99"/>
      <c r="P647" s="10"/>
      <c r="R647" s="10"/>
      <c r="S647" s="10"/>
      <c r="U647" s="10"/>
    </row>
    <row r="648" spans="1:21" x14ac:dyDescent="0.35">
      <c r="A648" s="126">
        <f t="shared" si="22"/>
        <v>46667</v>
      </c>
      <c r="B648" s="118" t="str">
        <f t="shared" si="23"/>
        <v>out/27</v>
      </c>
      <c r="C648" s="115"/>
      <c r="D648" s="116"/>
      <c r="E648" s="118">
        <v>0</v>
      </c>
      <c r="F648" s="115"/>
      <c r="G648" s="116"/>
      <c r="H648" s="118">
        <v>0</v>
      </c>
      <c r="I648" s="115"/>
      <c r="J648" s="116"/>
      <c r="K648" s="9">
        <v>0</v>
      </c>
      <c r="L648" s="127"/>
      <c r="M648" s="117">
        <f>IFERROR(IF(WEEKDAY($A648)&lt;&gt;1,HLOOKUP($B648,'SERVIÇOS NOTÁVEIS'!$23:$32,10,FALSE)*1.39,0),0)</f>
        <v>0</v>
      </c>
      <c r="O648" s="99"/>
      <c r="P648" s="10"/>
      <c r="R648" s="10"/>
      <c r="S648" s="10"/>
      <c r="U648" s="10"/>
    </row>
    <row r="649" spans="1:21" x14ac:dyDescent="0.35">
      <c r="A649" s="126">
        <f t="shared" si="22"/>
        <v>46668</v>
      </c>
      <c r="B649" s="118" t="str">
        <f t="shared" si="23"/>
        <v>out/27</v>
      </c>
      <c r="C649" s="115"/>
      <c r="D649" s="116"/>
      <c r="E649" s="118">
        <v>0</v>
      </c>
      <c r="F649" s="115"/>
      <c r="G649" s="116"/>
      <c r="H649" s="118">
        <v>0</v>
      </c>
      <c r="I649" s="115"/>
      <c r="J649" s="116"/>
      <c r="K649" s="9">
        <v>0</v>
      </c>
      <c r="L649" s="127"/>
      <c r="M649" s="117">
        <f>IFERROR(IF(WEEKDAY($A649)&lt;&gt;1,HLOOKUP($B649,'SERVIÇOS NOTÁVEIS'!$23:$32,10,FALSE)*1.39,0),0)</f>
        <v>0</v>
      </c>
      <c r="O649" s="99"/>
      <c r="P649" s="10"/>
      <c r="R649" s="10"/>
      <c r="S649" s="10"/>
      <c r="U649" s="10"/>
    </row>
    <row r="650" spans="1:21" x14ac:dyDescent="0.35">
      <c r="A650" s="126">
        <f t="shared" si="22"/>
        <v>46669</v>
      </c>
      <c r="B650" s="118" t="str">
        <f t="shared" si="23"/>
        <v>out/27</v>
      </c>
      <c r="C650" s="115"/>
      <c r="D650" s="116"/>
      <c r="E650" s="118">
        <v>0</v>
      </c>
      <c r="F650" s="115"/>
      <c r="G650" s="116"/>
      <c r="H650" s="118">
        <v>0</v>
      </c>
      <c r="I650" s="115"/>
      <c r="J650" s="116"/>
      <c r="K650" s="9">
        <v>0</v>
      </c>
      <c r="L650" s="127"/>
      <c r="M650" s="117">
        <f>IFERROR(IF(WEEKDAY($A650)&lt;&gt;1,HLOOKUP($B650,'SERVIÇOS NOTÁVEIS'!$23:$32,10,FALSE)*1.39,0),0)</f>
        <v>0</v>
      </c>
      <c r="O650" s="99"/>
      <c r="P650" s="10"/>
      <c r="R650" s="10"/>
      <c r="S650" s="10"/>
      <c r="U650" s="10"/>
    </row>
    <row r="651" spans="1:21" x14ac:dyDescent="0.35">
      <c r="A651" s="126">
        <f t="shared" si="22"/>
        <v>46670</v>
      </c>
      <c r="B651" s="118" t="str">
        <f t="shared" si="23"/>
        <v>out/27</v>
      </c>
      <c r="C651" s="115"/>
      <c r="D651" s="116"/>
      <c r="E651" s="118">
        <v>0</v>
      </c>
      <c r="F651" s="115"/>
      <c r="G651" s="116"/>
      <c r="H651" s="118">
        <v>0</v>
      </c>
      <c r="I651" s="115"/>
      <c r="J651" s="116"/>
      <c r="K651" s="9">
        <v>0</v>
      </c>
      <c r="L651" s="127"/>
      <c r="M651" s="117">
        <f>IFERROR(IF(WEEKDAY($A651)&lt;&gt;1,HLOOKUP($B651,'SERVIÇOS NOTÁVEIS'!$23:$32,10,FALSE)*1.39,0),0)</f>
        <v>0</v>
      </c>
      <c r="O651" s="99"/>
      <c r="P651" s="10"/>
      <c r="R651" s="10"/>
      <c r="S651" s="10"/>
      <c r="U651" s="10"/>
    </row>
    <row r="652" spans="1:21" x14ac:dyDescent="0.35">
      <c r="A652" s="126">
        <f t="shared" si="22"/>
        <v>46671</v>
      </c>
      <c r="B652" s="118" t="str">
        <f t="shared" si="23"/>
        <v>out/27</v>
      </c>
      <c r="C652" s="115"/>
      <c r="D652" s="116"/>
      <c r="E652" s="118">
        <v>0</v>
      </c>
      <c r="F652" s="115"/>
      <c r="G652" s="116"/>
      <c r="H652" s="118">
        <v>0</v>
      </c>
      <c r="I652" s="115"/>
      <c r="J652" s="116"/>
      <c r="K652" s="9">
        <v>0</v>
      </c>
      <c r="L652" s="127"/>
      <c r="M652" s="117">
        <f>IFERROR(IF(WEEKDAY($A652)&lt;&gt;1,HLOOKUP($B652,'SERVIÇOS NOTÁVEIS'!$23:$32,10,FALSE)*1.39,0),0)</f>
        <v>0</v>
      </c>
      <c r="O652" s="99"/>
      <c r="P652" s="10"/>
      <c r="R652" s="10"/>
      <c r="S652" s="10"/>
      <c r="U652" s="10"/>
    </row>
    <row r="653" spans="1:21" x14ac:dyDescent="0.35">
      <c r="A653" s="126">
        <f t="shared" si="22"/>
        <v>46672</v>
      </c>
      <c r="B653" s="118" t="str">
        <f t="shared" si="23"/>
        <v>out/27</v>
      </c>
      <c r="C653" s="115"/>
      <c r="D653" s="116"/>
      <c r="E653" s="118">
        <v>0</v>
      </c>
      <c r="F653" s="115"/>
      <c r="G653" s="116"/>
      <c r="H653" s="118">
        <v>0</v>
      </c>
      <c r="I653" s="115"/>
      <c r="J653" s="116"/>
      <c r="K653" s="9">
        <v>0</v>
      </c>
      <c r="L653" s="127"/>
      <c r="M653" s="117">
        <f>IFERROR(IF(WEEKDAY($A653)&lt;&gt;1,HLOOKUP($B653,'SERVIÇOS NOTÁVEIS'!$23:$32,10,FALSE)*1.39,0),0)</f>
        <v>0</v>
      </c>
      <c r="O653" s="99"/>
      <c r="P653" s="10"/>
      <c r="R653" s="10"/>
      <c r="S653" s="10"/>
      <c r="U653" s="10"/>
    </row>
    <row r="654" spans="1:21" x14ac:dyDescent="0.35">
      <c r="A654" s="126">
        <f t="shared" si="22"/>
        <v>46673</v>
      </c>
      <c r="B654" s="118" t="str">
        <f t="shared" si="23"/>
        <v>out/27</v>
      </c>
      <c r="C654" s="115"/>
      <c r="D654" s="116"/>
      <c r="E654" s="118">
        <v>0</v>
      </c>
      <c r="F654" s="115"/>
      <c r="G654" s="116"/>
      <c r="H654" s="118">
        <v>0</v>
      </c>
      <c r="I654" s="115"/>
      <c r="J654" s="116"/>
      <c r="K654" s="9">
        <v>0</v>
      </c>
      <c r="L654" s="127"/>
      <c r="M654" s="117">
        <f>IFERROR(IF(WEEKDAY($A654)&lt;&gt;1,HLOOKUP($B654,'SERVIÇOS NOTÁVEIS'!$23:$32,10,FALSE)*1.39,0),0)</f>
        <v>0</v>
      </c>
      <c r="O654" s="99"/>
      <c r="P654" s="10"/>
      <c r="R654" s="10"/>
      <c r="S654" s="10"/>
      <c r="U654" s="10"/>
    </row>
    <row r="655" spans="1:21" x14ac:dyDescent="0.35">
      <c r="A655" s="126">
        <f t="shared" si="22"/>
        <v>46674</v>
      </c>
      <c r="B655" s="118" t="str">
        <f t="shared" si="23"/>
        <v>out/27</v>
      </c>
      <c r="C655" s="115"/>
      <c r="D655" s="116"/>
      <c r="E655" s="118">
        <v>0</v>
      </c>
      <c r="F655" s="115"/>
      <c r="G655" s="116"/>
      <c r="H655" s="118">
        <v>0</v>
      </c>
      <c r="I655" s="115"/>
      <c r="J655" s="116"/>
      <c r="K655" s="9">
        <v>0</v>
      </c>
      <c r="L655" s="127"/>
      <c r="M655" s="117">
        <f>IFERROR(IF(WEEKDAY($A655)&lt;&gt;1,HLOOKUP($B655,'SERVIÇOS NOTÁVEIS'!$23:$32,10,FALSE)*1.39,0),0)</f>
        <v>0</v>
      </c>
      <c r="O655" s="99"/>
      <c r="P655" s="10"/>
      <c r="R655" s="10"/>
      <c r="S655" s="10"/>
      <c r="U655" s="10"/>
    </row>
    <row r="656" spans="1:21" x14ac:dyDescent="0.35">
      <c r="A656" s="126">
        <f t="shared" si="22"/>
        <v>46675</v>
      </c>
      <c r="B656" s="118" t="str">
        <f t="shared" si="23"/>
        <v>out/27</v>
      </c>
      <c r="C656" s="115"/>
      <c r="D656" s="116"/>
      <c r="E656" s="118">
        <v>0</v>
      </c>
      <c r="F656" s="115"/>
      <c r="G656" s="116"/>
      <c r="H656" s="118">
        <v>0</v>
      </c>
      <c r="I656" s="115"/>
      <c r="J656" s="116"/>
      <c r="K656" s="9">
        <v>0</v>
      </c>
      <c r="L656" s="127"/>
      <c r="M656" s="117">
        <f>IFERROR(IF(WEEKDAY($A656)&lt;&gt;1,HLOOKUP($B656,'SERVIÇOS NOTÁVEIS'!$23:$32,10,FALSE)*1.39,0),0)</f>
        <v>0</v>
      </c>
      <c r="O656" s="99"/>
      <c r="P656" s="10"/>
      <c r="R656" s="10"/>
      <c r="S656" s="10"/>
      <c r="U656" s="10"/>
    </row>
    <row r="657" spans="1:21" x14ac:dyDescent="0.35">
      <c r="A657" s="126">
        <f t="shared" si="22"/>
        <v>46676</v>
      </c>
      <c r="B657" s="118" t="str">
        <f t="shared" si="23"/>
        <v>out/27</v>
      </c>
      <c r="C657" s="115"/>
      <c r="D657" s="116"/>
      <c r="E657" s="118">
        <v>0</v>
      </c>
      <c r="F657" s="115"/>
      <c r="G657" s="116"/>
      <c r="H657" s="118">
        <v>0</v>
      </c>
      <c r="I657" s="115"/>
      <c r="J657" s="116"/>
      <c r="K657" s="9">
        <v>0</v>
      </c>
      <c r="L657" s="127"/>
      <c r="M657" s="117">
        <f>IFERROR(IF(WEEKDAY($A657)&lt;&gt;1,HLOOKUP($B657,'SERVIÇOS NOTÁVEIS'!$23:$32,10,FALSE)*1.39,0),0)</f>
        <v>0</v>
      </c>
      <c r="O657" s="99"/>
      <c r="P657" s="10"/>
      <c r="R657" s="10"/>
      <c r="S657" s="10"/>
      <c r="U657" s="10"/>
    </row>
    <row r="658" spans="1:21" x14ac:dyDescent="0.35">
      <c r="A658" s="126">
        <f t="shared" si="22"/>
        <v>46677</v>
      </c>
      <c r="B658" s="118" t="str">
        <f t="shared" si="23"/>
        <v>out/27</v>
      </c>
      <c r="C658" s="115"/>
      <c r="D658" s="116"/>
      <c r="E658" s="118">
        <v>0</v>
      </c>
      <c r="F658" s="115"/>
      <c r="G658" s="116"/>
      <c r="H658" s="118">
        <v>0</v>
      </c>
      <c r="I658" s="115"/>
      <c r="J658" s="116"/>
      <c r="K658" s="9">
        <v>0</v>
      </c>
      <c r="L658" s="127"/>
      <c r="M658" s="117">
        <f>IFERROR(IF(WEEKDAY($A658)&lt;&gt;1,HLOOKUP($B658,'SERVIÇOS NOTÁVEIS'!$23:$32,10,FALSE)*1.39,0),0)</f>
        <v>0</v>
      </c>
      <c r="O658" s="99"/>
      <c r="P658" s="10"/>
      <c r="R658" s="10"/>
      <c r="S658" s="10"/>
      <c r="U658" s="10"/>
    </row>
    <row r="659" spans="1:21" x14ac:dyDescent="0.35">
      <c r="A659" s="126">
        <f t="shared" si="22"/>
        <v>46678</v>
      </c>
      <c r="B659" s="118" t="str">
        <f t="shared" si="23"/>
        <v>out/27</v>
      </c>
      <c r="C659" s="115"/>
      <c r="D659" s="116"/>
      <c r="E659" s="118">
        <v>0</v>
      </c>
      <c r="F659" s="115"/>
      <c r="G659" s="116"/>
      <c r="H659" s="118">
        <v>0</v>
      </c>
      <c r="I659" s="115"/>
      <c r="J659" s="116"/>
      <c r="K659" s="9">
        <v>0</v>
      </c>
      <c r="L659" s="127"/>
      <c r="M659" s="117">
        <f>IFERROR(IF(WEEKDAY($A659)&lt;&gt;1,HLOOKUP($B659,'SERVIÇOS NOTÁVEIS'!$23:$32,10,FALSE)*1.39,0),0)</f>
        <v>0</v>
      </c>
      <c r="O659" s="99"/>
      <c r="P659" s="10"/>
      <c r="R659" s="10"/>
      <c r="S659" s="10"/>
      <c r="U659" s="10"/>
    </row>
    <row r="660" spans="1:21" x14ac:dyDescent="0.35">
      <c r="A660" s="126">
        <f t="shared" si="22"/>
        <v>46679</v>
      </c>
      <c r="B660" s="118" t="str">
        <f t="shared" si="23"/>
        <v>out/27</v>
      </c>
      <c r="C660" s="115"/>
      <c r="D660" s="116"/>
      <c r="E660" s="118">
        <v>0</v>
      </c>
      <c r="F660" s="115"/>
      <c r="G660" s="116"/>
      <c r="H660" s="118">
        <v>0</v>
      </c>
      <c r="I660" s="115"/>
      <c r="J660" s="116"/>
      <c r="K660" s="9">
        <v>0</v>
      </c>
      <c r="L660" s="127"/>
      <c r="M660" s="117">
        <f>IFERROR(IF(WEEKDAY($A660)&lt;&gt;1,HLOOKUP($B660,'SERVIÇOS NOTÁVEIS'!$23:$32,10,FALSE)*1.39,0),0)</f>
        <v>0</v>
      </c>
      <c r="O660" s="99"/>
      <c r="P660" s="10"/>
      <c r="R660" s="10"/>
      <c r="S660" s="10"/>
      <c r="U660" s="10"/>
    </row>
    <row r="661" spans="1:21" x14ac:dyDescent="0.35">
      <c r="A661" s="126">
        <f t="shared" si="22"/>
        <v>46680</v>
      </c>
      <c r="B661" s="118" t="str">
        <f t="shared" si="23"/>
        <v>out/27</v>
      </c>
      <c r="C661" s="115"/>
      <c r="D661" s="116"/>
      <c r="E661" s="118">
        <v>0</v>
      </c>
      <c r="F661" s="115"/>
      <c r="G661" s="116"/>
      <c r="H661" s="118">
        <v>0</v>
      </c>
      <c r="I661" s="115"/>
      <c r="J661" s="116"/>
      <c r="K661" s="9">
        <v>0</v>
      </c>
      <c r="L661" s="127"/>
      <c r="M661" s="117">
        <f>IFERROR(IF(WEEKDAY($A661)&lt;&gt;1,HLOOKUP($B661,'SERVIÇOS NOTÁVEIS'!$23:$32,10,FALSE)*1.39,0),0)</f>
        <v>0</v>
      </c>
      <c r="O661" s="99"/>
      <c r="P661" s="10"/>
      <c r="R661" s="10"/>
      <c r="S661" s="10"/>
      <c r="U661" s="10"/>
    </row>
    <row r="662" spans="1:21" x14ac:dyDescent="0.35">
      <c r="A662" s="126">
        <f t="shared" si="22"/>
        <v>46681</v>
      </c>
      <c r="B662" s="118" t="str">
        <f t="shared" si="23"/>
        <v>out/27</v>
      </c>
      <c r="C662" s="115"/>
      <c r="D662" s="116"/>
      <c r="E662" s="118">
        <v>0</v>
      </c>
      <c r="F662" s="115"/>
      <c r="G662" s="116"/>
      <c r="H662" s="118">
        <v>0</v>
      </c>
      <c r="I662" s="115"/>
      <c r="J662" s="116"/>
      <c r="K662" s="9">
        <v>0</v>
      </c>
      <c r="L662" s="127"/>
      <c r="M662" s="117">
        <f>IFERROR(IF(WEEKDAY($A662)&lt;&gt;1,HLOOKUP($B662,'SERVIÇOS NOTÁVEIS'!$23:$32,10,FALSE)*1.39,0),0)</f>
        <v>0</v>
      </c>
      <c r="O662" s="99"/>
      <c r="P662" s="10"/>
      <c r="R662" s="10"/>
      <c r="S662" s="10"/>
      <c r="U662" s="10"/>
    </row>
    <row r="663" spans="1:21" x14ac:dyDescent="0.35">
      <c r="A663" s="126">
        <f t="shared" si="22"/>
        <v>46682</v>
      </c>
      <c r="B663" s="118" t="str">
        <f t="shared" si="23"/>
        <v>out/27</v>
      </c>
      <c r="C663" s="115"/>
      <c r="D663" s="116"/>
      <c r="E663" s="118">
        <v>0</v>
      </c>
      <c r="F663" s="115"/>
      <c r="G663" s="116"/>
      <c r="H663" s="118">
        <v>0</v>
      </c>
      <c r="I663" s="115"/>
      <c r="J663" s="116"/>
      <c r="K663" s="9">
        <v>0</v>
      </c>
      <c r="L663" s="127"/>
      <c r="M663" s="117">
        <f>IFERROR(IF(WEEKDAY($A663)&lt;&gt;1,HLOOKUP($B663,'SERVIÇOS NOTÁVEIS'!$23:$32,10,FALSE)*1.39,0),0)</f>
        <v>0</v>
      </c>
      <c r="O663" s="99"/>
      <c r="P663" s="10"/>
      <c r="R663" s="10"/>
      <c r="S663" s="10"/>
      <c r="U663" s="10"/>
    </row>
    <row r="664" spans="1:21" x14ac:dyDescent="0.35">
      <c r="A664" s="126">
        <f t="shared" si="22"/>
        <v>46683</v>
      </c>
      <c r="B664" s="118" t="str">
        <f t="shared" si="23"/>
        <v>out/27</v>
      </c>
      <c r="C664" s="115"/>
      <c r="D664" s="116"/>
      <c r="E664" s="118">
        <v>0</v>
      </c>
      <c r="F664" s="115"/>
      <c r="G664" s="116"/>
      <c r="H664" s="118">
        <v>0</v>
      </c>
      <c r="I664" s="115"/>
      <c r="J664" s="116"/>
      <c r="K664" s="9">
        <v>0</v>
      </c>
      <c r="L664" s="127"/>
      <c r="M664" s="117">
        <f>IFERROR(IF(WEEKDAY($A664)&lt;&gt;1,HLOOKUP($B664,'SERVIÇOS NOTÁVEIS'!$23:$32,10,FALSE)*1.39,0),0)</f>
        <v>0</v>
      </c>
      <c r="O664" s="99"/>
      <c r="P664" s="10"/>
      <c r="R664" s="10"/>
      <c r="S664" s="10"/>
      <c r="U664" s="10"/>
    </row>
    <row r="665" spans="1:21" x14ac:dyDescent="0.35">
      <c r="A665" s="126">
        <f t="shared" si="22"/>
        <v>46684</v>
      </c>
      <c r="B665" s="118" t="str">
        <f t="shared" si="23"/>
        <v>out/27</v>
      </c>
      <c r="C665" s="115"/>
      <c r="D665" s="116"/>
      <c r="E665" s="118">
        <v>0</v>
      </c>
      <c r="F665" s="115"/>
      <c r="G665" s="116"/>
      <c r="H665" s="118">
        <v>0</v>
      </c>
      <c r="I665" s="115"/>
      <c r="J665" s="116"/>
      <c r="K665" s="9">
        <v>0</v>
      </c>
      <c r="L665" s="127"/>
      <c r="M665" s="117">
        <f>IFERROR(IF(WEEKDAY($A665)&lt;&gt;1,HLOOKUP($B665,'SERVIÇOS NOTÁVEIS'!$23:$32,10,FALSE)*1.39,0),0)</f>
        <v>0</v>
      </c>
      <c r="O665" s="99"/>
      <c r="P665" s="10"/>
      <c r="R665" s="10"/>
      <c r="S665" s="10"/>
      <c r="U665" s="10"/>
    </row>
    <row r="666" spans="1:21" x14ac:dyDescent="0.35">
      <c r="A666" s="126">
        <f t="shared" si="22"/>
        <v>46685</v>
      </c>
      <c r="B666" s="118" t="str">
        <f t="shared" si="23"/>
        <v>out/27</v>
      </c>
      <c r="C666" s="115"/>
      <c r="D666" s="116"/>
      <c r="E666" s="118">
        <v>0</v>
      </c>
      <c r="F666" s="115"/>
      <c r="G666" s="116"/>
      <c r="H666" s="118">
        <v>0</v>
      </c>
      <c r="I666" s="115"/>
      <c r="J666" s="116"/>
      <c r="K666" s="9">
        <v>0</v>
      </c>
      <c r="L666" s="127"/>
      <c r="M666" s="117">
        <f>IFERROR(IF(WEEKDAY($A666)&lt;&gt;1,HLOOKUP($B666,'SERVIÇOS NOTÁVEIS'!$23:$32,10,FALSE)*1.39,0),0)</f>
        <v>0</v>
      </c>
      <c r="O666" s="99"/>
      <c r="P666" s="10"/>
      <c r="R666" s="10"/>
      <c r="S666" s="10"/>
      <c r="U666" s="10"/>
    </row>
    <row r="667" spans="1:21" x14ac:dyDescent="0.35">
      <c r="A667" s="126">
        <f t="shared" si="22"/>
        <v>46686</v>
      </c>
      <c r="B667" s="118" t="str">
        <f t="shared" si="23"/>
        <v>out/27</v>
      </c>
      <c r="C667" s="115"/>
      <c r="D667" s="116"/>
      <c r="E667" s="118">
        <v>0</v>
      </c>
      <c r="F667" s="115"/>
      <c r="G667" s="116"/>
      <c r="H667" s="118">
        <v>0</v>
      </c>
      <c r="I667" s="115"/>
      <c r="J667" s="116"/>
      <c r="K667" s="9">
        <v>0</v>
      </c>
      <c r="L667" s="127"/>
      <c r="M667" s="117">
        <f>IFERROR(IF(WEEKDAY($A667)&lt;&gt;1,HLOOKUP($B667,'SERVIÇOS NOTÁVEIS'!$23:$32,10,FALSE)*1.39,0),0)</f>
        <v>0</v>
      </c>
      <c r="O667" s="99"/>
      <c r="P667" s="10"/>
      <c r="R667" s="10"/>
      <c r="S667" s="10"/>
      <c r="U667" s="10"/>
    </row>
    <row r="668" spans="1:21" x14ac:dyDescent="0.35">
      <c r="A668" s="126">
        <f t="shared" si="22"/>
        <v>46687</v>
      </c>
      <c r="B668" s="118" t="str">
        <f t="shared" si="23"/>
        <v>out/27</v>
      </c>
      <c r="C668" s="115"/>
      <c r="D668" s="116"/>
      <c r="E668" s="118">
        <v>0</v>
      </c>
      <c r="F668" s="115"/>
      <c r="G668" s="116"/>
      <c r="H668" s="118">
        <v>0</v>
      </c>
      <c r="I668" s="115"/>
      <c r="J668" s="116"/>
      <c r="K668" s="9">
        <v>0</v>
      </c>
      <c r="L668" s="127"/>
      <c r="M668" s="117">
        <f>IFERROR(IF(WEEKDAY($A668)&lt;&gt;1,HLOOKUP($B668,'SERVIÇOS NOTÁVEIS'!$23:$32,10,FALSE)*1.39,0),0)</f>
        <v>0</v>
      </c>
      <c r="O668" s="99"/>
      <c r="P668" s="10"/>
      <c r="R668" s="10"/>
      <c r="S668" s="10"/>
      <c r="U668" s="10"/>
    </row>
    <row r="669" spans="1:21" x14ac:dyDescent="0.35">
      <c r="A669" s="126">
        <f t="shared" si="22"/>
        <v>46688</v>
      </c>
      <c r="B669" s="118" t="str">
        <f t="shared" si="23"/>
        <v>out/27</v>
      </c>
      <c r="C669" s="115"/>
      <c r="D669" s="116"/>
      <c r="E669" s="118">
        <v>0</v>
      </c>
      <c r="F669" s="115"/>
      <c r="G669" s="116"/>
      <c r="H669" s="118">
        <v>0</v>
      </c>
      <c r="I669" s="115"/>
      <c r="J669" s="116"/>
      <c r="K669" s="9">
        <v>0</v>
      </c>
      <c r="L669" s="127"/>
      <c r="M669" s="117">
        <f>IFERROR(IF(WEEKDAY($A669)&lt;&gt;1,HLOOKUP($B669,'SERVIÇOS NOTÁVEIS'!$23:$32,10,FALSE)*1.39,0),0)</f>
        <v>0</v>
      </c>
      <c r="O669" s="99"/>
      <c r="P669" s="10"/>
      <c r="R669" s="10"/>
      <c r="S669" s="10"/>
      <c r="U669" s="10"/>
    </row>
    <row r="670" spans="1:21" x14ac:dyDescent="0.35">
      <c r="A670" s="126">
        <f t="shared" si="22"/>
        <v>46689</v>
      </c>
      <c r="B670" s="118" t="str">
        <f t="shared" si="23"/>
        <v>out/27</v>
      </c>
      <c r="C670" s="115"/>
      <c r="D670" s="116"/>
      <c r="E670" s="118">
        <v>0</v>
      </c>
      <c r="F670" s="115"/>
      <c r="G670" s="116"/>
      <c r="H670" s="118">
        <v>0</v>
      </c>
      <c r="I670" s="115"/>
      <c r="J670" s="116"/>
      <c r="K670" s="9">
        <v>0</v>
      </c>
      <c r="L670" s="127"/>
      <c r="M670" s="117">
        <f>IFERROR(IF(WEEKDAY($A670)&lt;&gt;1,HLOOKUP($B670,'SERVIÇOS NOTÁVEIS'!$23:$32,10,FALSE)*1.39,0),0)</f>
        <v>0</v>
      </c>
      <c r="O670" s="99"/>
      <c r="P670" s="10"/>
      <c r="R670" s="10"/>
      <c r="S670" s="10"/>
      <c r="U670" s="10"/>
    </row>
    <row r="671" spans="1:21" x14ac:dyDescent="0.35">
      <c r="A671" s="126">
        <f t="shared" si="22"/>
        <v>46690</v>
      </c>
      <c r="B671" s="118" t="str">
        <f t="shared" si="23"/>
        <v>out/27</v>
      </c>
      <c r="C671" s="115"/>
      <c r="D671" s="116"/>
      <c r="E671" s="118">
        <v>0</v>
      </c>
      <c r="F671" s="115"/>
      <c r="G671" s="116"/>
      <c r="H671" s="118">
        <v>0</v>
      </c>
      <c r="I671" s="115"/>
      <c r="J671" s="116"/>
      <c r="K671" s="9">
        <v>0</v>
      </c>
      <c r="L671" s="127"/>
      <c r="M671" s="117">
        <f>IFERROR(IF(WEEKDAY($A671)&lt;&gt;1,HLOOKUP($B671,'SERVIÇOS NOTÁVEIS'!$23:$32,10,FALSE)*1.39,0),0)</f>
        <v>0</v>
      </c>
      <c r="O671" s="99"/>
      <c r="P671" s="10"/>
      <c r="R671" s="10"/>
      <c r="S671" s="10"/>
      <c r="U671" s="10"/>
    </row>
    <row r="672" spans="1:21" x14ac:dyDescent="0.35">
      <c r="A672" s="126">
        <f t="shared" si="22"/>
        <v>46691</v>
      </c>
      <c r="B672" s="118" t="str">
        <f t="shared" si="23"/>
        <v>out/27</v>
      </c>
      <c r="C672" s="115"/>
      <c r="D672" s="116"/>
      <c r="E672" s="118">
        <v>0</v>
      </c>
      <c r="F672" s="115"/>
      <c r="G672" s="116"/>
      <c r="H672" s="118">
        <v>0</v>
      </c>
      <c r="I672" s="115"/>
      <c r="J672" s="116"/>
      <c r="K672" s="9">
        <v>0</v>
      </c>
      <c r="L672" s="127"/>
      <c r="M672" s="117">
        <f>IFERROR(IF(WEEKDAY($A672)&lt;&gt;1,HLOOKUP($B672,'SERVIÇOS NOTÁVEIS'!$23:$32,10,FALSE)*1.39,0),0)</f>
        <v>0</v>
      </c>
      <c r="O672" s="99"/>
      <c r="P672" s="10"/>
      <c r="R672" s="10"/>
      <c r="S672" s="10"/>
      <c r="U672" s="10"/>
    </row>
    <row r="673" spans="1:21" x14ac:dyDescent="0.35">
      <c r="A673" s="126">
        <f t="shared" si="22"/>
        <v>46692</v>
      </c>
      <c r="B673" s="118" t="str">
        <f t="shared" si="23"/>
        <v>nov/27</v>
      </c>
      <c r="C673" s="115"/>
      <c r="D673" s="116"/>
      <c r="E673" s="118">
        <v>0</v>
      </c>
      <c r="F673" s="115"/>
      <c r="G673" s="116"/>
      <c r="H673" s="118">
        <v>0</v>
      </c>
      <c r="I673" s="115"/>
      <c r="J673" s="116"/>
      <c r="K673" s="9">
        <v>0</v>
      </c>
      <c r="L673" s="127"/>
      <c r="M673" s="117">
        <f>IFERROR(IF(WEEKDAY($A673)&lt;&gt;1,HLOOKUP($B673,'SERVIÇOS NOTÁVEIS'!$23:$32,10,FALSE)*1.39,0),0)</f>
        <v>0</v>
      </c>
      <c r="O673" s="99"/>
      <c r="P673" s="10"/>
      <c r="R673" s="10"/>
      <c r="S673" s="10"/>
      <c r="U673" s="10"/>
    </row>
    <row r="674" spans="1:21" x14ac:dyDescent="0.35">
      <c r="A674" s="126">
        <f t="shared" si="22"/>
        <v>46693</v>
      </c>
      <c r="B674" s="118" t="str">
        <f t="shared" si="23"/>
        <v>nov/27</v>
      </c>
      <c r="C674" s="115"/>
      <c r="D674" s="116"/>
      <c r="E674" s="118">
        <v>0</v>
      </c>
      <c r="F674" s="115"/>
      <c r="G674" s="116"/>
      <c r="H674" s="118">
        <v>0</v>
      </c>
      <c r="I674" s="115"/>
      <c r="J674" s="116"/>
      <c r="K674" s="9">
        <v>0</v>
      </c>
      <c r="L674" s="127"/>
      <c r="M674" s="117">
        <f>IFERROR(IF(WEEKDAY($A674)&lt;&gt;1,HLOOKUP($B674,'SERVIÇOS NOTÁVEIS'!$23:$32,10,FALSE)*1.39,0),0)</f>
        <v>0</v>
      </c>
      <c r="O674" s="99"/>
      <c r="P674" s="10"/>
      <c r="R674" s="10"/>
      <c r="S674" s="10"/>
      <c r="U674" s="10"/>
    </row>
    <row r="675" spans="1:21" x14ac:dyDescent="0.35">
      <c r="A675" s="126">
        <f t="shared" si="22"/>
        <v>46694</v>
      </c>
      <c r="B675" s="118" t="str">
        <f t="shared" si="23"/>
        <v>nov/27</v>
      </c>
      <c r="C675" s="115"/>
      <c r="D675" s="116"/>
      <c r="E675" s="118">
        <v>0</v>
      </c>
      <c r="F675" s="115"/>
      <c r="G675" s="116"/>
      <c r="H675" s="118">
        <v>0</v>
      </c>
      <c r="I675" s="115"/>
      <c r="J675" s="116"/>
      <c r="K675" s="9">
        <v>0</v>
      </c>
      <c r="L675" s="127"/>
      <c r="M675" s="117">
        <f>IFERROR(IF(WEEKDAY($A675)&lt;&gt;1,HLOOKUP($B675,'SERVIÇOS NOTÁVEIS'!$23:$32,10,FALSE)*1.39,0),0)</f>
        <v>0</v>
      </c>
      <c r="O675" s="99"/>
      <c r="P675" s="10"/>
      <c r="R675" s="10"/>
      <c r="S675" s="10"/>
      <c r="U675" s="10"/>
    </row>
    <row r="676" spans="1:21" x14ac:dyDescent="0.35">
      <c r="A676" s="126">
        <f t="shared" si="22"/>
        <v>46695</v>
      </c>
      <c r="B676" s="118" t="str">
        <f t="shared" si="23"/>
        <v>nov/27</v>
      </c>
      <c r="C676" s="115"/>
      <c r="D676" s="116"/>
      <c r="E676" s="118">
        <v>0</v>
      </c>
      <c r="F676" s="115"/>
      <c r="G676" s="116"/>
      <c r="H676" s="118">
        <v>0</v>
      </c>
      <c r="I676" s="115"/>
      <c r="J676" s="116"/>
      <c r="K676" s="9">
        <v>0</v>
      </c>
      <c r="L676" s="127"/>
      <c r="M676" s="117">
        <f>IFERROR(IF(WEEKDAY($A676)&lt;&gt;1,HLOOKUP($B676,'SERVIÇOS NOTÁVEIS'!$23:$32,10,FALSE)*1.39,0),0)</f>
        <v>0</v>
      </c>
      <c r="O676" s="99"/>
      <c r="P676" s="10"/>
      <c r="R676" s="10"/>
      <c r="S676" s="10"/>
      <c r="U676" s="10"/>
    </row>
    <row r="677" spans="1:21" x14ac:dyDescent="0.35">
      <c r="A677" s="126">
        <f t="shared" si="22"/>
        <v>46696</v>
      </c>
      <c r="B677" s="118" t="str">
        <f t="shared" si="23"/>
        <v>nov/27</v>
      </c>
      <c r="C677" s="115"/>
      <c r="D677" s="116"/>
      <c r="E677" s="118">
        <v>0</v>
      </c>
      <c r="F677" s="115"/>
      <c r="G677" s="116"/>
      <c r="H677" s="118">
        <v>0</v>
      </c>
      <c r="I677" s="115"/>
      <c r="J677" s="116"/>
      <c r="K677" s="9">
        <v>0</v>
      </c>
      <c r="L677" s="127"/>
      <c r="M677" s="117">
        <f>IFERROR(IF(WEEKDAY($A677)&lt;&gt;1,HLOOKUP($B677,'SERVIÇOS NOTÁVEIS'!$23:$32,10,FALSE)*1.39,0),0)</f>
        <v>0</v>
      </c>
      <c r="O677" s="99"/>
      <c r="P677" s="10"/>
      <c r="R677" s="10"/>
      <c r="S677" s="10"/>
      <c r="U677" s="10"/>
    </row>
    <row r="678" spans="1:21" x14ac:dyDescent="0.35">
      <c r="A678" s="126">
        <f t="shared" si="22"/>
        <v>46697</v>
      </c>
      <c r="B678" s="118" t="str">
        <f t="shared" si="23"/>
        <v>nov/27</v>
      </c>
      <c r="C678" s="115"/>
      <c r="D678" s="116"/>
      <c r="E678" s="118">
        <v>0</v>
      </c>
      <c r="F678" s="115"/>
      <c r="G678" s="116"/>
      <c r="H678" s="118">
        <v>0</v>
      </c>
      <c r="I678" s="115"/>
      <c r="J678" s="116"/>
      <c r="K678" s="9">
        <v>0</v>
      </c>
      <c r="L678" s="127"/>
      <c r="M678" s="117">
        <f>IFERROR(IF(WEEKDAY($A678)&lt;&gt;1,HLOOKUP($B678,'SERVIÇOS NOTÁVEIS'!$23:$32,10,FALSE)*1.39,0),0)</f>
        <v>0</v>
      </c>
      <c r="O678" s="99"/>
      <c r="P678" s="10"/>
      <c r="R678" s="10"/>
      <c r="S678" s="10"/>
      <c r="U678" s="10"/>
    </row>
    <row r="679" spans="1:21" x14ac:dyDescent="0.35">
      <c r="A679" s="126">
        <f t="shared" si="22"/>
        <v>46698</v>
      </c>
      <c r="B679" s="118" t="str">
        <f t="shared" si="23"/>
        <v>nov/27</v>
      </c>
      <c r="C679" s="115"/>
      <c r="D679" s="116"/>
      <c r="E679" s="118">
        <v>0</v>
      </c>
      <c r="F679" s="115"/>
      <c r="G679" s="116"/>
      <c r="H679" s="118">
        <v>0</v>
      </c>
      <c r="I679" s="115"/>
      <c r="J679" s="116"/>
      <c r="K679" s="9">
        <v>0</v>
      </c>
      <c r="L679" s="127"/>
      <c r="M679" s="117">
        <f>IFERROR(IF(WEEKDAY($A679)&lt;&gt;1,HLOOKUP($B679,'SERVIÇOS NOTÁVEIS'!$23:$32,10,FALSE)*1.39,0),0)</f>
        <v>0</v>
      </c>
      <c r="O679" s="99"/>
      <c r="P679" s="10"/>
      <c r="R679" s="10"/>
      <c r="S679" s="10"/>
      <c r="U679" s="10"/>
    </row>
    <row r="680" spans="1:21" x14ac:dyDescent="0.35">
      <c r="A680" s="126">
        <f t="shared" si="22"/>
        <v>46699</v>
      </c>
      <c r="B680" s="118" t="str">
        <f t="shared" si="23"/>
        <v>nov/27</v>
      </c>
      <c r="C680" s="115"/>
      <c r="D680" s="116"/>
      <c r="E680" s="118">
        <v>0</v>
      </c>
      <c r="F680" s="115"/>
      <c r="G680" s="116"/>
      <c r="H680" s="118">
        <v>0</v>
      </c>
      <c r="I680" s="115"/>
      <c r="J680" s="116"/>
      <c r="K680" s="9">
        <v>0</v>
      </c>
      <c r="L680" s="127"/>
      <c r="M680" s="117">
        <f>IFERROR(IF(WEEKDAY($A680)&lt;&gt;1,HLOOKUP($B680,'SERVIÇOS NOTÁVEIS'!$23:$32,10,FALSE)*1.39,0),0)</f>
        <v>0</v>
      </c>
      <c r="O680" s="99"/>
      <c r="P680" s="10"/>
      <c r="R680" s="10"/>
      <c r="S680" s="10"/>
      <c r="U680" s="10"/>
    </row>
    <row r="681" spans="1:21" x14ac:dyDescent="0.35">
      <c r="A681" s="126">
        <f t="shared" si="22"/>
        <v>46700</v>
      </c>
      <c r="B681" s="118" t="str">
        <f t="shared" si="23"/>
        <v>nov/27</v>
      </c>
      <c r="C681" s="115"/>
      <c r="D681" s="116"/>
      <c r="E681" s="118">
        <v>0</v>
      </c>
      <c r="F681" s="115"/>
      <c r="G681" s="116"/>
      <c r="H681" s="118">
        <v>0</v>
      </c>
      <c r="I681" s="115"/>
      <c r="J681" s="116"/>
      <c r="K681" s="9">
        <v>0</v>
      </c>
      <c r="L681" s="127"/>
      <c r="M681" s="117">
        <f>IFERROR(IF(WEEKDAY($A681)&lt;&gt;1,HLOOKUP($B681,'SERVIÇOS NOTÁVEIS'!$23:$32,10,FALSE)*1.39,0),0)</f>
        <v>0</v>
      </c>
      <c r="O681" s="99"/>
      <c r="P681" s="10"/>
      <c r="R681" s="10"/>
      <c r="S681" s="10"/>
      <c r="U681" s="10"/>
    </row>
    <row r="682" spans="1:21" x14ac:dyDescent="0.35">
      <c r="A682" s="126">
        <f t="shared" si="22"/>
        <v>46701</v>
      </c>
      <c r="B682" s="118" t="str">
        <f t="shared" si="23"/>
        <v>nov/27</v>
      </c>
      <c r="C682" s="115"/>
      <c r="D682" s="116"/>
      <c r="E682" s="118">
        <v>0</v>
      </c>
      <c r="F682" s="115"/>
      <c r="G682" s="116"/>
      <c r="H682" s="118">
        <v>0</v>
      </c>
      <c r="I682" s="115"/>
      <c r="J682" s="116"/>
      <c r="K682" s="9">
        <v>0</v>
      </c>
      <c r="L682" s="127"/>
      <c r="M682" s="117">
        <f>IFERROR(IF(WEEKDAY($A682)&lt;&gt;1,HLOOKUP($B682,'SERVIÇOS NOTÁVEIS'!$23:$32,10,FALSE)*1.39,0),0)</f>
        <v>0</v>
      </c>
      <c r="O682" s="99"/>
      <c r="P682" s="10"/>
      <c r="R682" s="10"/>
      <c r="S682" s="10"/>
      <c r="U682" s="10"/>
    </row>
    <row r="683" spans="1:21" x14ac:dyDescent="0.35">
      <c r="A683" s="126">
        <f t="shared" si="22"/>
        <v>46702</v>
      </c>
      <c r="B683" s="118" t="str">
        <f t="shared" si="23"/>
        <v>nov/27</v>
      </c>
      <c r="C683" s="115"/>
      <c r="D683" s="116"/>
      <c r="E683" s="118">
        <v>0</v>
      </c>
      <c r="F683" s="115"/>
      <c r="G683" s="116"/>
      <c r="H683" s="118">
        <v>0</v>
      </c>
      <c r="I683" s="115"/>
      <c r="J683" s="116"/>
      <c r="K683" s="9">
        <v>0</v>
      </c>
      <c r="L683" s="127"/>
      <c r="M683" s="117">
        <f>IFERROR(IF(WEEKDAY($A683)&lt;&gt;1,HLOOKUP($B683,'SERVIÇOS NOTÁVEIS'!$23:$32,10,FALSE)*1.39,0),0)</f>
        <v>0</v>
      </c>
      <c r="O683" s="99"/>
      <c r="P683" s="10"/>
      <c r="R683" s="10"/>
      <c r="S683" s="10"/>
      <c r="U683" s="10"/>
    </row>
    <row r="684" spans="1:21" x14ac:dyDescent="0.35">
      <c r="A684" s="126">
        <f t="shared" si="22"/>
        <v>46703</v>
      </c>
      <c r="B684" s="118" t="str">
        <f t="shared" si="23"/>
        <v>nov/27</v>
      </c>
      <c r="C684" s="115"/>
      <c r="D684" s="116"/>
      <c r="E684" s="118">
        <v>0</v>
      </c>
      <c r="F684" s="115"/>
      <c r="G684" s="116"/>
      <c r="H684" s="118">
        <v>0</v>
      </c>
      <c r="I684" s="115"/>
      <c r="J684" s="116"/>
      <c r="K684" s="9">
        <v>0</v>
      </c>
      <c r="L684" s="127"/>
      <c r="M684" s="117">
        <f>IFERROR(IF(WEEKDAY($A684)&lt;&gt;1,HLOOKUP($B684,'SERVIÇOS NOTÁVEIS'!$23:$32,10,FALSE)*1.39,0),0)</f>
        <v>0</v>
      </c>
      <c r="O684" s="99"/>
      <c r="P684" s="10"/>
      <c r="R684" s="10"/>
      <c r="S684" s="10"/>
      <c r="U684" s="10"/>
    </row>
    <row r="685" spans="1:21" x14ac:dyDescent="0.35">
      <c r="A685" s="126">
        <f t="shared" si="22"/>
        <v>46704</v>
      </c>
      <c r="B685" s="118" t="str">
        <f t="shared" si="23"/>
        <v>nov/27</v>
      </c>
      <c r="C685" s="115"/>
      <c r="D685" s="116"/>
      <c r="E685" s="118">
        <v>0</v>
      </c>
      <c r="F685" s="115"/>
      <c r="G685" s="116"/>
      <c r="H685" s="118">
        <v>0</v>
      </c>
      <c r="I685" s="115"/>
      <c r="J685" s="116"/>
      <c r="K685" s="9">
        <v>0</v>
      </c>
      <c r="L685" s="127"/>
      <c r="M685" s="117">
        <f>IFERROR(IF(WEEKDAY($A685)&lt;&gt;1,HLOOKUP($B685,'SERVIÇOS NOTÁVEIS'!$23:$32,10,FALSE)*1.39,0),0)</f>
        <v>0</v>
      </c>
      <c r="O685" s="99"/>
      <c r="P685" s="10"/>
      <c r="R685" s="10"/>
      <c r="S685" s="10"/>
      <c r="U685" s="10"/>
    </row>
    <row r="686" spans="1:21" x14ac:dyDescent="0.35">
      <c r="A686" s="126">
        <f t="shared" si="22"/>
        <v>46705</v>
      </c>
      <c r="B686" s="118" t="str">
        <f t="shared" si="23"/>
        <v>nov/27</v>
      </c>
      <c r="C686" s="115"/>
      <c r="D686" s="116"/>
      <c r="E686" s="118">
        <v>0</v>
      </c>
      <c r="F686" s="115"/>
      <c r="G686" s="116"/>
      <c r="H686" s="118">
        <v>0</v>
      </c>
      <c r="I686" s="115"/>
      <c r="J686" s="116"/>
      <c r="K686" s="9">
        <v>0</v>
      </c>
      <c r="L686" s="127"/>
      <c r="M686" s="117">
        <f>IFERROR(IF(WEEKDAY($A686)&lt;&gt;1,HLOOKUP($B686,'SERVIÇOS NOTÁVEIS'!$23:$32,10,FALSE)*1.39,0),0)</f>
        <v>0</v>
      </c>
      <c r="O686" s="99"/>
      <c r="P686" s="10"/>
      <c r="R686" s="10"/>
      <c r="S686" s="10"/>
      <c r="U686" s="10"/>
    </row>
    <row r="687" spans="1:21" x14ac:dyDescent="0.35">
      <c r="A687" s="126">
        <f t="shared" si="22"/>
        <v>46706</v>
      </c>
      <c r="B687" s="118" t="str">
        <f t="shared" si="23"/>
        <v>nov/27</v>
      </c>
      <c r="C687" s="115"/>
      <c r="D687" s="116"/>
      <c r="E687" s="118">
        <v>0</v>
      </c>
      <c r="F687" s="115"/>
      <c r="G687" s="116"/>
      <c r="H687" s="118">
        <v>0</v>
      </c>
      <c r="I687" s="115"/>
      <c r="J687" s="116"/>
      <c r="K687" s="9">
        <v>0</v>
      </c>
      <c r="L687" s="127"/>
      <c r="M687" s="117">
        <f>IFERROR(IF(WEEKDAY($A687)&lt;&gt;1,HLOOKUP($B687,'SERVIÇOS NOTÁVEIS'!$23:$32,10,FALSE)*1.39,0),0)</f>
        <v>0</v>
      </c>
      <c r="O687" s="99"/>
      <c r="P687" s="10"/>
      <c r="R687" s="10"/>
      <c r="S687" s="10"/>
      <c r="U687" s="10"/>
    </row>
    <row r="688" spans="1:21" x14ac:dyDescent="0.35">
      <c r="A688" s="126">
        <f t="shared" si="22"/>
        <v>46707</v>
      </c>
      <c r="B688" s="118" t="str">
        <f t="shared" si="23"/>
        <v>nov/27</v>
      </c>
      <c r="C688" s="115"/>
      <c r="D688" s="116"/>
      <c r="E688" s="118">
        <v>0</v>
      </c>
      <c r="F688" s="115"/>
      <c r="G688" s="116"/>
      <c r="H688" s="118">
        <v>0</v>
      </c>
      <c r="I688" s="115"/>
      <c r="J688" s="116"/>
      <c r="K688" s="9">
        <v>0</v>
      </c>
      <c r="L688" s="127"/>
      <c r="M688" s="117">
        <f>IFERROR(IF(WEEKDAY($A688)&lt;&gt;1,HLOOKUP($B688,'SERVIÇOS NOTÁVEIS'!$23:$32,10,FALSE)*1.39,0),0)</f>
        <v>0</v>
      </c>
      <c r="O688" s="99"/>
      <c r="P688" s="10"/>
      <c r="R688" s="10"/>
      <c r="S688" s="10"/>
      <c r="U688" s="10"/>
    </row>
    <row r="689" spans="1:21" x14ac:dyDescent="0.35">
      <c r="A689" s="126">
        <f t="shared" si="22"/>
        <v>46708</v>
      </c>
      <c r="B689" s="118" t="str">
        <f t="shared" si="23"/>
        <v>nov/27</v>
      </c>
      <c r="C689" s="115"/>
      <c r="D689" s="116"/>
      <c r="E689" s="118">
        <v>0</v>
      </c>
      <c r="F689" s="115"/>
      <c r="G689" s="116"/>
      <c r="H689" s="118">
        <v>0</v>
      </c>
      <c r="I689" s="115"/>
      <c r="J689" s="116"/>
      <c r="K689" s="9">
        <v>0</v>
      </c>
      <c r="L689" s="127"/>
      <c r="M689" s="117">
        <f>IFERROR(IF(WEEKDAY($A689)&lt;&gt;1,HLOOKUP($B689,'SERVIÇOS NOTÁVEIS'!$23:$32,10,FALSE)*1.39,0),0)</f>
        <v>0</v>
      </c>
      <c r="O689" s="99"/>
      <c r="P689" s="10"/>
      <c r="R689" s="10"/>
      <c r="S689" s="10"/>
      <c r="U689" s="10"/>
    </row>
    <row r="690" spans="1:21" x14ac:dyDescent="0.35">
      <c r="A690" s="126">
        <f t="shared" si="22"/>
        <v>46709</v>
      </c>
      <c r="B690" s="118" t="str">
        <f t="shared" si="23"/>
        <v>nov/27</v>
      </c>
      <c r="C690" s="115"/>
      <c r="D690" s="116"/>
      <c r="E690" s="118">
        <v>0</v>
      </c>
      <c r="F690" s="115"/>
      <c r="G690" s="116"/>
      <c r="H690" s="118">
        <v>0</v>
      </c>
      <c r="I690" s="115"/>
      <c r="J690" s="116"/>
      <c r="K690" s="9">
        <v>0</v>
      </c>
      <c r="L690" s="127"/>
      <c r="M690" s="117">
        <f>IFERROR(IF(WEEKDAY($A690)&lt;&gt;1,HLOOKUP($B690,'SERVIÇOS NOTÁVEIS'!$23:$32,10,FALSE)*1.39,0),0)</f>
        <v>0</v>
      </c>
      <c r="O690" s="99"/>
      <c r="P690" s="10"/>
      <c r="R690" s="10"/>
      <c r="S690" s="10"/>
      <c r="U690" s="10"/>
    </row>
    <row r="691" spans="1:21" x14ac:dyDescent="0.35">
      <c r="A691" s="126">
        <f t="shared" si="22"/>
        <v>46710</v>
      </c>
      <c r="B691" s="118" t="str">
        <f t="shared" si="23"/>
        <v>nov/27</v>
      </c>
      <c r="C691" s="115"/>
      <c r="D691" s="116"/>
      <c r="E691" s="118">
        <v>0</v>
      </c>
      <c r="F691" s="115"/>
      <c r="G691" s="116"/>
      <c r="H691" s="118">
        <v>0</v>
      </c>
      <c r="I691" s="115"/>
      <c r="J691" s="116"/>
      <c r="K691" s="9">
        <v>0</v>
      </c>
      <c r="L691" s="127"/>
      <c r="M691" s="117">
        <f>IFERROR(IF(WEEKDAY($A691)&lt;&gt;1,HLOOKUP($B691,'SERVIÇOS NOTÁVEIS'!$23:$32,10,FALSE)*1.39,0),0)</f>
        <v>0</v>
      </c>
      <c r="O691" s="99"/>
      <c r="P691" s="10"/>
      <c r="R691" s="10"/>
      <c r="S691" s="10"/>
      <c r="U691" s="10"/>
    </row>
    <row r="692" spans="1:21" x14ac:dyDescent="0.35">
      <c r="A692" s="126">
        <f t="shared" si="22"/>
        <v>46711</v>
      </c>
      <c r="B692" s="118" t="str">
        <f t="shared" si="23"/>
        <v>nov/27</v>
      </c>
      <c r="C692" s="115"/>
      <c r="D692" s="116"/>
      <c r="E692" s="118">
        <v>0</v>
      </c>
      <c r="F692" s="115"/>
      <c r="G692" s="116"/>
      <c r="H692" s="118">
        <v>0</v>
      </c>
      <c r="I692" s="115"/>
      <c r="J692" s="116"/>
      <c r="K692" s="9">
        <v>0</v>
      </c>
      <c r="L692" s="127"/>
      <c r="M692" s="117">
        <f>IFERROR(IF(WEEKDAY($A692)&lt;&gt;1,HLOOKUP($B692,'SERVIÇOS NOTÁVEIS'!$23:$32,10,FALSE)*1.39,0),0)</f>
        <v>0</v>
      </c>
      <c r="O692" s="99"/>
      <c r="P692" s="10"/>
      <c r="R692" s="10"/>
      <c r="S692" s="10"/>
      <c r="U692" s="10"/>
    </row>
    <row r="693" spans="1:21" x14ac:dyDescent="0.35">
      <c r="A693" s="126">
        <f t="shared" si="22"/>
        <v>46712</v>
      </c>
      <c r="B693" s="118" t="str">
        <f t="shared" si="23"/>
        <v>nov/27</v>
      </c>
      <c r="C693" s="115"/>
      <c r="D693" s="116"/>
      <c r="E693" s="118">
        <v>0</v>
      </c>
      <c r="F693" s="115"/>
      <c r="G693" s="116"/>
      <c r="H693" s="118">
        <v>0</v>
      </c>
      <c r="I693" s="115"/>
      <c r="J693" s="116"/>
      <c r="K693" s="9">
        <v>0</v>
      </c>
      <c r="L693" s="127"/>
      <c r="M693" s="117">
        <f>IFERROR(IF(WEEKDAY($A693)&lt;&gt;1,HLOOKUP($B693,'SERVIÇOS NOTÁVEIS'!$23:$32,10,FALSE)*1.39,0),0)</f>
        <v>0</v>
      </c>
      <c r="O693" s="99"/>
      <c r="P693" s="10"/>
      <c r="R693" s="10"/>
      <c r="S693" s="10"/>
      <c r="U693" s="10"/>
    </row>
    <row r="694" spans="1:21" x14ac:dyDescent="0.35">
      <c r="A694" s="126">
        <f t="shared" si="22"/>
        <v>46713</v>
      </c>
      <c r="B694" s="118" t="str">
        <f t="shared" si="23"/>
        <v>nov/27</v>
      </c>
      <c r="C694" s="115"/>
      <c r="D694" s="116"/>
      <c r="E694" s="118">
        <v>0</v>
      </c>
      <c r="F694" s="115"/>
      <c r="G694" s="116"/>
      <c r="H694" s="118">
        <v>0</v>
      </c>
      <c r="I694" s="115"/>
      <c r="J694" s="116"/>
      <c r="K694" s="9">
        <v>0</v>
      </c>
      <c r="L694" s="127"/>
      <c r="M694" s="117">
        <f>IFERROR(IF(WEEKDAY($A694)&lt;&gt;1,HLOOKUP($B694,'SERVIÇOS NOTÁVEIS'!$23:$32,10,FALSE)*1.39,0),0)</f>
        <v>0</v>
      </c>
      <c r="O694" s="99"/>
      <c r="P694" s="10"/>
      <c r="R694" s="10"/>
      <c r="S694" s="10"/>
      <c r="U694" s="10"/>
    </row>
    <row r="695" spans="1:21" x14ac:dyDescent="0.35">
      <c r="A695" s="126">
        <f t="shared" si="22"/>
        <v>46714</v>
      </c>
      <c r="B695" s="118" t="str">
        <f t="shared" si="23"/>
        <v>nov/27</v>
      </c>
      <c r="C695" s="115"/>
      <c r="D695" s="116"/>
      <c r="E695" s="118">
        <v>0</v>
      </c>
      <c r="F695" s="115"/>
      <c r="G695" s="116"/>
      <c r="H695" s="118">
        <v>0</v>
      </c>
      <c r="I695" s="115"/>
      <c r="J695" s="116"/>
      <c r="K695" s="9">
        <v>0</v>
      </c>
      <c r="L695" s="127"/>
      <c r="M695" s="117">
        <f>IFERROR(IF(WEEKDAY($A695)&lt;&gt;1,HLOOKUP($B695,'SERVIÇOS NOTÁVEIS'!$23:$32,10,FALSE)*1.39,0),0)</f>
        <v>0</v>
      </c>
      <c r="O695" s="99"/>
      <c r="P695" s="10"/>
      <c r="R695" s="10"/>
      <c r="S695" s="10"/>
      <c r="U695" s="10"/>
    </row>
    <row r="696" spans="1:21" x14ac:dyDescent="0.35">
      <c r="A696" s="126">
        <f t="shared" ref="A696:A733" si="24">A695+1</f>
        <v>46715</v>
      </c>
      <c r="B696" s="118" t="str">
        <f t="shared" si="23"/>
        <v>nov/27</v>
      </c>
      <c r="C696" s="115"/>
      <c r="D696" s="116"/>
      <c r="E696" s="118">
        <v>0</v>
      </c>
      <c r="F696" s="115"/>
      <c r="G696" s="116"/>
      <c r="H696" s="118">
        <v>0</v>
      </c>
      <c r="I696" s="115"/>
      <c r="J696" s="116"/>
      <c r="K696" s="9">
        <v>0</v>
      </c>
      <c r="L696" s="127"/>
      <c r="M696" s="117">
        <f>IFERROR(IF(WEEKDAY($A696)&lt;&gt;1,HLOOKUP($B696,'SERVIÇOS NOTÁVEIS'!$23:$32,10,FALSE)*1.39,0),0)</f>
        <v>0</v>
      </c>
      <c r="O696" s="99"/>
      <c r="P696" s="10"/>
      <c r="R696" s="10"/>
      <c r="S696" s="10"/>
      <c r="U696" s="10"/>
    </row>
    <row r="697" spans="1:21" x14ac:dyDescent="0.35">
      <c r="A697" s="126">
        <f t="shared" si="24"/>
        <v>46716</v>
      </c>
      <c r="B697" s="118" t="str">
        <f t="shared" si="23"/>
        <v>nov/27</v>
      </c>
      <c r="C697" s="115"/>
      <c r="D697" s="116"/>
      <c r="E697" s="118">
        <v>0</v>
      </c>
      <c r="F697" s="115"/>
      <c r="G697" s="116"/>
      <c r="H697" s="118">
        <v>0</v>
      </c>
      <c r="I697" s="115"/>
      <c r="J697" s="116"/>
      <c r="K697" s="9">
        <v>0</v>
      </c>
      <c r="L697" s="127"/>
      <c r="M697" s="117">
        <f>IFERROR(IF(WEEKDAY($A697)&lt;&gt;1,HLOOKUP($B697,'SERVIÇOS NOTÁVEIS'!$23:$32,10,FALSE)*1.39,0),0)</f>
        <v>0</v>
      </c>
      <c r="O697" s="99"/>
      <c r="P697" s="10"/>
      <c r="R697" s="10"/>
      <c r="S697" s="10"/>
      <c r="U697" s="10"/>
    </row>
    <row r="698" spans="1:21" x14ac:dyDescent="0.35">
      <c r="A698" s="126">
        <f t="shared" si="24"/>
        <v>46717</v>
      </c>
      <c r="B698" s="118" t="str">
        <f t="shared" si="23"/>
        <v>nov/27</v>
      </c>
      <c r="C698" s="115"/>
      <c r="D698" s="116"/>
      <c r="E698" s="118">
        <v>0</v>
      </c>
      <c r="F698" s="115"/>
      <c r="G698" s="116"/>
      <c r="H698" s="118">
        <v>0</v>
      </c>
      <c r="I698" s="115"/>
      <c r="J698" s="116"/>
      <c r="K698" s="9">
        <v>0</v>
      </c>
      <c r="L698" s="127"/>
      <c r="M698" s="117">
        <f>IFERROR(IF(WEEKDAY($A698)&lt;&gt;1,HLOOKUP($B698,'SERVIÇOS NOTÁVEIS'!$23:$32,10,FALSE)*1.39,0),0)</f>
        <v>0</v>
      </c>
      <c r="O698" s="99"/>
      <c r="P698" s="10"/>
      <c r="R698" s="10"/>
      <c r="S698" s="10"/>
      <c r="U698" s="10"/>
    </row>
    <row r="699" spans="1:21" x14ac:dyDescent="0.35">
      <c r="A699" s="126">
        <f t="shared" si="24"/>
        <v>46718</v>
      </c>
      <c r="B699" s="118" t="str">
        <f t="shared" si="23"/>
        <v>nov/27</v>
      </c>
      <c r="C699" s="115"/>
      <c r="D699" s="116"/>
      <c r="E699" s="118">
        <v>0</v>
      </c>
      <c r="F699" s="115"/>
      <c r="G699" s="116"/>
      <c r="H699" s="118">
        <v>0</v>
      </c>
      <c r="I699" s="115"/>
      <c r="J699" s="116"/>
      <c r="K699" s="9">
        <v>0</v>
      </c>
      <c r="L699" s="127"/>
      <c r="M699" s="117">
        <f>IFERROR(IF(WEEKDAY($A699)&lt;&gt;1,HLOOKUP($B699,'SERVIÇOS NOTÁVEIS'!$23:$32,10,FALSE)*1.39,0),0)</f>
        <v>0</v>
      </c>
      <c r="O699" s="99"/>
      <c r="P699" s="10"/>
      <c r="R699" s="10"/>
      <c r="S699" s="10"/>
      <c r="U699" s="10"/>
    </row>
    <row r="700" spans="1:21" x14ac:dyDescent="0.35">
      <c r="A700" s="126">
        <f t="shared" si="24"/>
        <v>46719</v>
      </c>
      <c r="B700" s="118" t="str">
        <f t="shared" si="23"/>
        <v>nov/27</v>
      </c>
      <c r="C700" s="115"/>
      <c r="D700" s="116"/>
      <c r="E700" s="118">
        <v>0</v>
      </c>
      <c r="F700" s="115"/>
      <c r="G700" s="116"/>
      <c r="H700" s="118">
        <v>0</v>
      </c>
      <c r="I700" s="115"/>
      <c r="J700" s="116"/>
      <c r="K700" s="9">
        <v>0</v>
      </c>
      <c r="L700" s="127"/>
      <c r="M700" s="117">
        <f>IFERROR(IF(WEEKDAY($A700)&lt;&gt;1,HLOOKUP($B700,'SERVIÇOS NOTÁVEIS'!$23:$32,10,FALSE)*1.39,0),0)</f>
        <v>0</v>
      </c>
      <c r="O700" s="99"/>
      <c r="P700" s="10"/>
      <c r="R700" s="10"/>
      <c r="S700" s="10"/>
      <c r="U700" s="10"/>
    </row>
    <row r="701" spans="1:21" x14ac:dyDescent="0.35">
      <c r="A701" s="126">
        <f t="shared" si="24"/>
        <v>46720</v>
      </c>
      <c r="B701" s="118" t="str">
        <f t="shared" si="23"/>
        <v>nov/27</v>
      </c>
      <c r="C701" s="115"/>
      <c r="D701" s="116"/>
      <c r="E701" s="118">
        <v>0</v>
      </c>
      <c r="F701" s="115"/>
      <c r="G701" s="116"/>
      <c r="H701" s="118">
        <v>0</v>
      </c>
      <c r="I701" s="115"/>
      <c r="J701" s="116"/>
      <c r="K701" s="9">
        <v>0</v>
      </c>
      <c r="L701" s="127"/>
      <c r="M701" s="117">
        <f>IFERROR(IF(WEEKDAY($A701)&lt;&gt;1,HLOOKUP($B701,'SERVIÇOS NOTÁVEIS'!$23:$32,10,FALSE)*1.39,0),0)</f>
        <v>0</v>
      </c>
      <c r="O701" s="99"/>
      <c r="P701" s="10"/>
      <c r="R701" s="10"/>
      <c r="S701" s="10"/>
      <c r="U701" s="10"/>
    </row>
    <row r="702" spans="1:21" x14ac:dyDescent="0.35">
      <c r="A702" s="126">
        <f t="shared" si="24"/>
        <v>46721</v>
      </c>
      <c r="B702" s="118" t="str">
        <f t="shared" si="23"/>
        <v>nov/27</v>
      </c>
      <c r="C702" s="115"/>
      <c r="D702" s="116"/>
      <c r="E702" s="118">
        <v>0</v>
      </c>
      <c r="F702" s="115"/>
      <c r="G702" s="116"/>
      <c r="H702" s="118">
        <v>0</v>
      </c>
      <c r="I702" s="115"/>
      <c r="J702" s="116"/>
      <c r="K702" s="9">
        <v>0</v>
      </c>
      <c r="L702" s="127"/>
      <c r="M702" s="117">
        <f>IFERROR(IF(WEEKDAY($A702)&lt;&gt;1,HLOOKUP($B702,'SERVIÇOS NOTÁVEIS'!$23:$32,10,FALSE)*1.39,0),0)</f>
        <v>0</v>
      </c>
      <c r="O702" s="99"/>
      <c r="P702" s="10"/>
      <c r="R702" s="10"/>
      <c r="S702" s="10"/>
      <c r="U702" s="10"/>
    </row>
    <row r="703" spans="1:21" x14ac:dyDescent="0.35">
      <c r="A703" s="126">
        <f t="shared" si="24"/>
        <v>46722</v>
      </c>
      <c r="B703" s="118" t="str">
        <f t="shared" si="23"/>
        <v>dez/27</v>
      </c>
      <c r="C703" s="115"/>
      <c r="D703" s="116"/>
      <c r="E703" s="118">
        <v>0</v>
      </c>
      <c r="F703" s="115"/>
      <c r="G703" s="116"/>
      <c r="H703" s="118">
        <v>0</v>
      </c>
      <c r="I703" s="115"/>
      <c r="J703" s="116"/>
      <c r="K703" s="9">
        <v>0</v>
      </c>
      <c r="L703" s="127"/>
      <c r="M703" s="117">
        <f>IFERROR(IF(WEEKDAY($A703)&lt;&gt;1,HLOOKUP($B703,'SERVIÇOS NOTÁVEIS'!$23:$32,10,FALSE)*1.39,0),0)</f>
        <v>0</v>
      </c>
      <c r="O703" s="99"/>
      <c r="P703" s="10"/>
      <c r="R703" s="10"/>
      <c r="S703" s="10"/>
      <c r="U703" s="10"/>
    </row>
    <row r="704" spans="1:21" x14ac:dyDescent="0.35">
      <c r="A704" s="126">
        <f t="shared" si="24"/>
        <v>46723</v>
      </c>
      <c r="B704" s="118" t="str">
        <f t="shared" si="23"/>
        <v>dez/27</v>
      </c>
      <c r="C704" s="115"/>
      <c r="D704" s="116"/>
      <c r="E704" s="118">
        <v>0</v>
      </c>
      <c r="F704" s="115"/>
      <c r="G704" s="116"/>
      <c r="H704" s="118">
        <v>0</v>
      </c>
      <c r="I704" s="115"/>
      <c r="J704" s="116"/>
      <c r="K704" s="9">
        <v>0</v>
      </c>
      <c r="L704" s="127"/>
      <c r="M704" s="117">
        <f>IFERROR(IF(WEEKDAY($A704)&lt;&gt;1,HLOOKUP($B704,'SERVIÇOS NOTÁVEIS'!$23:$32,10,FALSE)*1.39,0),0)</f>
        <v>0</v>
      </c>
      <c r="O704" s="99"/>
      <c r="P704" s="10"/>
      <c r="R704" s="10"/>
      <c r="S704" s="10"/>
      <c r="U704" s="10"/>
    </row>
    <row r="705" spans="1:21" x14ac:dyDescent="0.35">
      <c r="A705" s="126">
        <f t="shared" si="24"/>
        <v>46724</v>
      </c>
      <c r="B705" s="118" t="str">
        <f t="shared" si="23"/>
        <v>dez/27</v>
      </c>
      <c r="C705" s="115"/>
      <c r="D705" s="116"/>
      <c r="E705" s="118">
        <v>0</v>
      </c>
      <c r="F705" s="115"/>
      <c r="G705" s="116"/>
      <c r="H705" s="118">
        <v>0</v>
      </c>
      <c r="I705" s="115"/>
      <c r="J705" s="116"/>
      <c r="K705" s="9">
        <v>0</v>
      </c>
      <c r="L705" s="127"/>
      <c r="M705" s="117">
        <f>IFERROR(IF(WEEKDAY($A705)&lt;&gt;1,HLOOKUP($B705,'SERVIÇOS NOTÁVEIS'!$23:$32,10,FALSE)*1.39,0),0)</f>
        <v>0</v>
      </c>
      <c r="O705" s="99"/>
      <c r="P705" s="10"/>
      <c r="R705" s="10"/>
      <c r="S705" s="10"/>
      <c r="U705" s="10"/>
    </row>
    <row r="706" spans="1:21" x14ac:dyDescent="0.35">
      <c r="A706" s="126">
        <f t="shared" si="24"/>
        <v>46725</v>
      </c>
      <c r="B706" s="118" t="str">
        <f t="shared" si="23"/>
        <v>dez/27</v>
      </c>
      <c r="C706" s="115"/>
      <c r="D706" s="116"/>
      <c r="E706" s="118">
        <v>0</v>
      </c>
      <c r="F706" s="115"/>
      <c r="G706" s="116"/>
      <c r="H706" s="118">
        <v>0</v>
      </c>
      <c r="I706" s="115"/>
      <c r="J706" s="116"/>
      <c r="K706" s="9">
        <v>0</v>
      </c>
      <c r="L706" s="127"/>
      <c r="M706" s="117">
        <f>IFERROR(IF(WEEKDAY($A706)&lt;&gt;1,HLOOKUP($B706,'SERVIÇOS NOTÁVEIS'!$23:$32,10,FALSE)*1.39,0),0)</f>
        <v>0</v>
      </c>
      <c r="O706" s="99"/>
      <c r="P706" s="10"/>
      <c r="R706" s="10"/>
      <c r="S706" s="10"/>
      <c r="U706" s="10"/>
    </row>
    <row r="707" spans="1:21" x14ac:dyDescent="0.35">
      <c r="A707" s="126">
        <f t="shared" si="24"/>
        <v>46726</v>
      </c>
      <c r="B707" s="118" t="str">
        <f t="shared" si="23"/>
        <v>dez/27</v>
      </c>
      <c r="C707" s="115"/>
      <c r="D707" s="116"/>
      <c r="E707" s="118">
        <v>0</v>
      </c>
      <c r="F707" s="115"/>
      <c r="G707" s="116"/>
      <c r="H707" s="118">
        <v>0</v>
      </c>
      <c r="I707" s="115"/>
      <c r="J707" s="116"/>
      <c r="K707" s="9">
        <v>0</v>
      </c>
      <c r="L707" s="127"/>
      <c r="M707" s="117">
        <f>IFERROR(IF(WEEKDAY($A707)&lt;&gt;1,HLOOKUP($B707,'SERVIÇOS NOTÁVEIS'!$23:$32,10,FALSE)*1.39,0),0)</f>
        <v>0</v>
      </c>
      <c r="O707" s="99"/>
      <c r="P707" s="10"/>
      <c r="R707" s="10"/>
      <c r="S707" s="10"/>
      <c r="U707" s="10"/>
    </row>
    <row r="708" spans="1:21" x14ac:dyDescent="0.35">
      <c r="A708" s="126">
        <f t="shared" si="24"/>
        <v>46727</v>
      </c>
      <c r="B708" s="118" t="str">
        <f t="shared" si="23"/>
        <v>dez/27</v>
      </c>
      <c r="C708" s="115"/>
      <c r="D708" s="116"/>
      <c r="E708" s="118">
        <v>0</v>
      </c>
      <c r="F708" s="115"/>
      <c r="G708" s="116"/>
      <c r="H708" s="118">
        <v>0</v>
      </c>
      <c r="I708" s="115"/>
      <c r="J708" s="116"/>
      <c r="K708" s="9">
        <v>0</v>
      </c>
      <c r="L708" s="127"/>
      <c r="M708" s="117">
        <f>IFERROR(IF(WEEKDAY($A708)&lt;&gt;1,HLOOKUP($B708,'SERVIÇOS NOTÁVEIS'!$23:$32,10,FALSE)*1.39,0),0)</f>
        <v>0</v>
      </c>
      <c r="O708" s="99"/>
      <c r="P708" s="10"/>
      <c r="R708" s="10"/>
      <c r="S708" s="10"/>
      <c r="U708" s="10"/>
    </row>
    <row r="709" spans="1:21" x14ac:dyDescent="0.35">
      <c r="A709" s="126">
        <f t="shared" si="24"/>
        <v>46728</v>
      </c>
      <c r="B709" s="118" t="str">
        <f t="shared" ref="B709:B733" si="25">TEXT(A709,"MMM/AA")</f>
        <v>dez/27</v>
      </c>
      <c r="C709" s="115"/>
      <c r="D709" s="116"/>
      <c r="E709" s="118">
        <v>0</v>
      </c>
      <c r="F709" s="115"/>
      <c r="G709" s="116"/>
      <c r="H709" s="118">
        <v>0</v>
      </c>
      <c r="I709" s="115"/>
      <c r="J709" s="116"/>
      <c r="K709" s="9">
        <v>0</v>
      </c>
      <c r="L709" s="127"/>
      <c r="M709" s="117">
        <f>IFERROR(IF(WEEKDAY($A709)&lt;&gt;1,HLOOKUP($B709,'SERVIÇOS NOTÁVEIS'!$23:$32,10,FALSE)*1.39,0),0)</f>
        <v>0</v>
      </c>
      <c r="O709" s="99"/>
      <c r="P709" s="10"/>
      <c r="R709" s="10"/>
      <c r="S709" s="10"/>
      <c r="U709" s="10"/>
    </row>
    <row r="710" spans="1:21" x14ac:dyDescent="0.35">
      <c r="A710" s="126">
        <f t="shared" si="24"/>
        <v>46729</v>
      </c>
      <c r="B710" s="118" t="str">
        <f t="shared" si="25"/>
        <v>dez/27</v>
      </c>
      <c r="C710" s="115"/>
      <c r="D710" s="116"/>
      <c r="E710" s="118">
        <v>0</v>
      </c>
      <c r="F710" s="115"/>
      <c r="G710" s="116"/>
      <c r="H710" s="118">
        <v>0</v>
      </c>
      <c r="I710" s="115"/>
      <c r="J710" s="116"/>
      <c r="K710" s="9">
        <v>0</v>
      </c>
      <c r="L710" s="127"/>
      <c r="M710" s="117">
        <f>IFERROR(IF(WEEKDAY($A710)&lt;&gt;1,HLOOKUP($B710,'SERVIÇOS NOTÁVEIS'!$23:$32,10,FALSE)*1.39,0),0)</f>
        <v>0</v>
      </c>
      <c r="O710" s="99"/>
      <c r="P710" s="10"/>
      <c r="R710" s="10"/>
      <c r="S710" s="10"/>
      <c r="U710" s="10"/>
    </row>
    <row r="711" spans="1:21" x14ac:dyDescent="0.35">
      <c r="A711" s="126">
        <f t="shared" si="24"/>
        <v>46730</v>
      </c>
      <c r="B711" s="118" t="str">
        <f t="shared" si="25"/>
        <v>dez/27</v>
      </c>
      <c r="C711" s="115"/>
      <c r="D711" s="116"/>
      <c r="E711" s="118">
        <v>0</v>
      </c>
      <c r="F711" s="115"/>
      <c r="G711" s="116"/>
      <c r="H711" s="118">
        <v>0</v>
      </c>
      <c r="I711" s="115"/>
      <c r="J711" s="116"/>
      <c r="K711" s="9">
        <v>0</v>
      </c>
      <c r="L711" s="127"/>
      <c r="M711" s="117">
        <f>IFERROR(IF(WEEKDAY($A711)&lt;&gt;1,HLOOKUP($B711,'SERVIÇOS NOTÁVEIS'!$23:$32,10,FALSE)*1.39,0),0)</f>
        <v>0</v>
      </c>
      <c r="O711" s="99"/>
      <c r="P711" s="10"/>
      <c r="R711" s="10"/>
      <c r="S711" s="10"/>
      <c r="U711" s="10"/>
    </row>
    <row r="712" spans="1:21" x14ac:dyDescent="0.35">
      <c r="A712" s="126">
        <f t="shared" si="24"/>
        <v>46731</v>
      </c>
      <c r="B712" s="118" t="str">
        <f t="shared" si="25"/>
        <v>dez/27</v>
      </c>
      <c r="C712" s="115"/>
      <c r="D712" s="116"/>
      <c r="E712" s="118">
        <v>0</v>
      </c>
      <c r="F712" s="115"/>
      <c r="G712" s="116"/>
      <c r="H712" s="118">
        <v>0</v>
      </c>
      <c r="I712" s="115"/>
      <c r="J712" s="116"/>
      <c r="K712" s="9">
        <v>0</v>
      </c>
      <c r="L712" s="127"/>
      <c r="M712" s="117">
        <f>IFERROR(IF(WEEKDAY($A712)&lt;&gt;1,HLOOKUP($B712,'SERVIÇOS NOTÁVEIS'!$23:$32,10,FALSE)*1.39,0),0)</f>
        <v>0</v>
      </c>
      <c r="O712" s="99"/>
      <c r="P712" s="10"/>
      <c r="R712" s="10"/>
      <c r="S712" s="10"/>
      <c r="U712" s="10"/>
    </row>
    <row r="713" spans="1:21" x14ac:dyDescent="0.35">
      <c r="A713" s="126">
        <f t="shared" si="24"/>
        <v>46732</v>
      </c>
      <c r="B713" s="118" t="str">
        <f t="shared" si="25"/>
        <v>dez/27</v>
      </c>
      <c r="C713" s="115"/>
      <c r="D713" s="116"/>
      <c r="E713" s="118">
        <v>0</v>
      </c>
      <c r="F713" s="115"/>
      <c r="G713" s="116"/>
      <c r="H713" s="118">
        <v>0</v>
      </c>
      <c r="I713" s="115"/>
      <c r="J713" s="116"/>
      <c r="K713" s="9">
        <v>0</v>
      </c>
      <c r="L713" s="127"/>
      <c r="M713" s="117">
        <f>IFERROR(IF(WEEKDAY($A713)&lt;&gt;1,HLOOKUP($B713,'SERVIÇOS NOTÁVEIS'!$23:$32,10,FALSE)*1.39,0),0)</f>
        <v>0</v>
      </c>
      <c r="O713" s="99"/>
      <c r="P713" s="10"/>
      <c r="R713" s="10"/>
      <c r="S713" s="10"/>
      <c r="U713" s="10"/>
    </row>
    <row r="714" spans="1:21" x14ac:dyDescent="0.35">
      <c r="A714" s="126">
        <f t="shared" si="24"/>
        <v>46733</v>
      </c>
      <c r="B714" s="118" t="str">
        <f t="shared" si="25"/>
        <v>dez/27</v>
      </c>
      <c r="C714" s="115"/>
      <c r="D714" s="116"/>
      <c r="E714" s="118">
        <v>0</v>
      </c>
      <c r="F714" s="115"/>
      <c r="G714" s="116"/>
      <c r="H714" s="118">
        <v>0</v>
      </c>
      <c r="I714" s="115"/>
      <c r="J714" s="116"/>
      <c r="K714" s="9">
        <v>0</v>
      </c>
      <c r="L714" s="127"/>
      <c r="M714" s="117">
        <f>IFERROR(IF(WEEKDAY($A714)&lt;&gt;1,HLOOKUP($B714,'SERVIÇOS NOTÁVEIS'!$23:$32,10,FALSE)*1.39,0),0)</f>
        <v>0</v>
      </c>
      <c r="O714" s="99"/>
      <c r="P714" s="10"/>
      <c r="R714" s="10"/>
      <c r="S714" s="10"/>
      <c r="U714" s="10"/>
    </row>
    <row r="715" spans="1:21" x14ac:dyDescent="0.35">
      <c r="A715" s="126">
        <f t="shared" si="24"/>
        <v>46734</v>
      </c>
      <c r="B715" s="118" t="str">
        <f t="shared" si="25"/>
        <v>dez/27</v>
      </c>
      <c r="C715" s="115"/>
      <c r="D715" s="116"/>
      <c r="E715" s="118">
        <v>0</v>
      </c>
      <c r="F715" s="115"/>
      <c r="G715" s="116"/>
      <c r="H715" s="118">
        <v>0</v>
      </c>
      <c r="I715" s="115"/>
      <c r="J715" s="116"/>
      <c r="K715" s="9">
        <v>0</v>
      </c>
      <c r="L715" s="127"/>
      <c r="M715" s="117">
        <f>IFERROR(IF(WEEKDAY($A715)&lt;&gt;1,HLOOKUP($B715,'SERVIÇOS NOTÁVEIS'!$23:$32,10,FALSE)*1.39,0),0)</f>
        <v>0</v>
      </c>
      <c r="O715" s="99"/>
      <c r="P715" s="10"/>
      <c r="R715" s="10"/>
      <c r="S715" s="10"/>
      <c r="U715" s="10"/>
    </row>
    <row r="716" spans="1:21" x14ac:dyDescent="0.35">
      <c r="A716" s="126">
        <f t="shared" si="24"/>
        <v>46735</v>
      </c>
      <c r="B716" s="118" t="str">
        <f t="shared" si="25"/>
        <v>dez/27</v>
      </c>
      <c r="C716" s="115"/>
      <c r="D716" s="116"/>
      <c r="E716" s="118">
        <v>0</v>
      </c>
      <c r="F716" s="115"/>
      <c r="G716" s="116"/>
      <c r="H716" s="118">
        <v>0</v>
      </c>
      <c r="I716" s="115"/>
      <c r="J716" s="116"/>
      <c r="K716" s="9">
        <v>0</v>
      </c>
      <c r="L716" s="127"/>
      <c r="M716" s="117">
        <f>IFERROR(IF(WEEKDAY($A716)&lt;&gt;1,HLOOKUP($B716,'SERVIÇOS NOTÁVEIS'!$23:$32,10,FALSE)*1.39,0),0)</f>
        <v>0</v>
      </c>
      <c r="O716" s="99"/>
      <c r="P716" s="10"/>
      <c r="R716" s="10"/>
      <c r="S716" s="10"/>
      <c r="U716" s="10"/>
    </row>
    <row r="717" spans="1:21" x14ac:dyDescent="0.35">
      <c r="A717" s="126">
        <f t="shared" si="24"/>
        <v>46736</v>
      </c>
      <c r="B717" s="118" t="str">
        <f t="shared" si="25"/>
        <v>dez/27</v>
      </c>
      <c r="C717" s="115"/>
      <c r="D717" s="116"/>
      <c r="E717" s="118">
        <v>0</v>
      </c>
      <c r="F717" s="115"/>
      <c r="G717" s="116"/>
      <c r="H717" s="118">
        <v>0</v>
      </c>
      <c r="I717" s="115"/>
      <c r="J717" s="116"/>
      <c r="K717" s="9">
        <v>0</v>
      </c>
      <c r="L717" s="127"/>
      <c r="M717" s="117">
        <f>IFERROR(IF(WEEKDAY($A717)&lt;&gt;1,HLOOKUP($B717,'SERVIÇOS NOTÁVEIS'!$23:$32,10,FALSE)*1.39,0),0)</f>
        <v>0</v>
      </c>
      <c r="O717" s="99"/>
      <c r="P717" s="10"/>
      <c r="R717" s="10"/>
      <c r="S717" s="10"/>
      <c r="U717" s="10"/>
    </row>
    <row r="718" spans="1:21" x14ac:dyDescent="0.35">
      <c r="A718" s="126">
        <f t="shared" si="24"/>
        <v>46737</v>
      </c>
      <c r="B718" s="118" t="str">
        <f t="shared" si="25"/>
        <v>dez/27</v>
      </c>
      <c r="C718" s="115"/>
      <c r="D718" s="116"/>
      <c r="E718" s="118">
        <v>0</v>
      </c>
      <c r="F718" s="115"/>
      <c r="G718" s="116"/>
      <c r="H718" s="118">
        <v>0</v>
      </c>
      <c r="I718" s="115"/>
      <c r="J718" s="116"/>
      <c r="K718" s="9">
        <v>0</v>
      </c>
      <c r="L718" s="127"/>
      <c r="M718" s="117">
        <f>IFERROR(IF(WEEKDAY($A718)&lt;&gt;1,HLOOKUP($B718,'SERVIÇOS NOTÁVEIS'!$23:$32,10,FALSE)*1.39,0),0)</f>
        <v>0</v>
      </c>
      <c r="O718" s="99"/>
      <c r="P718" s="10"/>
      <c r="R718" s="10"/>
      <c r="S718" s="10"/>
      <c r="U718" s="10"/>
    </row>
    <row r="719" spans="1:21" x14ac:dyDescent="0.35">
      <c r="A719" s="126">
        <f t="shared" si="24"/>
        <v>46738</v>
      </c>
      <c r="B719" s="118" t="str">
        <f t="shared" si="25"/>
        <v>dez/27</v>
      </c>
      <c r="C719" s="115"/>
      <c r="D719" s="116"/>
      <c r="E719" s="118">
        <v>0</v>
      </c>
      <c r="F719" s="115"/>
      <c r="G719" s="116"/>
      <c r="H719" s="118">
        <v>0</v>
      </c>
      <c r="I719" s="115"/>
      <c r="J719" s="116"/>
      <c r="K719" s="9">
        <v>0</v>
      </c>
      <c r="L719" s="127"/>
      <c r="M719" s="117">
        <f>IFERROR(IF(WEEKDAY($A719)&lt;&gt;1,HLOOKUP($B719,'SERVIÇOS NOTÁVEIS'!$23:$32,10,FALSE)*1.39,0),0)</f>
        <v>0</v>
      </c>
      <c r="O719" s="99"/>
      <c r="P719" s="10"/>
      <c r="R719" s="10"/>
      <c r="S719" s="10"/>
      <c r="U719" s="10"/>
    </row>
    <row r="720" spans="1:21" x14ac:dyDescent="0.35">
      <c r="A720" s="126">
        <f t="shared" si="24"/>
        <v>46739</v>
      </c>
      <c r="B720" s="118" t="str">
        <f t="shared" si="25"/>
        <v>dez/27</v>
      </c>
      <c r="C720" s="115"/>
      <c r="D720" s="116"/>
      <c r="E720" s="118">
        <v>0</v>
      </c>
      <c r="F720" s="115"/>
      <c r="G720" s="116"/>
      <c r="H720" s="118">
        <v>0</v>
      </c>
      <c r="I720" s="115"/>
      <c r="J720" s="116"/>
      <c r="K720" s="9">
        <v>0</v>
      </c>
      <c r="L720" s="127"/>
      <c r="M720" s="117">
        <f>IFERROR(IF(WEEKDAY($A720)&lt;&gt;1,HLOOKUP($B720,'SERVIÇOS NOTÁVEIS'!$23:$32,10,FALSE)*1.39,0),0)</f>
        <v>0</v>
      </c>
      <c r="O720" s="99"/>
      <c r="P720" s="10"/>
      <c r="R720" s="10"/>
      <c r="S720" s="10"/>
      <c r="U720" s="10"/>
    </row>
    <row r="721" spans="1:21" x14ac:dyDescent="0.35">
      <c r="A721" s="126">
        <f t="shared" si="24"/>
        <v>46740</v>
      </c>
      <c r="B721" s="118" t="str">
        <f t="shared" si="25"/>
        <v>dez/27</v>
      </c>
      <c r="C721" s="115"/>
      <c r="D721" s="116"/>
      <c r="E721" s="118">
        <v>0</v>
      </c>
      <c r="F721" s="115"/>
      <c r="G721" s="116"/>
      <c r="H721" s="118">
        <v>0</v>
      </c>
      <c r="I721" s="115"/>
      <c r="J721" s="116"/>
      <c r="K721" s="9">
        <v>0</v>
      </c>
      <c r="L721" s="127"/>
      <c r="M721" s="117">
        <f>IFERROR(IF(WEEKDAY($A721)&lt;&gt;1,HLOOKUP($B721,'SERVIÇOS NOTÁVEIS'!$23:$32,10,FALSE)*1.39,0),0)</f>
        <v>0</v>
      </c>
      <c r="O721" s="99"/>
      <c r="P721" s="10"/>
      <c r="R721" s="10"/>
      <c r="S721" s="10"/>
      <c r="U721" s="10"/>
    </row>
    <row r="722" spans="1:21" x14ac:dyDescent="0.35">
      <c r="A722" s="126">
        <f t="shared" si="24"/>
        <v>46741</v>
      </c>
      <c r="B722" s="118" t="str">
        <f t="shared" si="25"/>
        <v>dez/27</v>
      </c>
      <c r="C722" s="115"/>
      <c r="D722" s="116"/>
      <c r="E722" s="118">
        <v>0</v>
      </c>
      <c r="F722" s="115"/>
      <c r="G722" s="116"/>
      <c r="H722" s="118">
        <v>0</v>
      </c>
      <c r="I722" s="115"/>
      <c r="J722" s="116"/>
      <c r="K722" s="9">
        <v>0</v>
      </c>
      <c r="L722" s="127"/>
      <c r="M722" s="117">
        <f>IFERROR(IF(WEEKDAY($A722)&lt;&gt;1,HLOOKUP($B722,'SERVIÇOS NOTÁVEIS'!$23:$32,10,FALSE)*1.39,0),0)</f>
        <v>0</v>
      </c>
      <c r="O722" s="99"/>
      <c r="P722" s="10"/>
      <c r="R722" s="10"/>
      <c r="S722" s="10"/>
      <c r="U722" s="10"/>
    </row>
    <row r="723" spans="1:21" x14ac:dyDescent="0.35">
      <c r="A723" s="126">
        <f t="shared" si="24"/>
        <v>46742</v>
      </c>
      <c r="B723" s="118" t="str">
        <f t="shared" si="25"/>
        <v>dez/27</v>
      </c>
      <c r="C723" s="115"/>
      <c r="D723" s="116"/>
      <c r="E723" s="118">
        <v>0</v>
      </c>
      <c r="F723" s="115"/>
      <c r="G723" s="116"/>
      <c r="H723" s="118">
        <v>0</v>
      </c>
      <c r="I723" s="115"/>
      <c r="J723" s="116"/>
      <c r="K723" s="9">
        <v>0</v>
      </c>
      <c r="L723" s="127"/>
      <c r="M723" s="117">
        <f>IFERROR(IF(WEEKDAY($A723)&lt;&gt;1,HLOOKUP($B723,'SERVIÇOS NOTÁVEIS'!$23:$32,10,FALSE)*1.39,0),0)</f>
        <v>0</v>
      </c>
      <c r="O723" s="99"/>
      <c r="P723" s="10"/>
      <c r="R723" s="10"/>
      <c r="S723" s="10"/>
      <c r="U723" s="10"/>
    </row>
    <row r="724" spans="1:21" x14ac:dyDescent="0.35">
      <c r="A724" s="126">
        <f t="shared" si="24"/>
        <v>46743</v>
      </c>
      <c r="B724" s="118" t="str">
        <f t="shared" si="25"/>
        <v>dez/27</v>
      </c>
      <c r="C724" s="115"/>
      <c r="D724" s="116"/>
      <c r="E724" s="118">
        <v>0</v>
      </c>
      <c r="F724" s="115"/>
      <c r="G724" s="116"/>
      <c r="H724" s="118">
        <v>0</v>
      </c>
      <c r="I724" s="115"/>
      <c r="J724" s="116"/>
      <c r="K724" s="9">
        <v>0</v>
      </c>
      <c r="L724" s="127"/>
      <c r="M724" s="117">
        <f>IFERROR(IF(WEEKDAY($A724)&lt;&gt;1,HLOOKUP($B724,'SERVIÇOS NOTÁVEIS'!$23:$32,10,FALSE)*1.39,0),0)</f>
        <v>0</v>
      </c>
      <c r="O724" s="99"/>
      <c r="P724" s="10"/>
      <c r="R724" s="10"/>
      <c r="S724" s="10"/>
      <c r="U724" s="10"/>
    </row>
    <row r="725" spans="1:21" x14ac:dyDescent="0.35">
      <c r="A725" s="126">
        <f t="shared" si="24"/>
        <v>46744</v>
      </c>
      <c r="B725" s="118" t="str">
        <f t="shared" si="25"/>
        <v>dez/27</v>
      </c>
      <c r="C725" s="115"/>
      <c r="D725" s="116"/>
      <c r="E725" s="118">
        <v>0</v>
      </c>
      <c r="F725" s="115"/>
      <c r="G725" s="116"/>
      <c r="H725" s="118">
        <v>0</v>
      </c>
      <c r="I725" s="115"/>
      <c r="J725" s="116"/>
      <c r="K725" s="9">
        <v>0</v>
      </c>
      <c r="L725" s="127"/>
      <c r="M725" s="117">
        <f>IFERROR(IF(WEEKDAY($A725)&lt;&gt;1,HLOOKUP($B725,'SERVIÇOS NOTÁVEIS'!$23:$32,10,FALSE)*1.39,0),0)</f>
        <v>0</v>
      </c>
      <c r="O725" s="99"/>
      <c r="P725" s="10"/>
      <c r="R725" s="10"/>
      <c r="S725" s="10"/>
      <c r="U725" s="10"/>
    </row>
    <row r="726" spans="1:21" x14ac:dyDescent="0.35">
      <c r="A726" s="126">
        <f t="shared" si="24"/>
        <v>46745</v>
      </c>
      <c r="B726" s="118" t="str">
        <f t="shared" si="25"/>
        <v>dez/27</v>
      </c>
      <c r="C726" s="115"/>
      <c r="D726" s="116"/>
      <c r="E726" s="118">
        <v>0</v>
      </c>
      <c r="F726" s="115"/>
      <c r="G726" s="116"/>
      <c r="H726" s="118">
        <v>0</v>
      </c>
      <c r="I726" s="115"/>
      <c r="J726" s="116"/>
      <c r="K726" s="9">
        <v>0</v>
      </c>
      <c r="L726" s="127"/>
      <c r="M726" s="117">
        <f>IFERROR(IF(WEEKDAY($A726)&lt;&gt;1,HLOOKUP($B726,'SERVIÇOS NOTÁVEIS'!$23:$32,10,FALSE)*1.39,0),0)</f>
        <v>0</v>
      </c>
      <c r="O726" s="99"/>
      <c r="P726" s="10"/>
      <c r="R726" s="10"/>
      <c r="S726" s="10"/>
      <c r="U726" s="10"/>
    </row>
    <row r="727" spans="1:21" x14ac:dyDescent="0.35">
      <c r="A727" s="126">
        <f t="shared" si="24"/>
        <v>46746</v>
      </c>
      <c r="B727" s="118" t="str">
        <f t="shared" si="25"/>
        <v>dez/27</v>
      </c>
      <c r="C727" s="115"/>
      <c r="D727" s="116"/>
      <c r="E727" s="118">
        <v>0</v>
      </c>
      <c r="F727" s="115"/>
      <c r="G727" s="116"/>
      <c r="H727" s="118">
        <v>0</v>
      </c>
      <c r="I727" s="115"/>
      <c r="J727" s="116"/>
      <c r="K727" s="9">
        <v>0</v>
      </c>
      <c r="L727" s="127"/>
      <c r="M727" s="117">
        <f>IFERROR(IF(WEEKDAY($A727)&lt;&gt;1,HLOOKUP($B727,'SERVIÇOS NOTÁVEIS'!$23:$32,10,FALSE)*1.39,0),0)</f>
        <v>0</v>
      </c>
      <c r="O727" s="99"/>
      <c r="P727" s="10"/>
      <c r="R727" s="10"/>
      <c r="S727" s="10"/>
      <c r="U727" s="10"/>
    </row>
    <row r="728" spans="1:21" x14ac:dyDescent="0.35">
      <c r="A728" s="126">
        <f t="shared" si="24"/>
        <v>46747</v>
      </c>
      <c r="B728" s="118" t="str">
        <f t="shared" si="25"/>
        <v>dez/27</v>
      </c>
      <c r="C728" s="115"/>
      <c r="D728" s="116"/>
      <c r="E728" s="118">
        <v>0</v>
      </c>
      <c r="F728" s="115"/>
      <c r="G728" s="116"/>
      <c r="H728" s="118">
        <v>0</v>
      </c>
      <c r="I728" s="115"/>
      <c r="J728" s="116"/>
      <c r="K728" s="9">
        <v>0</v>
      </c>
      <c r="L728" s="127"/>
      <c r="M728" s="117">
        <f>IFERROR(IF(WEEKDAY($A728)&lt;&gt;1,HLOOKUP($B728,'SERVIÇOS NOTÁVEIS'!$23:$32,10,FALSE)*1.39,0),0)</f>
        <v>0</v>
      </c>
      <c r="O728" s="99"/>
      <c r="P728" s="10"/>
      <c r="R728" s="10"/>
      <c r="S728" s="10"/>
      <c r="U728" s="10"/>
    </row>
    <row r="729" spans="1:21" x14ac:dyDescent="0.35">
      <c r="A729" s="126">
        <f t="shared" si="24"/>
        <v>46748</v>
      </c>
      <c r="B729" s="118" t="str">
        <f t="shared" si="25"/>
        <v>dez/27</v>
      </c>
      <c r="C729" s="115"/>
      <c r="D729" s="116"/>
      <c r="E729" s="118">
        <v>0</v>
      </c>
      <c r="F729" s="115"/>
      <c r="G729" s="116"/>
      <c r="H729" s="118">
        <v>0</v>
      </c>
      <c r="I729" s="115"/>
      <c r="J729" s="116"/>
      <c r="K729" s="9">
        <v>0</v>
      </c>
      <c r="L729" s="127"/>
      <c r="M729" s="117">
        <f>IFERROR(IF(WEEKDAY($A729)&lt;&gt;1,HLOOKUP($B729,'SERVIÇOS NOTÁVEIS'!$23:$32,10,FALSE)*1.39,0),0)</f>
        <v>0</v>
      </c>
      <c r="O729" s="99"/>
      <c r="P729" s="10"/>
      <c r="R729" s="10"/>
      <c r="S729" s="10"/>
      <c r="U729" s="10"/>
    </row>
    <row r="730" spans="1:21" x14ac:dyDescent="0.35">
      <c r="A730" s="126">
        <f t="shared" si="24"/>
        <v>46749</v>
      </c>
      <c r="B730" s="118" t="str">
        <f t="shared" si="25"/>
        <v>dez/27</v>
      </c>
      <c r="C730" s="115"/>
      <c r="D730" s="116"/>
      <c r="E730" s="118">
        <v>0</v>
      </c>
      <c r="F730" s="115"/>
      <c r="G730" s="116"/>
      <c r="H730" s="118">
        <v>0</v>
      </c>
      <c r="I730" s="115"/>
      <c r="J730" s="116"/>
      <c r="K730" s="9">
        <v>0</v>
      </c>
      <c r="L730" s="127"/>
      <c r="M730" s="117">
        <f>IFERROR(IF(WEEKDAY($A730)&lt;&gt;1,HLOOKUP($B730,'SERVIÇOS NOTÁVEIS'!$23:$32,10,FALSE)*1.39,0),0)</f>
        <v>0</v>
      </c>
      <c r="O730" s="99"/>
      <c r="P730" s="10"/>
      <c r="R730" s="10"/>
      <c r="S730" s="10"/>
      <c r="U730" s="10"/>
    </row>
    <row r="731" spans="1:21" x14ac:dyDescent="0.35">
      <c r="A731" s="126">
        <f t="shared" si="24"/>
        <v>46750</v>
      </c>
      <c r="B731" s="118" t="str">
        <f t="shared" si="25"/>
        <v>dez/27</v>
      </c>
      <c r="C731" s="115"/>
      <c r="D731" s="116"/>
      <c r="E731" s="118">
        <v>0</v>
      </c>
      <c r="F731" s="115"/>
      <c r="G731" s="116"/>
      <c r="H731" s="118">
        <v>0</v>
      </c>
      <c r="I731" s="115"/>
      <c r="J731" s="116"/>
      <c r="K731" s="9">
        <v>0</v>
      </c>
      <c r="L731" s="127"/>
      <c r="M731" s="117">
        <f>IFERROR(IF(WEEKDAY($A731)&lt;&gt;1,HLOOKUP($B731,'SERVIÇOS NOTÁVEIS'!$23:$32,10,FALSE)*1.39,0),0)</f>
        <v>0</v>
      </c>
      <c r="O731" s="99"/>
      <c r="P731" s="10"/>
      <c r="R731" s="10"/>
      <c r="S731" s="10"/>
      <c r="U731" s="10"/>
    </row>
    <row r="732" spans="1:21" x14ac:dyDescent="0.35">
      <c r="A732" s="126">
        <f t="shared" si="24"/>
        <v>46751</v>
      </c>
      <c r="B732" s="118" t="str">
        <f t="shared" si="25"/>
        <v>dez/27</v>
      </c>
      <c r="C732" s="115"/>
      <c r="D732" s="116"/>
      <c r="E732" s="118">
        <v>0</v>
      </c>
      <c r="F732" s="115"/>
      <c r="G732" s="116"/>
      <c r="H732" s="118">
        <v>0</v>
      </c>
      <c r="I732" s="115"/>
      <c r="J732" s="116"/>
      <c r="K732" s="9">
        <v>0</v>
      </c>
      <c r="L732" s="127"/>
      <c r="M732" s="117">
        <f>IFERROR(IF(WEEKDAY($A732)&lt;&gt;1,HLOOKUP($B732,'SERVIÇOS NOTÁVEIS'!$23:$32,10,FALSE)*1.39,0),0)</f>
        <v>0</v>
      </c>
      <c r="O732" s="99"/>
      <c r="P732" s="10"/>
      <c r="R732" s="10"/>
      <c r="S732" s="10"/>
      <c r="U732" s="10"/>
    </row>
    <row r="733" spans="1:21" ht="15" thickBot="1" x14ac:dyDescent="0.4">
      <c r="A733" s="138">
        <f t="shared" si="24"/>
        <v>46752</v>
      </c>
      <c r="B733" s="139" t="str">
        <f t="shared" si="25"/>
        <v>dez/27</v>
      </c>
      <c r="C733" s="140"/>
      <c r="D733" s="141"/>
      <c r="E733" s="139">
        <v>0</v>
      </c>
      <c r="F733" s="140"/>
      <c r="G733" s="141"/>
      <c r="H733" s="139">
        <v>0</v>
      </c>
      <c r="I733" s="140"/>
      <c r="J733" s="141"/>
      <c r="K733" s="139">
        <v>0</v>
      </c>
      <c r="L733" s="142"/>
      <c r="M733" s="143">
        <f>IFERROR(IF(WEEKDAY($A733)&lt;&gt;1,HLOOKUP($B733,'SERVIÇOS NOTÁVEIS'!$23:$32,10,FALSE)*1.39,0),0)</f>
        <v>0</v>
      </c>
      <c r="O733" s="99"/>
      <c r="P733" s="10"/>
      <c r="R733" s="10"/>
      <c r="S733" s="10"/>
      <c r="U733" s="10"/>
    </row>
    <row r="734" spans="1:21" ht="15" thickTop="1" x14ac:dyDescent="0.35">
      <c r="A734" s="137"/>
    </row>
    <row r="735" spans="1:21" x14ac:dyDescent="0.35">
      <c r="A735" s="137"/>
    </row>
    <row r="736" spans="1:21" x14ac:dyDescent="0.35">
      <c r="A736" s="137"/>
    </row>
    <row r="737" spans="1:1" x14ac:dyDescent="0.35">
      <c r="A737" s="137"/>
    </row>
    <row r="738" spans="1:1" x14ac:dyDescent="0.35">
      <c r="A738" s="137"/>
    </row>
    <row r="739" spans="1:1" x14ac:dyDescent="0.35">
      <c r="A739" s="137"/>
    </row>
    <row r="740" spans="1:1" x14ac:dyDescent="0.35">
      <c r="A740" s="137"/>
    </row>
    <row r="741" spans="1:1" x14ac:dyDescent="0.35">
      <c r="A741" s="137"/>
    </row>
    <row r="742" spans="1:1" x14ac:dyDescent="0.35">
      <c r="A742" s="137"/>
    </row>
    <row r="743" spans="1:1" x14ac:dyDescent="0.35">
      <c r="A743" s="137"/>
    </row>
    <row r="744" spans="1:1" x14ac:dyDescent="0.35">
      <c r="A744" s="137"/>
    </row>
    <row r="745" spans="1:1" x14ac:dyDescent="0.35">
      <c r="A745" s="137"/>
    </row>
    <row r="746" spans="1:1" x14ac:dyDescent="0.35">
      <c r="A746" s="137"/>
    </row>
    <row r="747" spans="1:1" x14ac:dyDescent="0.35">
      <c r="A747" s="137"/>
    </row>
    <row r="748" spans="1:1" x14ac:dyDescent="0.35">
      <c r="A748" s="137"/>
    </row>
    <row r="749" spans="1:1" x14ac:dyDescent="0.35">
      <c r="A749" s="137"/>
    </row>
    <row r="750" spans="1:1" x14ac:dyDescent="0.35">
      <c r="A750" s="137"/>
    </row>
    <row r="751" spans="1:1" x14ac:dyDescent="0.35">
      <c r="A751" s="137"/>
    </row>
    <row r="752" spans="1:1" x14ac:dyDescent="0.35">
      <c r="A752" s="137"/>
    </row>
    <row r="753" spans="1:1" x14ac:dyDescent="0.35">
      <c r="A753" s="137"/>
    </row>
    <row r="754" spans="1:1" x14ac:dyDescent="0.35">
      <c r="A754" s="137"/>
    </row>
    <row r="755" spans="1:1" x14ac:dyDescent="0.35">
      <c r="A755" s="137"/>
    </row>
    <row r="756" spans="1:1" x14ac:dyDescent="0.35">
      <c r="A756" s="137"/>
    </row>
    <row r="757" spans="1:1" x14ac:dyDescent="0.35">
      <c r="A757" s="137"/>
    </row>
    <row r="758" spans="1:1" x14ac:dyDescent="0.35">
      <c r="A758" s="137"/>
    </row>
    <row r="759" spans="1:1" x14ac:dyDescent="0.35">
      <c r="A759" s="137"/>
    </row>
    <row r="760" spans="1:1" x14ac:dyDescent="0.35">
      <c r="A760" s="137"/>
    </row>
    <row r="761" spans="1:1" x14ac:dyDescent="0.35">
      <c r="A761" s="137"/>
    </row>
    <row r="762" spans="1:1" x14ac:dyDescent="0.35">
      <c r="A762" s="137"/>
    </row>
    <row r="763" spans="1:1" x14ac:dyDescent="0.35">
      <c r="A763" s="137"/>
    </row>
    <row r="764" spans="1:1" x14ac:dyDescent="0.35">
      <c r="A764" s="137"/>
    </row>
    <row r="765" spans="1:1" x14ac:dyDescent="0.35">
      <c r="A765" s="137"/>
    </row>
    <row r="766" spans="1:1" x14ac:dyDescent="0.35">
      <c r="A766" s="137"/>
    </row>
    <row r="767" spans="1:1" x14ac:dyDescent="0.35">
      <c r="A767" s="137"/>
    </row>
    <row r="768" spans="1:1" x14ac:dyDescent="0.35">
      <c r="A768" s="137"/>
    </row>
    <row r="769" spans="1:1" x14ac:dyDescent="0.35">
      <c r="A769" s="137"/>
    </row>
    <row r="770" spans="1:1" x14ac:dyDescent="0.35">
      <c r="A770" s="137"/>
    </row>
    <row r="771" spans="1:1" x14ac:dyDescent="0.35">
      <c r="A771" s="137"/>
    </row>
    <row r="772" spans="1:1" x14ac:dyDescent="0.35">
      <c r="A772" s="137"/>
    </row>
    <row r="773" spans="1:1" x14ac:dyDescent="0.35">
      <c r="A773" s="137"/>
    </row>
    <row r="774" spans="1:1" x14ac:dyDescent="0.35">
      <c r="A774" s="137"/>
    </row>
    <row r="775" spans="1:1" x14ac:dyDescent="0.35">
      <c r="A775" s="137"/>
    </row>
    <row r="776" spans="1:1" x14ac:dyDescent="0.35">
      <c r="A776" s="137"/>
    </row>
    <row r="777" spans="1:1" x14ac:dyDescent="0.35">
      <c r="A777" s="137"/>
    </row>
    <row r="778" spans="1:1" x14ac:dyDescent="0.35">
      <c r="A778" s="137"/>
    </row>
    <row r="779" spans="1:1" x14ac:dyDescent="0.35">
      <c r="A779" s="137"/>
    </row>
    <row r="780" spans="1:1" x14ac:dyDescent="0.35">
      <c r="A780" s="137"/>
    </row>
    <row r="781" spans="1:1" x14ac:dyDescent="0.35">
      <c r="A781" s="137"/>
    </row>
    <row r="782" spans="1:1" x14ac:dyDescent="0.35">
      <c r="A782" s="137"/>
    </row>
    <row r="783" spans="1:1" x14ac:dyDescent="0.35">
      <c r="A783" s="137"/>
    </row>
    <row r="784" spans="1:1" x14ac:dyDescent="0.35">
      <c r="A784" s="137"/>
    </row>
    <row r="785" spans="1:1" x14ac:dyDescent="0.35">
      <c r="A785" s="137"/>
    </row>
    <row r="786" spans="1:1" x14ac:dyDescent="0.35">
      <c r="A786" s="137"/>
    </row>
    <row r="787" spans="1:1" x14ac:dyDescent="0.35">
      <c r="A787" s="137"/>
    </row>
    <row r="788" spans="1:1" x14ac:dyDescent="0.35">
      <c r="A788" s="137"/>
    </row>
  </sheetData>
  <mergeCells count="4">
    <mergeCell ref="L1:M1"/>
    <mergeCell ref="C1:E1"/>
    <mergeCell ref="F1:H1"/>
    <mergeCell ref="I1:K1"/>
  </mergeCells>
  <pageMargins left="0.511811024" right="0.511811024" top="0.78740157499999996" bottom="0.78740157499999996" header="0.31496062000000002" footer="0.31496062000000002"/>
  <ignoredErrors>
    <ignoredError sqref="D4:D183 F4:F183" formula="1"/>
  </ignoredError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AB1491-92E4-4225-BD5D-46CA88AF7984}">
  <dimension ref="A1:P15"/>
  <sheetViews>
    <sheetView workbookViewId="0">
      <selection activeCell="E14" sqref="E14"/>
    </sheetView>
  </sheetViews>
  <sheetFormatPr defaultRowHeight="14.5" x14ac:dyDescent="0.35"/>
  <cols>
    <col min="1" max="1" width="24.453125" customWidth="1"/>
    <col min="3" max="4" width="8.08984375" bestFit="1" customWidth="1"/>
    <col min="5" max="11" width="7.26953125" bestFit="1" customWidth="1"/>
    <col min="12" max="12" width="9.26953125" bestFit="1" customWidth="1"/>
    <col min="13" max="13" width="15.1796875" bestFit="1" customWidth="1"/>
    <col min="14" max="14" width="17.90625" bestFit="1" customWidth="1"/>
  </cols>
  <sheetData>
    <row r="1" spans="1:16" x14ac:dyDescent="0.35">
      <c r="A1" s="144" t="s">
        <v>47</v>
      </c>
      <c r="B1" s="145" t="s">
        <v>217</v>
      </c>
      <c r="C1" s="145" t="s">
        <v>49</v>
      </c>
      <c r="D1" s="145" t="s">
        <v>218</v>
      </c>
      <c r="E1" s="145" t="s">
        <v>40</v>
      </c>
      <c r="F1" s="145" t="s">
        <v>41</v>
      </c>
      <c r="G1" s="145" t="s">
        <v>42</v>
      </c>
      <c r="H1" s="145" t="s">
        <v>43</v>
      </c>
      <c r="I1" s="145" t="s">
        <v>44</v>
      </c>
      <c r="J1" s="145" t="s">
        <v>45</v>
      </c>
      <c r="K1" s="145" t="s">
        <v>46</v>
      </c>
      <c r="L1" s="145" t="s">
        <v>219</v>
      </c>
      <c r="M1" s="145" t="s">
        <v>220</v>
      </c>
      <c r="N1" s="145" t="s">
        <v>221</v>
      </c>
    </row>
    <row r="2" spans="1:16" x14ac:dyDescent="0.35">
      <c r="A2" s="146" t="s">
        <v>222</v>
      </c>
      <c r="B2" s="147" t="s">
        <v>223</v>
      </c>
      <c r="C2" s="148">
        <v>965.57</v>
      </c>
      <c r="D2" s="148">
        <v>3095.56</v>
      </c>
      <c r="E2" s="148">
        <v>4304.07</v>
      </c>
      <c r="F2" s="148">
        <v>4331.22</v>
      </c>
      <c r="G2" s="148">
        <v>3487.24</v>
      </c>
      <c r="H2" s="148">
        <v>4599.99</v>
      </c>
      <c r="I2" s="148">
        <v>7716.24</v>
      </c>
      <c r="J2" s="148">
        <v>2066.23</v>
      </c>
      <c r="K2" s="148">
        <v>6521.77</v>
      </c>
      <c r="L2" s="148">
        <v>37087.89</v>
      </c>
      <c r="M2" s="148">
        <v>13557.49</v>
      </c>
      <c r="N2" s="148">
        <v>4455.3599999999997</v>
      </c>
    </row>
    <row r="3" spans="1:16" x14ac:dyDescent="0.35">
      <c r="A3" s="146" t="s">
        <v>31</v>
      </c>
      <c r="B3" s="147" t="s">
        <v>32</v>
      </c>
      <c r="C3" s="148">
        <v>13164</v>
      </c>
      <c r="D3" s="148">
        <v>42444</v>
      </c>
      <c r="E3" s="148">
        <v>59170</v>
      </c>
      <c r="F3" s="148">
        <v>59546</v>
      </c>
      <c r="G3" s="148">
        <v>47865</v>
      </c>
      <c r="H3" s="148">
        <v>63266</v>
      </c>
      <c r="I3" s="148">
        <v>105516</v>
      </c>
      <c r="J3" s="148">
        <v>28198</v>
      </c>
      <c r="K3" s="148">
        <v>89864</v>
      </c>
      <c r="L3" s="148">
        <v>509033</v>
      </c>
      <c r="M3" s="149">
        <v>200165</v>
      </c>
      <c r="N3" s="148">
        <v>104537</v>
      </c>
      <c r="O3" s="9"/>
      <c r="P3" s="153"/>
    </row>
    <row r="4" spans="1:16" x14ac:dyDescent="0.35">
      <c r="A4" s="146" t="s">
        <v>224</v>
      </c>
      <c r="B4" s="147" t="s">
        <v>32</v>
      </c>
      <c r="C4" s="148">
        <v>52656</v>
      </c>
      <c r="D4" s="148">
        <v>169776</v>
      </c>
      <c r="E4" s="148">
        <v>236680</v>
      </c>
      <c r="F4" s="148">
        <v>238184</v>
      </c>
      <c r="G4" s="148">
        <v>191460</v>
      </c>
      <c r="H4" s="148">
        <v>253064</v>
      </c>
      <c r="I4" s="148">
        <v>422064</v>
      </c>
      <c r="J4" s="148">
        <v>112792</v>
      </c>
      <c r="K4" s="148">
        <v>359456</v>
      </c>
      <c r="L4" s="148">
        <v>2036132</v>
      </c>
      <c r="M4" s="148">
        <v>951858</v>
      </c>
      <c r="N4" s="149">
        <v>927583</v>
      </c>
    </row>
    <row r="5" spans="1:16" x14ac:dyDescent="0.35">
      <c r="A5" s="146" t="s">
        <v>225</v>
      </c>
      <c r="B5" s="147" t="s">
        <v>32</v>
      </c>
      <c r="C5" s="148">
        <v>26328</v>
      </c>
      <c r="D5" s="148">
        <v>84888</v>
      </c>
      <c r="E5" s="148">
        <v>118340</v>
      </c>
      <c r="F5" s="148">
        <v>119092</v>
      </c>
      <c r="G5" s="148">
        <v>95730</v>
      </c>
      <c r="H5" s="148">
        <v>126532</v>
      </c>
      <c r="I5" s="148">
        <v>211032</v>
      </c>
      <c r="J5" s="148">
        <v>56396</v>
      </c>
      <c r="K5" s="148">
        <v>179728</v>
      </c>
      <c r="L5" s="148">
        <v>1018066</v>
      </c>
      <c r="M5" s="148">
        <v>309535</v>
      </c>
      <c r="N5" s="148">
        <v>209074</v>
      </c>
    </row>
    <row r="6" spans="1:16" x14ac:dyDescent="0.35">
      <c r="A6" s="146" t="s">
        <v>226</v>
      </c>
      <c r="B6" s="147" t="s">
        <v>32</v>
      </c>
      <c r="C6" s="148">
        <v>52656</v>
      </c>
      <c r="D6" s="148">
        <v>169776</v>
      </c>
      <c r="E6" s="148">
        <v>236680</v>
      </c>
      <c r="F6" s="148">
        <v>238184</v>
      </c>
      <c r="G6" s="148">
        <v>191460</v>
      </c>
      <c r="H6" s="148">
        <v>253064</v>
      </c>
      <c r="I6" s="148">
        <v>422064</v>
      </c>
      <c r="J6" s="148">
        <v>112792</v>
      </c>
      <c r="K6" s="148">
        <v>359456</v>
      </c>
      <c r="L6" s="148">
        <v>2036132</v>
      </c>
      <c r="M6" s="148">
        <v>622250</v>
      </c>
      <c r="N6" s="148">
        <v>418148</v>
      </c>
    </row>
    <row r="7" spans="1:16" x14ac:dyDescent="0.35">
      <c r="A7" s="146" t="s">
        <v>227</v>
      </c>
      <c r="B7" s="147" t="s">
        <v>32</v>
      </c>
      <c r="C7" s="148">
        <v>53388</v>
      </c>
      <c r="D7" s="148">
        <v>171240</v>
      </c>
      <c r="E7" s="148">
        <v>238144</v>
      </c>
      <c r="F7" s="148">
        <v>239648</v>
      </c>
      <c r="G7" s="148">
        <v>192924</v>
      </c>
      <c r="H7" s="148">
        <v>254528</v>
      </c>
      <c r="I7" s="148">
        <v>426384</v>
      </c>
      <c r="J7" s="148">
        <v>114256</v>
      </c>
      <c r="K7" s="148">
        <v>360920</v>
      </c>
      <c r="L7" s="148">
        <v>2051432</v>
      </c>
      <c r="M7" s="148">
        <v>690000</v>
      </c>
      <c r="N7" s="148">
        <v>418148</v>
      </c>
    </row>
    <row r="8" spans="1:16" x14ac:dyDescent="0.35">
      <c r="A8" s="146" t="s">
        <v>228</v>
      </c>
      <c r="B8" s="147" t="s">
        <v>32</v>
      </c>
      <c r="C8" s="148">
        <v>924</v>
      </c>
      <c r="D8" s="148">
        <v>82</v>
      </c>
      <c r="E8" s="148">
        <v>92</v>
      </c>
      <c r="F8" s="148">
        <v>92</v>
      </c>
      <c r="G8" s="148">
        <v>85</v>
      </c>
      <c r="H8" s="148">
        <v>38</v>
      </c>
      <c r="I8" s="148">
        <v>65</v>
      </c>
      <c r="J8" s="148">
        <v>17</v>
      </c>
      <c r="K8" s="148"/>
      <c r="L8" s="148">
        <v>1395</v>
      </c>
      <c r="M8" s="148">
        <v>1694</v>
      </c>
      <c r="N8" s="148">
        <v>638</v>
      </c>
    </row>
    <row r="9" spans="1:16" x14ac:dyDescent="0.35">
      <c r="A9" s="146" t="s">
        <v>229</v>
      </c>
      <c r="B9" s="147" t="s">
        <v>230</v>
      </c>
      <c r="C9" s="148">
        <v>1959</v>
      </c>
      <c r="D9" s="148">
        <v>487</v>
      </c>
      <c r="E9" s="148">
        <v>613</v>
      </c>
      <c r="F9" s="148">
        <v>616</v>
      </c>
      <c r="G9" s="148">
        <v>528</v>
      </c>
      <c r="H9" s="148">
        <v>643</v>
      </c>
      <c r="I9" s="148">
        <v>1419</v>
      </c>
      <c r="J9" s="148">
        <v>380</v>
      </c>
      <c r="K9" s="148">
        <v>168</v>
      </c>
      <c r="L9" s="148">
        <v>6813</v>
      </c>
      <c r="M9" s="148">
        <v>7151</v>
      </c>
      <c r="N9" s="148">
        <v>2552</v>
      </c>
    </row>
    <row r="10" spans="1:16" x14ac:dyDescent="0.35">
      <c r="A10" s="146" t="s">
        <v>231</v>
      </c>
      <c r="B10" s="147" t="s">
        <v>230</v>
      </c>
      <c r="C10" s="150">
        <v>1</v>
      </c>
      <c r="D10" s="150">
        <v>2</v>
      </c>
      <c r="E10" s="150">
        <v>2</v>
      </c>
      <c r="F10" s="150">
        <v>2</v>
      </c>
      <c r="G10" s="150">
        <v>2</v>
      </c>
      <c r="H10" s="150">
        <v>2</v>
      </c>
      <c r="I10" s="150">
        <v>4</v>
      </c>
      <c r="J10" s="150">
        <v>2</v>
      </c>
      <c r="K10" s="150">
        <v>2</v>
      </c>
      <c r="L10" s="148">
        <v>19</v>
      </c>
      <c r="M10" s="148">
        <v>13</v>
      </c>
      <c r="N10" s="148">
        <v>6</v>
      </c>
    </row>
    <row r="11" spans="1:16" x14ac:dyDescent="0.35">
      <c r="A11" s="146" t="s">
        <v>232</v>
      </c>
      <c r="B11" s="147" t="s">
        <v>230</v>
      </c>
      <c r="C11" s="150">
        <v>0</v>
      </c>
      <c r="D11" s="150">
        <v>0</v>
      </c>
      <c r="E11" s="150">
        <v>0</v>
      </c>
      <c r="F11" s="150">
        <v>0</v>
      </c>
      <c r="G11" s="150">
        <v>0</v>
      </c>
      <c r="H11" s="150">
        <v>0</v>
      </c>
      <c r="I11" s="150">
        <v>4</v>
      </c>
      <c r="J11" s="150">
        <v>0</v>
      </c>
      <c r="K11" s="150">
        <v>0</v>
      </c>
      <c r="L11" s="148">
        <v>4</v>
      </c>
      <c r="M11" s="148">
        <v>0</v>
      </c>
      <c r="N11" s="148">
        <v>0</v>
      </c>
    </row>
    <row r="12" spans="1:16" x14ac:dyDescent="0.35">
      <c r="A12" s="146" t="s">
        <v>233</v>
      </c>
      <c r="B12" s="147" t="s">
        <v>234</v>
      </c>
      <c r="C12" s="148">
        <v>1</v>
      </c>
      <c r="D12" s="148">
        <v>2</v>
      </c>
      <c r="E12" s="148">
        <v>2</v>
      </c>
      <c r="F12" s="148">
        <v>2</v>
      </c>
      <c r="G12" s="148">
        <v>2</v>
      </c>
      <c r="H12" s="148">
        <v>2</v>
      </c>
      <c r="I12" s="148">
        <v>4</v>
      </c>
      <c r="J12" s="148">
        <v>2</v>
      </c>
      <c r="K12" s="148">
        <v>2</v>
      </c>
      <c r="L12" s="148">
        <v>19</v>
      </c>
      <c r="M12" s="148">
        <v>5</v>
      </c>
      <c r="N12" s="148">
        <v>5</v>
      </c>
    </row>
    <row r="13" spans="1:16" x14ac:dyDescent="0.35">
      <c r="A13" s="146" t="s">
        <v>235</v>
      </c>
      <c r="B13" s="147" t="s">
        <v>234</v>
      </c>
      <c r="C13" s="150">
        <v>0</v>
      </c>
      <c r="D13" s="150">
        <v>0</v>
      </c>
      <c r="E13" s="150">
        <v>0</v>
      </c>
      <c r="F13" s="150">
        <v>0</v>
      </c>
      <c r="G13" s="150">
        <v>0</v>
      </c>
      <c r="H13" s="150">
        <v>0</v>
      </c>
      <c r="I13" s="150">
        <v>4</v>
      </c>
      <c r="J13" s="150">
        <v>0</v>
      </c>
      <c r="K13" s="150">
        <v>0</v>
      </c>
      <c r="L13" s="148">
        <v>4</v>
      </c>
      <c r="M13" s="148">
        <v>0</v>
      </c>
      <c r="N13" s="148">
        <v>0</v>
      </c>
    </row>
    <row r="14" spans="1:16" x14ac:dyDescent="0.35">
      <c r="A14" s="146" t="s">
        <v>236</v>
      </c>
      <c r="B14" s="147" t="s">
        <v>237</v>
      </c>
      <c r="C14" s="148">
        <v>155</v>
      </c>
      <c r="D14" s="148">
        <v>279</v>
      </c>
      <c r="E14" s="148">
        <v>384</v>
      </c>
      <c r="F14" s="148">
        <v>386</v>
      </c>
      <c r="G14" s="148">
        <v>313</v>
      </c>
      <c r="H14" s="148">
        <v>409</v>
      </c>
      <c r="I14" s="148">
        <v>712</v>
      </c>
      <c r="J14" s="148">
        <v>190</v>
      </c>
      <c r="K14" s="148">
        <v>575</v>
      </c>
      <c r="L14" s="148">
        <v>3403</v>
      </c>
      <c r="M14" s="148">
        <v>361</v>
      </c>
      <c r="N14" s="148">
        <v>359</v>
      </c>
    </row>
    <row r="15" spans="1:16" x14ac:dyDescent="0.35">
      <c r="A15" s="146" t="s">
        <v>238</v>
      </c>
      <c r="B15" s="147" t="s">
        <v>239</v>
      </c>
      <c r="C15" s="148">
        <v>18029.528704</v>
      </c>
      <c r="D15" s="148">
        <v>60526.263893999996</v>
      </c>
      <c r="E15" s="148">
        <v>83599.324625999972</v>
      </c>
      <c r="F15" s="148">
        <v>83466.22335999996</v>
      </c>
      <c r="G15" s="148">
        <v>67666.073100000009</v>
      </c>
      <c r="H15" s="148">
        <v>88569.56</v>
      </c>
      <c r="I15" s="148">
        <v>150758.29536000016</v>
      </c>
      <c r="J15" s="148">
        <v>40440.949999999997</v>
      </c>
      <c r="K15" s="148">
        <v>125180.54999999994</v>
      </c>
      <c r="L15" s="148">
        <v>718236.76904399996</v>
      </c>
      <c r="M15" s="149">
        <v>135481.15107913691</v>
      </c>
      <c r="N15" s="148">
        <v>96568.071942446026</v>
      </c>
      <c r="P15" s="153"/>
    </row>
  </sheetData>
  <pageMargins left="0.511811024" right="0.511811024" top="0.78740157499999996" bottom="0.78740157499999996" header="0.31496062000000002" footer="0.3149606200000000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6821e094-6eca-4957-afda-cf4dfe533bfe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14AD2E6FF1FB1648B27A5016B27BC82F" ma:contentTypeVersion="15" ma:contentTypeDescription="Create a new document." ma:contentTypeScope="" ma:versionID="acd6c57997938ed2716d692c8122429b">
  <xsd:schema xmlns:xsd="http://www.w3.org/2001/XMLSchema" xmlns:xs="http://www.w3.org/2001/XMLSchema" xmlns:p="http://schemas.microsoft.com/office/2006/metadata/properties" xmlns:ns3="6821e094-6eca-4957-afda-cf4dfe533bfe" xmlns:ns4="a0499659-fc3b-4722-81d7-1ff40b30dc5d" targetNamespace="http://schemas.microsoft.com/office/2006/metadata/properties" ma:root="true" ma:fieldsID="94e433c6d75628e2530db5fcbb2afe0e" ns3:_="" ns4:_="">
    <xsd:import namespace="6821e094-6eca-4957-afda-cf4dfe533bfe"/>
    <xsd:import namespace="a0499659-fc3b-4722-81d7-1ff40b30dc5d"/>
    <xsd:element name="properties">
      <xsd:complexType>
        <xsd:sequence>
          <xsd:element name="documentManagement">
            <xsd:complexType>
              <xsd:all>
                <xsd:element ref="ns3:_activity" minOccurs="0"/>
                <xsd:element ref="ns4:SharedWithUsers" minOccurs="0"/>
                <xsd:element ref="ns4:SharedWithDetails" minOccurs="0"/>
                <xsd:element ref="ns4:SharingHintHash" minOccurs="0"/>
                <xsd:element ref="ns3:MediaServiceMetadata" minOccurs="0"/>
                <xsd:element ref="ns3:MediaServiceFastMetadata" minOccurs="0"/>
                <xsd:element ref="ns3:MediaServiceObjectDetectorVersions" minOccurs="0"/>
                <xsd:element ref="ns3:MediaServiceSystemTags" minOccurs="0"/>
                <xsd:element ref="ns3:MediaServiceGenerationTime" minOccurs="0"/>
                <xsd:element ref="ns3:MediaServiceEventHashCode" minOccurs="0"/>
                <xsd:element ref="ns3:MediaServiceOCR" minOccurs="0"/>
                <xsd:element ref="ns3:MediaServiceDateTaken" minOccurs="0"/>
                <xsd:element ref="ns3:MediaLengthInSeconds" minOccurs="0"/>
                <xsd:element ref="ns3:MediaServiceSearchProperties" minOccurs="0"/>
                <xsd:element ref="ns3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821e094-6eca-4957-afda-cf4dfe533bfe" elementFormDefault="qualified">
    <xsd:import namespace="http://schemas.microsoft.com/office/2006/documentManagement/types"/>
    <xsd:import namespace="http://schemas.microsoft.com/office/infopath/2007/PartnerControls"/>
    <xsd:element name="_activity" ma:index="8" nillable="true" ma:displayName="_activity" ma:hidden="true" ma:internalName="_activity">
      <xsd:simpleType>
        <xsd:restriction base="dms:Note"/>
      </xsd:simpleType>
    </xsd:element>
    <xsd:element name="MediaServiceMetadata" ma:index="12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3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4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ystemTags" ma:index="15" nillable="true" ma:displayName="MediaServiceSystemTags" ma:hidden="true" ma:internalName="MediaServiceSystemTags" ma:readOnly="true">
      <xsd:simpleType>
        <xsd:restriction base="dms:Note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DateTaken" ma:index="19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0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BillingMetadata" ma:index="22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0499659-fc3b-4722-81d7-1ff40b30dc5d" elementFormDefault="qualified">
    <xsd:import namespace="http://schemas.microsoft.com/office/2006/documentManagement/types"/>
    <xsd:import namespace="http://schemas.microsoft.com/office/infopath/2007/PartnerControls"/>
    <xsd:element name="SharedWithUsers" ma:index="9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0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SharingHintHash" ma:index="11" nillable="true" ma:displayName="Sharing Hint Hash" ma:hidden="true" ma:internalName="SharingHintHash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C55EF33-3824-497F-BDB5-6E035506AFE1}">
  <ds:schemaRefs>
    <ds:schemaRef ds:uri="http://purl.org/dc/elements/1.1/"/>
    <ds:schemaRef ds:uri="6821e094-6eca-4957-afda-cf4dfe533bfe"/>
    <ds:schemaRef ds:uri="a0499659-fc3b-4722-81d7-1ff40b30dc5d"/>
    <ds:schemaRef ds:uri="http://purl.org/dc/terms/"/>
    <ds:schemaRef ds:uri="http://schemas.microsoft.com/office/2006/documentManagement/types"/>
    <ds:schemaRef ds:uri="http://www.w3.org/XML/1998/namespace"/>
    <ds:schemaRef ds:uri="http://schemas.microsoft.com/office/infopath/2007/PartnerControls"/>
    <ds:schemaRef ds:uri="http://schemas.openxmlformats.org/package/2006/metadata/core-properties"/>
    <ds:schemaRef ds:uri="http://schemas.microsoft.com/office/2006/metadata/properties"/>
    <ds:schemaRef ds:uri="http://purl.org/dc/dcmitype/"/>
  </ds:schemaRefs>
</ds:datastoreItem>
</file>

<file path=customXml/itemProps2.xml><?xml version="1.0" encoding="utf-8"?>
<ds:datastoreItem xmlns:ds="http://schemas.openxmlformats.org/officeDocument/2006/customXml" ds:itemID="{EAD92B66-D8FE-4FFA-96CA-2DC67325B5B4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07229CA8-1B6F-4D72-B1FC-65DBFF84AC3E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6821e094-6eca-4957-afda-cf4dfe533bfe"/>
    <ds:schemaRef ds:uri="a0499659-fc3b-4722-81d7-1ff40b30dc5d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Metadata/LabelInfo.xml><?xml version="1.0" encoding="utf-8"?>
<clbl:labelList xmlns:clbl="http://schemas.microsoft.com/office/2020/mipLabelMetadata">
  <clbl:label id="{340ed6a7-0f03-43d9-901d-02d4a7e408aa}" enabled="1" method="Privileged" siteId="{7893571b-6c2c-4cef-b4da-7d4b266a0626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6</vt:i4>
      </vt:variant>
    </vt:vector>
  </HeadingPairs>
  <TitlesOfParts>
    <vt:vector size="6" baseType="lpstr">
      <vt:lpstr>ENTRADA</vt:lpstr>
      <vt:lpstr>CURVAS</vt:lpstr>
      <vt:lpstr>HISTOGRAMA</vt:lpstr>
      <vt:lpstr>SERVIÇOS NOTÁVEIS</vt:lpstr>
      <vt:lpstr>LASTRO</vt:lpstr>
      <vt:lpstr>MATERIAIS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Julia Perdigao Guerra</dc:creator>
  <cp:lastModifiedBy>Julia Perdigao Guerra</cp:lastModifiedBy>
  <cp:revision>0</cp:revision>
  <dcterms:created xsi:type="dcterms:W3CDTF">2026-05-26T14:08:51Z</dcterms:created>
  <dcterms:modified xsi:type="dcterms:W3CDTF">2026-07-27T17:54:37Z</dcterms:modified>
  <dc:language>en-US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0x01010014AD2E6FF1FB1648B27A5016B27BC82F</vt:lpwstr>
  </property>
</Properties>
</file>