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717" documentId="13_ncr:1_{4854DFB7-E9B4-409C-A843-569908145318}" xr6:coauthVersionLast="47" xr6:coauthVersionMax="47" xr10:uidLastSave="{384F435E-F3A3-4F14-8920-EA7F9CAC9DB8}"/>
  <bookViews>
    <workbookView xWindow="-120" yWindow="-120" windowWidth="20730" windowHeight="11040" tabRatio="844" activeTab="5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8" l="1"/>
  <c r="J62" i="8" l="1"/>
  <c r="J51" i="8"/>
  <c r="J29" i="8"/>
  <c r="J7" i="8"/>
  <c r="M5" i="6" l="1"/>
  <c r="N5" i="6"/>
  <c r="O5" i="6"/>
  <c r="P5" i="6"/>
  <c r="Q5" i="6"/>
  <c r="R5" i="6"/>
  <c r="S5" i="6"/>
  <c r="T5" i="6"/>
  <c r="U5" i="6"/>
  <c r="V5" i="6"/>
  <c r="W5" i="6"/>
  <c r="X5" i="6"/>
  <c r="U2" i="18" l="1"/>
  <c r="O3" i="18"/>
  <c r="O5" i="18"/>
  <c r="O6" i="18"/>
  <c r="O7" i="18"/>
  <c r="O8" i="18"/>
  <c r="O9" i="18"/>
  <c r="O10" i="18"/>
  <c r="O11" i="18"/>
  <c r="O12" i="18"/>
  <c r="O13" i="18"/>
  <c r="O14" i="18"/>
  <c r="O15" i="18"/>
  <c r="O2" i="18"/>
  <c r="V4" i="18" l="1"/>
  <c r="W4" i="18" s="1"/>
  <c r="R4" i="18" s="1"/>
  <c r="V5" i="18"/>
  <c r="I62" i="8" l="1"/>
  <c r="I51" i="8"/>
  <c r="I29" i="8"/>
  <c r="I18" i="8"/>
  <c r="I7" i="8"/>
  <c r="F28" i="20" l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O4" i="18" s="1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J17" i="6" l="1"/>
  <c r="AX116" i="7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8" i="6" l="1"/>
  <c r="L8" i="6" s="1"/>
  <c r="A8" i="1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  <c r="L15" i="6" l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<sst xmlns="http://schemas.openxmlformats.org/spreadsheetml/2006/main" count="1089" uniqueCount="398">
  <si>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</si>
  <si>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</si>
  <si>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</si>
  <si>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</si>
  <si>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</si>
  <si>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</si>
  <si>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</si>
  <si>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</si>
  <si>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</si>
  <si>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</si>
  <si>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</si>
  <si>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</si>
  <si>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</si>
  <si>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</si>
  <si>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</si>
  <si>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</si>
  <si>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</si>
  <si>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</si>
  <si>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</si>
  <si>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</si>
  <si>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</si>
  <si>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</si>
  <si>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</si>
  <si>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</si>
  <si>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</si>
  <si>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</si>
  <si>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</si>
  <si>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</si>
  <si>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</si>
  <si>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</si>
  <si>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</si>
  <si>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</si>
  <si>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</si>
  <si>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</si>
  <si>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</si>
  <si>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</si>
  <si>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</si>
  <si>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</si>
  <si>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</si>
  <si>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</si>
  <si>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</si>
  <si>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</si>
  <si>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</si>
  <si>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</si>
  <si>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</si>
  <si>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</si>
  <si>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</si>
  <si>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</si>
  <si>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</si>
  <si>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</si>
  <si>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</si>
  <si>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</si>
  <si>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</si>
  <si>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</si>
  <si>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</si>
  <si>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</si>
  <si>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</si>
  <si>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</si>
  <si>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</si>
  <si>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</si>
  <si>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</si>
  <si>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</si>
  <si>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</si>
  <si>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</si>
  <si>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</si>
  <si>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</si>
  <si>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</si>
  <si>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</si>
  <si>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</si>
  <si>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</si>
  <si>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</si>
  <si>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</si>
  <si>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</si>
  <si>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</si>
  <si>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</si>
  <si>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</si>
  <si>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</si>
  <si>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</si>
  <si>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</si>
  <si>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</si>
  <si>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</si>
  <si>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</si>
  <si>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</si>
  <si>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</si>
  <si>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</si>
  <si>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</si>
  <si>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</si>
  <si>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</si>
  <si>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</si>
  <si>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</si>
  <si>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</si>
  <si>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</si>
  <si>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</si>
  <si>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</si>
  <si>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</si>
  <si>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</si>
  <si>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</si>
  <si>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</si>
  <si>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</si>
  <si>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</si>
  <si>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</si>
  <si>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</si>
  <si>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</si>
  <si>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</si>
  <si>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</si>
  <si>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</si>
  <si>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</si>
  <si>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</si>
  <si>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</si>
  <si>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</si>
  <si>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</si>
  <si>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</si>
  <si>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</si>
  <si>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</si>
  <si>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</si>
  <si>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</si>
  <si>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</si>
  <si>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</si>
  <si>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</si>
  <si>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</si>
  <si>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</si>
  <si>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</si>
  <si>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</si>
  <si>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</si>
  <si>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</si>
  <si>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</si>
  <si>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</si>
  <si>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</si>
  <si>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</si>
  <si>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</si>
  <si>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</si>
  <si>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</si>
  <si>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</si>
  <si>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</si>
  <si>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</si>
  <si>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</si>
  <si>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</si>
  <si>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</si>
  <si>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</si>
  <si>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</si>
  <si>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</si>
  <si>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</si>
  <si>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</si>
  <si>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</si>
  <si>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</si>
  <si>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</si>
  <si>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</si>
  <si>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</si>
  <si>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</si>
  <si>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</si>
  <si>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</si>
  <si>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</si>
  <si>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</si>
  <si>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</si>
  <si>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</si>
  <si>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</si>
  <si>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</si>
  <si>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</si>
  <si>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</si>
  <si>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</si>
  <si>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</si>
  <si>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</si>
  <si>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</si>
  <si>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</si>
  <si>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</si>
  <si>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</si>
  <si>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</si>
  <si>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</si>
  <si>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</si>
  <si>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</si>
  <si>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</si>
  <si>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</si>
  <si>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</si>
  <si>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</si>
  <si>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</si>
  <si>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</si>
  <si>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</si>
  <si>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</si>
  <si>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</si>
  <si>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</si>
  <si>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</si>
  <si>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</si>
  <si>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</si>
  <si>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</si>
  <si>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</si>
  <si>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</si>
  <si>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</si>
  <si>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</si>
  <si>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</si>
  <si>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</si>
  <si>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</si>
  <si>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</si>
  <si>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</si>
  <si>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</si>
  <si>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</si>
  <si>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</si>
  <si>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</si>
  <si>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</si>
  <si>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</si>
  <si>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</si>
  <si>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</si>
  <si>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</si>
  <si>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</si>
  <si>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</si>
  <si>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</si>
  <si>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</si>
  <si>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</si>
  <si>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</si>
  <si>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</si>
  <si>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</si>
  <si>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</si>
  <si>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</si>
  <si>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</si>
  <si>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</si>
  <si>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</si>
  <si>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</si>
  <si>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</si>
  <si>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</si>
  <si>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</si>
  <si>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</si>
  <si>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</si>
  <si>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</si>
  <si>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</si>
  <si>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</si>
  <si>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</si>
  <si>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</si>
  <si>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</si>
  <si>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</si>
  <si>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</si>
  <si>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</si>
  <si>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</si>
  <si>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</si>
  <si>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</si>
  <si>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</si>
  <si>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</si>
  <si>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</si>
  <si>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</si>
  <si>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</si>
  <si>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</si>
  <si>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</si>
  <si>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</si>
  <si>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</si>
  <si>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</si>
  <si>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</si>
  <si>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</si>
  <si>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</si>
  <si>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</si>
  <si>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</si>
  <si>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</si>
  <si>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</si>
  <si>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</si>
  <si>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</si>
  <si>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</si>
  <si>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</si>
  <si>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</si>
  <si>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</si>
  <si>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</si>
  <si>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</si>
  <si>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</si>
  <si>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</si>
  <si>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</si>
  <si>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</si>
  <si>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</si>
  <si>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</si>
  <si>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</si>
  <si>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</si>
  <si>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</si>
  <si>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</si>
  <si>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</si>
  <si>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</si>
  <si>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</si>
  <si>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</si>
  <si>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</si>
  <si>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</si>
  <si>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</si>
  <si>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</si>
  <si>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</si>
  <si>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</si>
  <si>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</si>
  <si>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</si>
  <si>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</si>
  <si>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</si>
  <si>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</si>
  <si>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</si>
  <si>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</si>
  <si>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</si>
  <si>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</si>
  <si>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</si>
  <si>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</si>
  <si>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</si>
  <si>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</si>
  <si>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</si>
  <si>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</si>
  <si>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</si>
  <si>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</si>
  <si>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</si>
  <si>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</si>
  <si>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</si>
  <si>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</si>
  <si>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</si>
  <si>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</si>
  <si>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</si>
  <si>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</si>
  <si>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</si>
  <si>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</si>
  <si>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</si>
  <si>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</si>
  <si>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</si>
  <si>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</si>
  <si>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</si>
  <si>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</si>
  <si>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</si>
  <si>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</si>
  <si>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</si>
  <si>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</si>
  <si>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</si>
  <si>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</si>
  <si>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</si>
  <si>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</si>
  <si>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</si>
  <si>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</si>
  <si>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</si>
  <si>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</si>
  <si>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</si>
  <si>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</si>
  <si>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</si>
  <si>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</si>
  <si>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</si>
  <si>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</si>
  <si>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</si>
  <si>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</si>
  <si>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</si>
  <si>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</si>
  <si>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</si>
  <si>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</si>
  <si>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</si>
  <si>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</si>
  <si>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</si>
  <si>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</si>
  <si>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</si>
  <si>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</si>
  <si>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</si>
  <si>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</si>
  <si>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</si>
  <si>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</si>
  <si>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</si>
  <si>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</si>
  <si>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</si>
  <si>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</si>
  <si>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</si>
  <si>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</si>
  <si>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</si>
  <si>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</si>
  <si>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</si>
  <si>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</si>
  <si>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</si>
  <si>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</si>
  <si>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</si>
  <si>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</si>
  <si>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</si>
  <si>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</si>
  <si>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</si>
  <si>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</si>
  <si>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</si>
  <si>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</si>
  <si>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</si>
  <si>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</si>
  <si>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</si>
  <si>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</si>
  <si>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</si>
  <si>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</si>
  <si>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</si>
  <si>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</si>
  <si>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</si>
  <si>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</si>
  <si>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</si>
  <si>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</si>
  <si>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</si>
  <si>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</si>
  <si>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</si>
  <si>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</si>
  <si>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</si>
  <si>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</si>
  <si>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</si>
  <si>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</si>
  <si>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</si>
  <si>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</si>
  <si>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</si>
  <si>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</si>
  <si>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</si>
  <si>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</si>
  <si>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</si>
  <si>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</si>
  <si>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</si>
  <si>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</si>
  <si>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</si>
  <si>
    <t>Trilho 24m  consumida Barras</t>
  </si>
  <si>
    <t>Trilho 24m  consumida 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</si>
</sst>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  <font>
      <sz val="11"/>
      <color theme="1"/>
      <name val="Aptos Narrow"/>
      <family val="2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  <xf numFmtId="43" fontId="30" fillId="0" borderId="0" applyFont="0" applyFill="0" applyBorder="0" applyAlignment="0" applyProtection="0"/>
  </cellStyleXfs>
  <cellXfs count="212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43" fontId="0" fillId="0" borderId="0" xfId="6" applyFont="1"/>
    <xf numFmtId="43" fontId="0" fillId="0" borderId="0" xfId="0" applyNumberFormat="1"/>
    <xf numFmtId="0" fontId="1" fillId="0" borderId="0" xfId="0" applyFont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7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  <cellStyle name="Vírgula" xfId="6" builtinId="3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61"/>
  <sheetViews>
    <sheetView showGridLines="0" topLeftCell="A10" workbookViewId="0">
      <pane xSplit="2" ySplit="4" topLeftCell="C14" activePane="bottomRight" state="frozen"/>
      <selection activeCell="A10" sqref="A10"/>
      <selection pane="topRight" activeCell="C10" sqref="C10"/>
      <selection pane="bottomLeft" activeCell="A14" sqref="A14"/>
      <selection pane="bottomRight" activeCell="D16" sqref="D16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8" hidden="1" x14ac:dyDescent="0.25"/>
    <row r="2" spans="2:18" ht="21.75" hidden="1" customHeight="1" x14ac:dyDescent="0.25">
      <c r="B2" s="196" t="s">
        <v>0</v>
      </c>
      <c r="C2" s="197"/>
      <c r="D2" s="197"/>
      <c r="E2" s="197"/>
      <c r="F2" s="197"/>
      <c r="G2" s="197"/>
    </row>
    <row r="3" spans="2:18" ht="15" hidden="1" customHeight="1" x14ac:dyDescent="0.25">
      <c r="B3" s="198" t="s">
        <v>1</v>
      </c>
      <c r="C3" s="199"/>
      <c r="D3" s="199"/>
      <c r="E3" s="199"/>
      <c r="F3" s="199"/>
      <c r="G3" s="200"/>
    </row>
    <row r="4" spans="2:18" ht="15" hidden="1" customHeight="1" x14ac:dyDescent="0.25">
      <c r="B4" s="201"/>
      <c r="C4" s="197"/>
      <c r="D4" s="197"/>
      <c r="E4" s="197"/>
      <c r="F4" s="197"/>
      <c r="G4" s="202"/>
    </row>
    <row r="5" spans="2:18" ht="15" hidden="1" customHeight="1" x14ac:dyDescent="0.25">
      <c r="B5" s="201"/>
      <c r="C5" s="197"/>
      <c r="D5" s="197"/>
      <c r="E5" s="197"/>
      <c r="F5" s="197"/>
      <c r="G5" s="202"/>
    </row>
    <row r="6" spans="2:18" ht="15" hidden="1" customHeight="1" x14ac:dyDescent="0.25">
      <c r="B6" s="201"/>
      <c r="C6" s="197"/>
      <c r="D6" s="197"/>
      <c r="E6" s="197"/>
      <c r="F6" s="197"/>
      <c r="G6" s="202"/>
    </row>
    <row r="7" spans="2:18" ht="15" hidden="1" customHeight="1" x14ac:dyDescent="0.25">
      <c r="B7" s="203"/>
      <c r="C7" s="204"/>
      <c r="D7" s="204"/>
      <c r="E7" s="204"/>
      <c r="F7" s="204"/>
      <c r="G7" s="205"/>
    </row>
    <row r="8" spans="2:18" hidden="1" x14ac:dyDescent="0.25"/>
    <row r="9" spans="2:18" ht="15" customHeight="1" x14ac:dyDescent="0.25">
      <c r="B9" s="1" t="s">
        <v>2</v>
      </c>
    </row>
    <row r="10" spans="2:18" ht="15" customHeight="1" x14ac:dyDescent="0.25">
      <c r="B10" s="2" t="s">
        <v>3</v>
      </c>
      <c r="C10" s="80">
        <v>46308</v>
      </c>
    </row>
    <row r="12" spans="2:18" ht="15" customHeight="1" x14ac:dyDescent="0.25">
      <c r="B12" s="1" t="s">
        <v>4</v>
      </c>
    </row>
    <row r="13" spans="2:18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  <c r="O13" s="76" t="s">
        <v>6</v>
      </c>
      <c r="P13" s="75" t="s">
        <v>7</v>
      </c>
      <c r="Q13" s="76" t="s">
        <v>6</v>
      </c>
      <c r="R13" s="75" t="s">
        <v>7</v>
      </c>
    </row>
    <row r="14" spans="2:18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>
        <v>100086</v>
      </c>
      <c r="L14" s="79">
        <v>100292</v>
      </c>
      <c r="M14" s="78">
        <v>105010</v>
      </c>
      <c r="N14" s="79">
        <v>105184</v>
      </c>
      <c r="O14" s="78">
        <v>108670</v>
      </c>
      <c r="P14" s="79">
        <v>108940</v>
      </c>
      <c r="Q14" s="78"/>
      <c r="R14" s="79"/>
    </row>
    <row r="15" spans="2:18" ht="15" customHeight="1" x14ac:dyDescent="0.25">
      <c r="B15" s="77" t="s">
        <v>9</v>
      </c>
      <c r="C15" s="78">
        <v>0</v>
      </c>
      <c r="D15" s="79">
        <v>108140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  <c r="O15" s="78"/>
      <c r="P15" s="79"/>
      <c r="Q15" s="78"/>
      <c r="R15" s="79"/>
    </row>
    <row r="16" spans="2:18" ht="15" customHeight="1" x14ac:dyDescent="0.25">
      <c r="B16" s="77" t="s">
        <v>10</v>
      </c>
      <c r="C16" s="78">
        <v>0</v>
      </c>
      <c r="D16" s="79">
        <v>100960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  <c r="O16" s="78"/>
      <c r="P16" s="79"/>
      <c r="Q16" s="78"/>
      <c r="R16" s="79"/>
    </row>
    <row r="17" spans="2:18" ht="15" customHeight="1" x14ac:dyDescent="0.25">
      <c r="B17" s="77" t="s">
        <v>11</v>
      </c>
      <c r="C17" s="78">
        <v>0</v>
      </c>
      <c r="D17" s="79">
        <v>99130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  <c r="O17" s="78"/>
      <c r="P17" s="79"/>
      <c r="Q17" s="78"/>
      <c r="R17" s="79"/>
    </row>
    <row r="18" spans="2:18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>
        <v>83420</v>
      </c>
      <c r="H18" s="79">
        <v>85220</v>
      </c>
      <c r="I18" s="78">
        <v>65400</v>
      </c>
      <c r="J18" s="79">
        <v>78560</v>
      </c>
      <c r="K18" s="78">
        <v>82200</v>
      </c>
      <c r="L18" s="79">
        <v>82860</v>
      </c>
      <c r="M18" s="78">
        <v>85400</v>
      </c>
      <c r="N18" s="79">
        <v>86970</v>
      </c>
      <c r="O18" s="78">
        <v>93700</v>
      </c>
      <c r="P18" s="79">
        <v>98220</v>
      </c>
      <c r="Q18" s="78"/>
      <c r="R18" s="79"/>
    </row>
    <row r="19" spans="2:18" ht="15" customHeight="1" x14ac:dyDescent="0.25">
      <c r="B19" s="77" t="s">
        <v>13</v>
      </c>
      <c r="C19" s="78">
        <v>0</v>
      </c>
      <c r="D19" s="79">
        <v>54250</v>
      </c>
      <c r="E19" s="78">
        <v>57320</v>
      </c>
      <c r="F19" s="79">
        <v>59880</v>
      </c>
      <c r="G19" s="78"/>
      <c r="H19" s="79"/>
      <c r="I19" s="78"/>
      <c r="J19" s="79"/>
      <c r="K19" s="78"/>
      <c r="L19" s="79"/>
      <c r="M19" s="78"/>
      <c r="N19" s="79"/>
      <c r="O19" s="78"/>
      <c r="P19" s="79"/>
      <c r="Q19" s="78"/>
      <c r="R19" s="79"/>
    </row>
    <row r="20" spans="2:18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55400</v>
      </c>
      <c r="G20" s="78">
        <v>60000</v>
      </c>
      <c r="H20" s="79">
        <v>71000</v>
      </c>
      <c r="I20" s="78">
        <v>71775</v>
      </c>
      <c r="J20" s="79">
        <v>75100</v>
      </c>
      <c r="K20" s="78">
        <v>77000</v>
      </c>
      <c r="L20" s="79">
        <v>77400</v>
      </c>
      <c r="M20" s="78"/>
      <c r="N20" s="79"/>
      <c r="O20" s="78"/>
      <c r="P20" s="79"/>
      <c r="Q20" s="78"/>
      <c r="R20" s="79"/>
    </row>
    <row r="21" spans="2:18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33700</v>
      </c>
      <c r="G21" s="78">
        <v>35000</v>
      </c>
      <c r="H21" s="79">
        <v>40000</v>
      </c>
      <c r="I21" s="78">
        <v>40120</v>
      </c>
      <c r="J21" s="79">
        <v>45680</v>
      </c>
      <c r="K21" s="78">
        <v>71775</v>
      </c>
      <c r="L21" s="79">
        <v>71940</v>
      </c>
      <c r="M21" s="78">
        <v>47030</v>
      </c>
      <c r="N21" s="79">
        <v>50000</v>
      </c>
      <c r="O21" s="78">
        <v>61300</v>
      </c>
      <c r="P21" s="79">
        <v>61700</v>
      </c>
      <c r="Q21" s="78">
        <v>50040</v>
      </c>
      <c r="R21" s="79">
        <v>54700</v>
      </c>
    </row>
    <row r="22" spans="2:18" ht="15" customHeight="1" x14ac:dyDescent="0.25">
      <c r="B22" s="77" t="s">
        <v>16</v>
      </c>
      <c r="C22" s="78">
        <v>0</v>
      </c>
      <c r="D22" s="79">
        <v>47000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  <c r="O22" s="78"/>
      <c r="P22" s="79"/>
      <c r="Q22" s="78"/>
      <c r="R22" s="79"/>
    </row>
    <row r="23" spans="2:18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40060</v>
      </c>
      <c r="K23" s="78">
        <v>40100</v>
      </c>
      <c r="L23" s="79">
        <v>41500</v>
      </c>
      <c r="M23" s="78">
        <v>41500</v>
      </c>
      <c r="N23" s="79">
        <v>47800</v>
      </c>
      <c r="O23" s="78">
        <v>48000</v>
      </c>
      <c r="P23" s="79">
        <v>50240</v>
      </c>
      <c r="Q23" s="78"/>
      <c r="R23" s="79"/>
    </row>
    <row r="24" spans="2:18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45000</v>
      </c>
      <c r="G24" s="78"/>
      <c r="H24" s="79"/>
      <c r="I24" s="78"/>
      <c r="J24" s="79"/>
      <c r="K24" s="78"/>
      <c r="L24" s="79"/>
      <c r="M24" s="78"/>
      <c r="N24" s="79"/>
      <c r="O24" s="78"/>
      <c r="P24" s="79"/>
      <c r="Q24" s="78"/>
      <c r="R24" s="79"/>
    </row>
    <row r="25" spans="2:18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  <c r="O25" s="78"/>
      <c r="P25" s="79"/>
      <c r="Q25" s="78"/>
      <c r="R25" s="79"/>
    </row>
    <row r="26" spans="2:18" ht="15" customHeight="1" x14ac:dyDescent="0.25">
      <c r="B26" s="77" t="s">
        <v>20</v>
      </c>
      <c r="C26" s="78">
        <v>8150</v>
      </c>
      <c r="D26" s="79">
        <v>8700</v>
      </c>
      <c r="E26" s="78">
        <v>34400</v>
      </c>
      <c r="F26" s="79">
        <v>35000</v>
      </c>
      <c r="G26" s="78"/>
      <c r="H26" s="79"/>
      <c r="I26" s="78"/>
      <c r="J26" s="79"/>
      <c r="K26" s="78"/>
      <c r="L26" s="79"/>
      <c r="M26" s="78"/>
      <c r="N26" s="79"/>
      <c r="O26" s="78"/>
      <c r="P26" s="79"/>
      <c r="Q26" s="78"/>
      <c r="R26" s="79"/>
    </row>
    <row r="27" spans="2:18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21540</v>
      </c>
      <c r="G27" s="78">
        <v>23020</v>
      </c>
      <c r="H27" s="79">
        <v>44878</v>
      </c>
      <c r="I27" s="78"/>
      <c r="J27" s="79"/>
      <c r="K27" s="78"/>
      <c r="L27" s="79"/>
      <c r="M27" s="78"/>
      <c r="N27" s="79"/>
      <c r="O27" s="78"/>
      <c r="P27" s="79"/>
      <c r="Q27" s="78"/>
      <c r="R27" s="79"/>
    </row>
    <row r="29" spans="2:18" ht="15" customHeight="1" x14ac:dyDescent="0.25">
      <c r="B29" s="1" t="s">
        <v>22</v>
      </c>
    </row>
    <row r="30" spans="2:18" ht="15" customHeight="1" x14ac:dyDescent="0.25">
      <c r="B30" s="2" t="s">
        <v>23</v>
      </c>
      <c r="C30" s="60">
        <v>131260</v>
      </c>
    </row>
    <row r="31" spans="2:18" ht="15" customHeight="1" x14ac:dyDescent="0.25">
      <c r="B31" s="3" t="s">
        <v>24</v>
      </c>
    </row>
    <row r="32" spans="2:18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v>106160</v>
      </c>
    </row>
    <row r="34" spans="2:5" ht="15" customHeight="1" x14ac:dyDescent="0.25">
      <c r="B34" s="192" t="s">
        <v>29</v>
      </c>
      <c r="C34" s="81">
        <v>107440</v>
      </c>
      <c r="D34" s="81">
        <v>108500</v>
      </c>
    </row>
    <row r="35" spans="2:5" ht="15" customHeight="1" x14ac:dyDescent="0.25">
      <c r="B35" s="192" t="s">
        <v>30</v>
      </c>
      <c r="C35" s="81">
        <v>109200</v>
      </c>
      <c r="D35" s="81">
        <v>110700</v>
      </c>
    </row>
    <row r="36" spans="2:5" ht="15" customHeight="1" x14ac:dyDescent="0.25">
      <c r="B36" s="192" t="s">
        <v>31</v>
      </c>
      <c r="C36" s="81">
        <v>112720</v>
      </c>
      <c r="D36" s="81">
        <v>114720</v>
      </c>
    </row>
    <row r="37" spans="2:5" ht="15" customHeight="1" x14ac:dyDescent="0.25">
      <c r="B37" s="192" t="s">
        <v>32</v>
      </c>
      <c r="C37" s="81"/>
      <c r="D37" s="81"/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E6" zoomScaleNormal="100" workbookViewId="0">
      <selection activeCell="L16" sqref="L16"/>
    </sheetView>
  </sheetViews>
  <sheetFormatPr defaultRowHeight="15" outlineLevelCol="1" x14ac:dyDescent="0.25"/>
  <cols>
    <col min="1" max="1" width="27.42578125" style="7" customWidth="1"/>
    <col min="2" max="10" width="9.140625" style="7" customWidth="1" outlineLevel="1"/>
    <col min="11" max="24" width="9.140625" style="7"/>
    <col min="25" max="39" width="9.140625" style="83"/>
  </cols>
  <sheetData>
    <row r="1" spans="1:25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5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5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5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5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2">
        <v>5.9927423404253916E-2</v>
      </c>
      <c r="M5" s="62">
        <f t="shared" ref="M5:X5" si="1">M6-L6</f>
        <v>7.7407601135277837E-2</v>
      </c>
      <c r="N5" s="62">
        <f t="shared" si="1"/>
        <v>5.9545501372358367E-2</v>
      </c>
      <c r="O5" s="62">
        <f t="shared" si="1"/>
        <v>5.6504819574451248E-2</v>
      </c>
      <c r="P5" s="62">
        <f t="shared" si="1"/>
        <v>5.5049969779112196E-2</v>
      </c>
      <c r="Q5" s="62">
        <f t="shared" si="1"/>
        <v>6.6879599404793266E-2</v>
      </c>
      <c r="R5" s="62">
        <f t="shared" si="1"/>
        <v>6.4967958440981466E-2</v>
      </c>
      <c r="S5" s="62">
        <f t="shared" si="1"/>
        <v>6.6572851489322904E-2</v>
      </c>
      <c r="T5" s="62">
        <f t="shared" si="1"/>
        <v>7.5225278014127261E-2</v>
      </c>
      <c r="U5" s="62">
        <f t="shared" si="1"/>
        <v>6.2034254747460493E-2</v>
      </c>
      <c r="V5" s="62">
        <f t="shared" si="1"/>
        <v>5.7645965412102207E-2</v>
      </c>
      <c r="W5" s="62">
        <f t="shared" si="1"/>
        <v>6.0092428488860095E-2</v>
      </c>
      <c r="X5" s="62">
        <f t="shared" si="1"/>
        <v>5.2865026797076498E-3</v>
      </c>
    </row>
    <row r="6" spans="1:25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1"/>
      <c r="K6" s="61"/>
      <c r="L6" s="62">
        <v>0.29262742340425391</v>
      </c>
      <c r="M6" s="62">
        <v>0.37003502453953174</v>
      </c>
      <c r="N6" s="62">
        <v>0.42958052591189011</v>
      </c>
      <c r="O6" s="62">
        <v>0.48608534548634136</v>
      </c>
      <c r="P6" s="62">
        <v>0.54113531526545355</v>
      </c>
      <c r="Q6" s="62">
        <v>0.60801491467024682</v>
      </c>
      <c r="R6" s="62">
        <v>0.67298287311122829</v>
      </c>
      <c r="S6" s="62">
        <v>0.73955572460055119</v>
      </c>
      <c r="T6" s="62">
        <v>0.81478100261467845</v>
      </c>
      <c r="U6" s="62">
        <v>0.87681525736213894</v>
      </c>
      <c r="V6" s="62">
        <v>0.93446122277424115</v>
      </c>
      <c r="W6" s="62">
        <v>0.99455365126310125</v>
      </c>
      <c r="X6" s="62">
        <v>0.9998401539428089</v>
      </c>
      <c r="Y6" s="83">
        <v>1</v>
      </c>
    </row>
    <row r="7" spans="1:25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1">
        <v>4.4499999999999984E-2</v>
      </c>
      <c r="K7" s="61">
        <v>4.7600000000000003E-2</v>
      </c>
      <c r="L7" s="62">
        <v>1.3400000000000023E-2</v>
      </c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5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L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1">
        <f t="shared" si="2"/>
        <v>0.18509999999999999</v>
      </c>
      <c r="K8" s="61">
        <f t="shared" si="2"/>
        <v>0.23269999999999999</v>
      </c>
      <c r="L8" s="62">
        <f t="shared" si="2"/>
        <v>0.24610000000000001</v>
      </c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5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5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5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5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5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/>
      <c r="K14" s="62">
        <v>4.4954074588108996E-2</v>
      </c>
      <c r="L14" s="62">
        <v>7.1648778434198451E-2</v>
      </c>
      <c r="M14" s="62">
        <v>7.7066110502763491E-2</v>
      </c>
      <c r="N14" s="62">
        <v>5.7820745361437505E-2</v>
      </c>
      <c r="O14" s="62">
        <v>6.0624254963656136E-2</v>
      </c>
      <c r="P14" s="62">
        <v>6.2174397015389411E-2</v>
      </c>
      <c r="Q14" s="62">
        <v>6.6099812139299413E-2</v>
      </c>
      <c r="R14" s="62">
        <v>6.4480911441211944E-2</v>
      </c>
      <c r="S14" s="62">
        <v>6.8277429333762393E-2</v>
      </c>
      <c r="T14" s="62">
        <v>7.2910649052511975E-2</v>
      </c>
      <c r="U14" s="62">
        <v>5.2995525304215557E-2</v>
      </c>
      <c r="V14" s="62">
        <v>4.8646737309020624E-2</v>
      </c>
      <c r="W14" s="62">
        <v>4.9575226371953732E-2</v>
      </c>
      <c r="X14" s="62">
        <v>1.9554403958884619E-2</v>
      </c>
    </row>
    <row r="15" spans="1:25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/>
      <c r="K15" s="62">
        <v>0.22812501887508221</v>
      </c>
      <c r="L15" s="62">
        <f t="shared" ref="L15:X15" si="3">L14+K15</f>
        <v>0.29977379730928067</v>
      </c>
      <c r="M15" s="62">
        <f t="shared" si="3"/>
        <v>0.37683990781204413</v>
      </c>
      <c r="N15" s="62">
        <f t="shared" si="3"/>
        <v>0.43466065317348163</v>
      </c>
      <c r="O15" s="62">
        <f t="shared" si="3"/>
        <v>0.49528490813713777</v>
      </c>
      <c r="P15" s="62">
        <f t="shared" si="3"/>
        <v>0.55745930515252717</v>
      </c>
      <c r="Q15" s="62">
        <f t="shared" si="3"/>
        <v>0.62355911729182656</v>
      </c>
      <c r="R15" s="62">
        <f t="shared" si="3"/>
        <v>0.68804002873303849</v>
      </c>
      <c r="S15" s="62">
        <f t="shared" si="3"/>
        <v>0.75631745806680084</v>
      </c>
      <c r="T15" s="62">
        <f t="shared" si="3"/>
        <v>0.82922810711931283</v>
      </c>
      <c r="U15" s="62">
        <f t="shared" si="3"/>
        <v>0.88222363242352841</v>
      </c>
      <c r="V15" s="62">
        <f t="shared" si="3"/>
        <v>0.930870369732549</v>
      </c>
      <c r="W15" s="62">
        <f t="shared" si="3"/>
        <v>0.98044559610450277</v>
      </c>
      <c r="X15" s="62">
        <f t="shared" si="3"/>
        <v>1.0000000000633873</v>
      </c>
    </row>
    <row r="16" spans="1:25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>
        <v>4.4954074588108996E-2</v>
      </c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>
        <v>0.22812501887508221</v>
      </c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229</v>
      </c>
      <c r="L22" s="86">
        <v>227</v>
      </c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115</v>
      </c>
      <c r="L27" s="86">
        <v>118</v>
      </c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49</v>
      </c>
      <c r="L32" s="86">
        <v>46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46</v>
      </c>
      <c r="L37" s="87">
        <v>49</v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25" workbookViewId="0">
      <pane xSplit="1" topLeftCell="N1" activePane="topRight" state="frozen"/>
      <selection pane="topRight" activeCell="W94" sqref="W94:W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>
        <v>1</v>
      </c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49</v>
      </c>
      <c r="V4" s="102">
        <v>96</v>
      </c>
      <c r="W4" s="103">
        <v>48</v>
      </c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>
        <v>2</v>
      </c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>
        <v>6</v>
      </c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>
        <v>5</v>
      </c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4</v>
      </c>
      <c r="V9" s="12">
        <v>5</v>
      </c>
      <c r="W9" s="13">
        <v>4</v>
      </c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>
        <v>1</v>
      </c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>
        <v>3</v>
      </c>
      <c r="V12" s="102">
        <v>3</v>
      </c>
      <c r="W12" s="103">
        <v>3</v>
      </c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5</v>
      </c>
      <c r="V13" s="12">
        <v>5</v>
      </c>
      <c r="W13" s="13">
        <v>5</v>
      </c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>
        <v>1</v>
      </c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/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>
        <v>8</v>
      </c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63</v>
      </c>
      <c r="V17" s="12">
        <v>23</v>
      </c>
      <c r="W17" s="13">
        <v>63</v>
      </c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3</v>
      </c>
      <c r="V18" s="102">
        <v>2</v>
      </c>
      <c r="W18" s="103">
        <v>3</v>
      </c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23</v>
      </c>
      <c r="V19" s="12">
        <v>22</v>
      </c>
      <c r="W19" s="13">
        <v>23</v>
      </c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19</v>
      </c>
      <c r="V20" s="102">
        <v>18</v>
      </c>
      <c r="W20" s="103">
        <v>18</v>
      </c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3</v>
      </c>
      <c r="V21" s="12">
        <v>3</v>
      </c>
      <c r="W21" s="13">
        <v>3</v>
      </c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>
        <v>10</v>
      </c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>
        <v>2</v>
      </c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>
        <v>4</v>
      </c>
      <c r="V24" s="102">
        <v>6</v>
      </c>
      <c r="W24" s="103">
        <v>4</v>
      </c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>
        <v>1</v>
      </c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/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>
        <v>4</v>
      </c>
      <c r="V27" s="12">
        <v>8</v>
      </c>
      <c r="W27" s="13">
        <v>4</v>
      </c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>
        <v>4</v>
      </c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>
        <v>1</v>
      </c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>
        <v>1</v>
      </c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>
        <v>2</v>
      </c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4</v>
      </c>
      <c r="V32" s="107">
        <v>3</v>
      </c>
      <c r="W32" s="108">
        <v>4</v>
      </c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229</v>
      </c>
      <c r="V33" s="113">
        <f t="shared" si="8"/>
        <v>260</v>
      </c>
      <c r="W33" s="113">
        <f t="shared" si="8"/>
        <v>227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6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7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>
        <v>6</v>
      </c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>
        <v>1</v>
      </c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>
        <v>1</v>
      </c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>
        <v>3</v>
      </c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>
        <v>2</v>
      </c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11</v>
      </c>
      <c r="V44" s="102">
        <v>16</v>
      </c>
      <c r="W44" s="103">
        <v>11</v>
      </c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>
        <v>1</v>
      </c>
      <c r="V45" s="12">
        <v>2</v>
      </c>
      <c r="W45" s="13">
        <v>1</v>
      </c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5</v>
      </c>
      <c r="V46" s="102">
        <v>6</v>
      </c>
      <c r="W46" s="103">
        <v>5</v>
      </c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>
        <v>2</v>
      </c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>
        <v>2</v>
      </c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>
        <v>2</v>
      </c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>
        <v>1</v>
      </c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>
        <v>1</v>
      </c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>
        <v>1</v>
      </c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>
        <v>1</v>
      </c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>
        <v>5</v>
      </c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>
        <v>1</v>
      </c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>
        <v>1</v>
      </c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>
        <v>2</v>
      </c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>
        <v>1</v>
      </c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>
        <v>2</v>
      </c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>
        <v>4</v>
      </c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>
        <v>2</v>
      </c>
      <c r="V61" s="12">
        <v>2</v>
      </c>
      <c r="W61" s="13">
        <v>2</v>
      </c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>
        <v>2</v>
      </c>
      <c r="V62" s="102">
        <v>2</v>
      </c>
      <c r="W62" s="103">
        <v>2</v>
      </c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9</v>
      </c>
      <c r="V63" s="12">
        <v>2</v>
      </c>
      <c r="W63" s="13">
        <v>9</v>
      </c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>
        <v>1</v>
      </c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3</v>
      </c>
      <c r="V65" s="12">
        <v>3</v>
      </c>
      <c r="W65" s="13">
        <v>3</v>
      </c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12</v>
      </c>
      <c r="V66" s="102">
        <v>8</v>
      </c>
      <c r="W66" s="103">
        <v>12</v>
      </c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10</v>
      </c>
      <c r="V67" s="12">
        <v>8</v>
      </c>
      <c r="W67" s="13">
        <v>12</v>
      </c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3</v>
      </c>
      <c r="V68" s="102">
        <v>3</v>
      </c>
      <c r="W68" s="103">
        <v>3</v>
      </c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>
        <v>1</v>
      </c>
      <c r="V69" s="12">
        <v>1</v>
      </c>
      <c r="W69" s="13">
        <v>1</v>
      </c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>
        <v>1</v>
      </c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>
        <v>1</v>
      </c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>
        <v>1</v>
      </c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>
        <v>2</v>
      </c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2</v>
      </c>
      <c r="V75" s="12">
        <v>3</v>
      </c>
      <c r="W75" s="13">
        <v>3</v>
      </c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7</v>
      </c>
      <c r="V76" s="102">
        <v>6</v>
      </c>
      <c r="W76" s="103">
        <v>7</v>
      </c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>
        <v>1</v>
      </c>
      <c r="V77" s="12">
        <v>1</v>
      </c>
      <c r="W77" s="13">
        <v>1</v>
      </c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1</v>
      </c>
      <c r="V78" s="107">
        <v>1</v>
      </c>
      <c r="W78" s="108">
        <v>1</v>
      </c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115</v>
      </c>
      <c r="V79" s="112">
        <f t="shared" si="18"/>
        <v>107</v>
      </c>
      <c r="W79" s="112">
        <f t="shared" si="18"/>
        <v>118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6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8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>
        <v>27</v>
      </c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>
        <v>5</v>
      </c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>
        <v>2</v>
      </c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>
        <v>1</v>
      </c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11</v>
      </c>
      <c r="V88" s="102">
        <v>8</v>
      </c>
      <c r="W88" s="103">
        <v>11</v>
      </c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>
        <v>3</v>
      </c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49</v>
      </c>
      <c r="V90" s="112">
        <f t="shared" si="28"/>
        <v>34</v>
      </c>
      <c r="W90" s="112">
        <f t="shared" si="28"/>
        <v>49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6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7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>
        <v>7</v>
      </c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>
        <v>5</v>
      </c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>
        <v>6</v>
      </c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>
        <v>1</v>
      </c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>
        <v>1</v>
      </c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>
        <v>2</v>
      </c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>
        <v>7</v>
      </c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>
        <v>1</v>
      </c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>
        <v>2</v>
      </c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>
        <v>1</v>
      </c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>
        <v>2</v>
      </c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>
        <v>5</v>
      </c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>
        <v>4</v>
      </c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>
        <v>2</v>
      </c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>
        <v>1</v>
      </c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>
        <v>1</v>
      </c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>
        <v>1</v>
      </c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>
        <v>2</v>
      </c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>
        <v>1</v>
      </c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>
        <v>112</v>
      </c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>
        <v>2</v>
      </c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46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A52" workbookViewId="0">
      <selection activeCell="J63" sqref="J63:V63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1265</v>
      </c>
      <c r="J5" s="68">
        <v>345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23</v>
      </c>
      <c r="J6" s="69">
        <v>8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J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55</v>
      </c>
      <c r="J7" s="69">
        <f t="shared" si="2"/>
        <v>43.125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1352.8999999999996</v>
      </c>
      <c r="J8" s="147">
        <v>1281.3999999999996</v>
      </c>
      <c r="K8" s="147">
        <v>1270.8000000000002</v>
      </c>
      <c r="L8" s="147">
        <v>936.40000000000055</v>
      </c>
      <c r="M8" s="147">
        <v>1270.7999999999993</v>
      </c>
      <c r="N8" s="147">
        <v>1337.7000000000007</v>
      </c>
      <c r="O8" s="147">
        <v>1538.3999999999996</v>
      </c>
      <c r="P8" s="147">
        <v>1471.5</v>
      </c>
      <c r="Q8" s="147">
        <v>1404.6000000000004</v>
      </c>
      <c r="R8" s="147">
        <v>1471.4999999999982</v>
      </c>
      <c r="S8" s="147">
        <v>1034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54.115999999999985</v>
      </c>
      <c r="J10" s="69">
        <f t="shared" si="5"/>
        <v>47.459259259259248</v>
      </c>
      <c r="K10" s="69">
        <f t="shared" si="5"/>
        <v>50.832000000000008</v>
      </c>
      <c r="L10" s="69">
        <f t="shared" si="5"/>
        <v>58.525000000000034</v>
      </c>
      <c r="M10" s="69">
        <f t="shared" si="5"/>
        <v>52.949999999999967</v>
      </c>
      <c r="N10" s="69">
        <f t="shared" si="5"/>
        <v>55.737500000000033</v>
      </c>
      <c r="O10" s="69">
        <f t="shared" si="5"/>
        <v>56.977777777777767</v>
      </c>
      <c r="P10" s="69">
        <f t="shared" si="5"/>
        <v>56.596153846153847</v>
      </c>
      <c r="Q10" s="69">
        <f t="shared" si="5"/>
        <v>54.023076923076935</v>
      </c>
      <c r="R10" s="69">
        <f t="shared" si="5"/>
        <v>56.596153846153776</v>
      </c>
      <c r="S10" s="69">
        <f t="shared" si="5"/>
        <v>38.296296296296298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13615</v>
      </c>
      <c r="J16" s="153">
        <v>2200</v>
      </c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17</v>
      </c>
      <c r="J17" s="69">
        <v>4</v>
      </c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J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800.88235294117646</v>
      </c>
      <c r="J18" s="69">
        <f t="shared" si="7"/>
        <v>550</v>
      </c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13615</v>
      </c>
      <c r="J19" s="147">
        <v>17270.899999999994</v>
      </c>
      <c r="K19" s="147">
        <v>18600.5</v>
      </c>
      <c r="L19" s="147">
        <v>12540.5</v>
      </c>
      <c r="M19" s="147">
        <v>17578.5</v>
      </c>
      <c r="N19" s="147">
        <v>18649.200000000012</v>
      </c>
      <c r="O19" s="147">
        <v>21409.799999999988</v>
      </c>
      <c r="P19" s="147">
        <v>20501.299999999988</v>
      </c>
      <c r="Q19" s="147">
        <v>19767.299999999988</v>
      </c>
      <c r="R19" s="147">
        <v>20571.399999999994</v>
      </c>
      <c r="S19" s="147">
        <v>20484.799999999988</v>
      </c>
      <c r="T19" s="147">
        <v>18250.299999999988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544.6</v>
      </c>
      <c r="J21" s="69">
        <f t="shared" si="10"/>
        <v>639.66296296296275</v>
      </c>
      <c r="K21" s="69">
        <f t="shared" si="10"/>
        <v>744.02</v>
      </c>
      <c r="L21" s="69">
        <f t="shared" si="10"/>
        <v>783.78125</v>
      </c>
      <c r="M21" s="69">
        <f t="shared" si="10"/>
        <v>732.4375</v>
      </c>
      <c r="N21" s="69">
        <f t="shared" si="10"/>
        <v>777.05000000000052</v>
      </c>
      <c r="O21" s="69">
        <f t="shared" si="10"/>
        <v>792.95555555555518</v>
      </c>
      <c r="P21" s="69">
        <f t="shared" si="10"/>
        <v>788.51153846153807</v>
      </c>
      <c r="Q21" s="69">
        <f t="shared" si="10"/>
        <v>760.28076923076878</v>
      </c>
      <c r="R21" s="69">
        <f t="shared" si="10"/>
        <v>791.20769230769213</v>
      </c>
      <c r="S21" s="69">
        <f t="shared" si="10"/>
        <v>758.69629629629583</v>
      </c>
      <c r="T21" s="69">
        <f t="shared" si="10"/>
        <v>701.93461538461497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36285</v>
      </c>
      <c r="J27" s="68">
        <v>23447.999799999991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13</v>
      </c>
      <c r="J28" s="69">
        <v>7</v>
      </c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J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2791.1538461538462</v>
      </c>
      <c r="J29" s="69">
        <f t="shared" si="12"/>
        <v>3349.7142571428558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36285</v>
      </c>
      <c r="J30" s="147">
        <v>52942.099799999996</v>
      </c>
      <c r="K30" s="147">
        <v>40066.499999999971</v>
      </c>
      <c r="L30" s="147">
        <v>39282.099999999977</v>
      </c>
      <c r="M30" s="147">
        <v>37845.799999999988</v>
      </c>
      <c r="N30" s="147">
        <v>38516.099999999977</v>
      </c>
      <c r="O30" s="147">
        <v>54697.099999999977</v>
      </c>
      <c r="P30" s="147">
        <v>42693.400000000023</v>
      </c>
      <c r="Q30" s="147">
        <v>56337.500000000058</v>
      </c>
      <c r="R30" s="147">
        <v>50576.800000000047</v>
      </c>
      <c r="S30" s="147">
        <v>38266.5</v>
      </c>
      <c r="T30" s="147">
        <v>50911.800000000047</v>
      </c>
      <c r="U30" s="147">
        <v>56134.200199999847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1451.4</v>
      </c>
      <c r="J32" s="69">
        <f t="shared" si="15"/>
        <v>1960.8185111111109</v>
      </c>
      <c r="K32" s="69">
        <f t="shared" si="15"/>
        <v>1602.6599999999989</v>
      </c>
      <c r="L32" s="69">
        <f t="shared" si="15"/>
        <v>2455.1312499999985</v>
      </c>
      <c r="M32" s="69">
        <f t="shared" si="15"/>
        <v>1576.9083333333328</v>
      </c>
      <c r="N32" s="69">
        <f t="shared" si="15"/>
        <v>1604.837499999999</v>
      </c>
      <c r="O32" s="69">
        <f t="shared" si="15"/>
        <v>2025.8185185185177</v>
      </c>
      <c r="P32" s="69">
        <f t="shared" si="15"/>
        <v>1642.053846153847</v>
      </c>
      <c r="Q32" s="69">
        <f t="shared" si="15"/>
        <v>2166.8269230769251</v>
      </c>
      <c r="R32" s="69">
        <f t="shared" si="15"/>
        <v>1945.2615384615403</v>
      </c>
      <c r="S32" s="69">
        <f t="shared" si="15"/>
        <v>1417.2777777777778</v>
      </c>
      <c r="T32" s="69">
        <f t="shared" si="15"/>
        <v>1958.1461538461556</v>
      </c>
      <c r="U32" s="69">
        <f t="shared" si="15"/>
        <v>2159.0076999999942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119</v>
      </c>
      <c r="J38" s="68">
        <v>42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22</v>
      </c>
      <c r="J39" s="69">
        <v>6</v>
      </c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H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v>22</v>
      </c>
      <c r="J40" s="69">
        <v>22</v>
      </c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132.20000000000005</v>
      </c>
      <c r="J41" s="147">
        <v>272.5</v>
      </c>
      <c r="K41" s="147">
        <v>196.39999999999998</v>
      </c>
      <c r="L41" s="147">
        <v>186.89999999999998</v>
      </c>
      <c r="M41" s="147">
        <v>213.40000000000009</v>
      </c>
      <c r="N41" s="147">
        <v>158.20000000000005</v>
      </c>
      <c r="O41" s="147">
        <v>227</v>
      </c>
      <c r="P41" s="147">
        <v>261.69999999999982</v>
      </c>
      <c r="Q41" s="147">
        <v>267.80000000000018</v>
      </c>
      <c r="R41" s="147">
        <v>288.09999999999991</v>
      </c>
      <c r="S41" s="147">
        <v>276.19999999999982</v>
      </c>
      <c r="T41" s="147">
        <v>297.09999999999991</v>
      </c>
      <c r="U41" s="147">
        <v>104.40000000000009</v>
      </c>
      <c r="V41" s="147">
        <v>5.3000000000001819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5.288000000000002</v>
      </c>
      <c r="J43" s="69">
        <f t="shared" si="20"/>
        <v>10.092592592592593</v>
      </c>
      <c r="K43" s="69">
        <f t="shared" si="20"/>
        <v>7.855999999999999</v>
      </c>
      <c r="L43" s="69">
        <f t="shared" si="20"/>
        <v>11.681249999999999</v>
      </c>
      <c r="M43" s="69">
        <f t="shared" si="20"/>
        <v>8.891666666666671</v>
      </c>
      <c r="N43" s="69">
        <f t="shared" si="20"/>
        <v>6.5916666666666686</v>
      </c>
      <c r="O43" s="69">
        <f t="shared" si="20"/>
        <v>8.4074074074074066</v>
      </c>
      <c r="P43" s="69">
        <f t="shared" si="20"/>
        <v>10.065384615384609</v>
      </c>
      <c r="Q43" s="69">
        <f t="shared" si="20"/>
        <v>10.300000000000008</v>
      </c>
      <c r="R43" s="69">
        <f t="shared" si="20"/>
        <v>11.080769230769228</v>
      </c>
      <c r="S43" s="69">
        <f t="shared" si="20"/>
        <v>10.229629629629622</v>
      </c>
      <c r="T43" s="69">
        <f t="shared" si="20"/>
        <v>11.426923076923073</v>
      </c>
      <c r="U43" s="69">
        <f t="shared" si="20"/>
        <v>4.0153846153846189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18166</v>
      </c>
      <c r="J49" s="68">
        <v>5228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17</v>
      </c>
      <c r="J50" s="69">
        <v>9</v>
      </c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J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1068.5882352941176</v>
      </c>
      <c r="J51" s="69">
        <f t="shared" si="22"/>
        <v>580.88888888888891</v>
      </c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19854.100000000006</v>
      </c>
      <c r="J52" s="147">
        <v>18746.699999999997</v>
      </c>
      <c r="K52" s="147">
        <v>31552.5</v>
      </c>
      <c r="L52" s="147">
        <v>17193.699999999997</v>
      </c>
      <c r="M52" s="147">
        <v>11341.399999999994</v>
      </c>
      <c r="N52" s="147">
        <v>13326.5</v>
      </c>
      <c r="O52" s="147">
        <v>17954.399999999994</v>
      </c>
      <c r="P52" s="147">
        <v>16952.5</v>
      </c>
      <c r="Q52" s="147">
        <v>24331.799999999988</v>
      </c>
      <c r="R52" s="147">
        <v>22964</v>
      </c>
      <c r="S52" s="147">
        <v>12742.899999999994</v>
      </c>
      <c r="T52" s="147">
        <v>20111.599999999977</v>
      </c>
      <c r="U52" s="147">
        <v>34435.200000000012</v>
      </c>
      <c r="V52" s="147"/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794.16400000000021</v>
      </c>
      <c r="J54" s="69">
        <f t="shared" si="25"/>
        <v>694.32222222222208</v>
      </c>
      <c r="K54" s="69">
        <f t="shared" si="25"/>
        <v>1262.0999999999999</v>
      </c>
      <c r="L54" s="69">
        <f t="shared" si="25"/>
        <v>1074.6062499999998</v>
      </c>
      <c r="M54" s="69">
        <f t="shared" si="25"/>
        <v>472.55833333333311</v>
      </c>
      <c r="N54" s="69">
        <f t="shared" si="25"/>
        <v>555.27083333333337</v>
      </c>
      <c r="O54" s="69">
        <f t="shared" si="25"/>
        <v>664.97777777777753</v>
      </c>
      <c r="P54" s="69">
        <f t="shared" si="25"/>
        <v>652.01923076923072</v>
      </c>
      <c r="Q54" s="69">
        <f t="shared" si="25"/>
        <v>935.83846153846105</v>
      </c>
      <c r="R54" s="69">
        <f t="shared" si="25"/>
        <v>883.23076923076928</v>
      </c>
      <c r="S54" s="69">
        <f t="shared" si="25"/>
        <v>471.95925925925906</v>
      </c>
      <c r="T54" s="69">
        <f t="shared" si="25"/>
        <v>773.52307692307602</v>
      </c>
      <c r="U54" s="69">
        <f t="shared" si="25"/>
        <v>1324.4307692307698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32756</v>
      </c>
      <c r="J60" s="68">
        <v>11884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15</v>
      </c>
      <c r="J61" s="69">
        <v>6</v>
      </c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2183.7333333333331</v>
      </c>
      <c r="J62" s="69">
        <f>J60/J61</f>
        <v>1980.6666666666667</v>
      </c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35224.199999999997</v>
      </c>
      <c r="J63" s="147">
        <v>45335.100000000006</v>
      </c>
      <c r="K63" s="147">
        <v>50722.600000000006</v>
      </c>
      <c r="L63" s="147">
        <v>39424.899999999994</v>
      </c>
      <c r="M63" s="147">
        <v>44912.800000000017</v>
      </c>
      <c r="N63" s="147">
        <v>35005.799999999988</v>
      </c>
      <c r="O63" s="147">
        <v>44107.700000000012</v>
      </c>
      <c r="P63" s="147">
        <v>47008</v>
      </c>
      <c r="Q63" s="147">
        <v>49998.700000000012</v>
      </c>
      <c r="R63" s="147">
        <v>50799.700000000012</v>
      </c>
      <c r="S63" s="147">
        <v>52461</v>
      </c>
      <c r="T63" s="147">
        <v>37247.099999999977</v>
      </c>
      <c r="U63" s="147">
        <v>77263.099999999977</v>
      </c>
      <c r="V63" s="147">
        <v>1877.9000000000233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1408.9679999999998</v>
      </c>
      <c r="J65" s="69">
        <f t="shared" si="29"/>
        <v>1679.077777777778</v>
      </c>
      <c r="K65" s="69">
        <f t="shared" si="29"/>
        <v>2028.9040000000002</v>
      </c>
      <c r="L65" s="69">
        <f t="shared" si="29"/>
        <v>2464.0562499999996</v>
      </c>
      <c r="M65" s="69">
        <f t="shared" si="29"/>
        <v>1871.3666666666675</v>
      </c>
      <c r="N65" s="69">
        <f t="shared" si="29"/>
        <v>1458.5749999999996</v>
      </c>
      <c r="O65" s="69">
        <f t="shared" si="29"/>
        <v>1633.6185185185188</v>
      </c>
      <c r="P65" s="69">
        <f t="shared" si="29"/>
        <v>1808</v>
      </c>
      <c r="Q65" s="69">
        <f t="shared" si="29"/>
        <v>1923.0269230769236</v>
      </c>
      <c r="R65" s="69">
        <f t="shared" si="29"/>
        <v>1953.8346153846157</v>
      </c>
      <c r="S65" s="69">
        <f t="shared" si="29"/>
        <v>1943</v>
      </c>
      <c r="T65" s="69">
        <f t="shared" si="29"/>
        <v>1432.5807692307683</v>
      </c>
      <c r="U65" s="69">
        <f t="shared" si="29"/>
        <v>2971.6576923076914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pane xSplit="2" ySplit="3" topLeftCell="E280" activePane="bottomRight" state="frozen"/>
      <selection pane="topRight" activeCell="C1" sqref="C1"/>
      <selection pane="bottomLeft" activeCell="A4" sqref="A4"/>
      <selection pane="bottomRight" activeCell="M279" sqref="M279:M286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145839</v>
      </c>
      <c r="D2" s="35">
        <f t="shared" ref="D2:M2" si="0">SUM(D4:D733)</f>
        <v>142103.58000000007</v>
      </c>
      <c r="E2" s="36">
        <f t="shared" si="0"/>
        <v>8038.2323076923085</v>
      </c>
      <c r="F2" s="34">
        <f t="shared" si="0"/>
        <v>210259.08699999994</v>
      </c>
      <c r="G2" s="35">
        <f t="shared" si="0"/>
        <v>208717.13999999998</v>
      </c>
      <c r="H2" s="36">
        <f t="shared" si="0"/>
        <v>7537.2738461538447</v>
      </c>
      <c r="I2" s="34">
        <f t="shared" si="0"/>
        <v>17301.32</v>
      </c>
      <c r="J2" s="35">
        <f t="shared" si="0"/>
        <v>19955.665981000002</v>
      </c>
      <c r="K2" s="36">
        <f t="shared" si="0"/>
        <v>573333.3333333343</v>
      </c>
      <c r="L2" s="34">
        <f t="shared" si="0"/>
        <v>367929.76222199976</v>
      </c>
      <c r="M2" s="36">
        <f t="shared" si="0"/>
        <v>647186.7336666669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73254.095980999991</v>
      </c>
      <c r="Z5" s="5">
        <f t="shared" si="2"/>
        <v>17431.370000000003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0</v>
      </c>
      <c r="Z6" s="5">
        <f t="shared" si="4"/>
        <v>38908.839487179481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59170.239721999998</v>
      </c>
      <c r="Z8" s="5">
        <f t="shared" si="5"/>
        <v>33410.039999999994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46298.768666666678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353345.01598099997</v>
      </c>
      <c r="Z11" s="5">
        <f t="shared" si="7"/>
        <v>409685.22546817944</v>
      </c>
      <c r="AA11" s="5">
        <f t="shared" si="7"/>
        <v>459685.22546817944</v>
      </c>
      <c r="AB11" s="5">
        <f t="shared" si="7"/>
        <v>509685.22546817944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334519.72222200001</v>
      </c>
      <c r="Z12" s="5">
        <f t="shared" si="8"/>
        <v>414228.53088866669</v>
      </c>
      <c r="AA12" s="5">
        <f t="shared" si="8"/>
        <v>481534.41588866664</v>
      </c>
      <c r="AB12" s="5">
        <f t="shared" si="8"/>
        <v>517780.7508886666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18825.293758999964</v>
      </c>
      <c r="Z13" s="5">
        <f t="shared" si="9"/>
        <v>-4543.305420487246</v>
      </c>
      <c r="AA13" s="5">
        <f t="shared" si="9"/>
        <v>-21849.190420487197</v>
      </c>
      <c r="AB13" s="5">
        <f t="shared" si="9"/>
        <v>-8095.5254204871599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>
        <v>2101.6799999999998</v>
      </c>
      <c r="M251" s="41"/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/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>
        <v>0</v>
      </c>
      <c r="M253" s="41"/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>
        <v>5359.8399999999992</v>
      </c>
      <c r="M254" s="41"/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>
        <v>467.03999999999996</v>
      </c>
      <c r="M255" s="41"/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>
        <v>2014.11</v>
      </c>
      <c r="M256" s="41"/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>
        <v>895.16</v>
      </c>
      <c r="M257" s="41"/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>
        <v>895.16</v>
      </c>
      <c r="M258" s="41"/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/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>
        <v>1488.4</v>
      </c>
      <c r="D260" s="40">
        <v>1345.3200000000004</v>
      </c>
      <c r="E260" s="42"/>
      <c r="F260" s="39">
        <v>2174.9</v>
      </c>
      <c r="G260" s="40">
        <v>1986.8200000000004</v>
      </c>
      <c r="H260" s="42"/>
      <c r="I260" s="39">
        <v>1210.6300000000001</v>
      </c>
      <c r="J260" s="40">
        <v>0</v>
      </c>
      <c r="K260" s="5">
        <v>0</v>
      </c>
      <c r="L260" s="157">
        <v>5176.3599999999997</v>
      </c>
      <c r="M260" s="41"/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>
        <v>896.61</v>
      </c>
      <c r="D261" s="40">
        <v>1171.5799999999997</v>
      </c>
      <c r="E261" s="42"/>
      <c r="F261" s="39">
        <v>1620.7</v>
      </c>
      <c r="G261" s="40">
        <v>2013.1200000000003</v>
      </c>
      <c r="H261" s="42"/>
      <c r="I261" s="39">
        <v>537.63</v>
      </c>
      <c r="J261" s="40">
        <v>401.78</v>
      </c>
      <c r="K261" s="5">
        <v>0</v>
      </c>
      <c r="L261" s="157">
        <v>758.93999999999994</v>
      </c>
      <c r="M261" s="41"/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>
        <v>637.30999999999995</v>
      </c>
      <c r="D262" s="40">
        <v>288.83999999999997</v>
      </c>
      <c r="E262" s="42"/>
      <c r="F262" s="39">
        <v>2073.8200000000002</v>
      </c>
      <c r="G262" s="40">
        <v>2534.7800000000007</v>
      </c>
      <c r="H262" s="42"/>
      <c r="I262" s="39">
        <v>814.63</v>
      </c>
      <c r="J262" s="40">
        <v>669.67598100000009</v>
      </c>
      <c r="K262" s="5">
        <v>0</v>
      </c>
      <c r="L262" s="157">
        <v>5409.8799999999992</v>
      </c>
      <c r="M262" s="41"/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>
        <v>1224.8900000000001</v>
      </c>
      <c r="D263" s="40">
        <v>786.49999999999989</v>
      </c>
      <c r="E263" s="42"/>
      <c r="F263" s="39">
        <v>1905.64</v>
      </c>
      <c r="G263" s="40">
        <v>2315.7399999999998</v>
      </c>
      <c r="H263" s="42"/>
      <c r="I263" s="39">
        <v>1017.63</v>
      </c>
      <c r="J263" s="40">
        <v>987.55999999999983</v>
      </c>
      <c r="K263" s="5">
        <v>0</v>
      </c>
      <c r="L263" s="157">
        <v>914.61999999999989</v>
      </c>
      <c r="M263" s="41"/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>
        <v>1223.3399999999999</v>
      </c>
      <c r="D264" s="40">
        <v>1092.96</v>
      </c>
      <c r="E264" s="42"/>
      <c r="F264" s="39">
        <v>2147.21</v>
      </c>
      <c r="G264" s="40">
        <v>1505.4199999999998</v>
      </c>
      <c r="H264" s="42"/>
      <c r="I264" s="39">
        <v>337.63</v>
      </c>
      <c r="J264" s="40">
        <v>771.46999999999991</v>
      </c>
      <c r="K264" s="5">
        <v>0</v>
      </c>
      <c r="L264" s="157">
        <v>3619.56</v>
      </c>
      <c r="M264" s="41"/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>
        <v>326.87</v>
      </c>
      <c r="D265" s="40">
        <v>1257.7800000000002</v>
      </c>
      <c r="E265" s="42"/>
      <c r="F265" s="39">
        <v>1184.44</v>
      </c>
      <c r="G265" s="40">
        <v>1739.9200000000003</v>
      </c>
      <c r="H265" s="42"/>
      <c r="I265" s="39">
        <v>0</v>
      </c>
      <c r="J265" s="40">
        <v>386.03999999999996</v>
      </c>
      <c r="K265" s="5">
        <v>0</v>
      </c>
      <c r="L265" s="157">
        <v>3502.7999999999997</v>
      </c>
      <c r="M265" s="41"/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>
        <v>579.52</v>
      </c>
      <c r="D266" s="40">
        <v>0</v>
      </c>
      <c r="E266" s="42"/>
      <c r="F266" s="39">
        <v>371.83</v>
      </c>
      <c r="G266" s="40">
        <v>0</v>
      </c>
      <c r="H266" s="42"/>
      <c r="I266" s="39">
        <v>0</v>
      </c>
      <c r="J266" s="40">
        <v>0</v>
      </c>
      <c r="K266" s="5">
        <v>0</v>
      </c>
      <c r="L266" s="157">
        <v>0</v>
      </c>
      <c r="M266" s="41"/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>
        <v>1302.97</v>
      </c>
      <c r="D267" s="40">
        <v>1182</v>
      </c>
      <c r="E267" s="42"/>
      <c r="F267" s="39">
        <v>1303.3800000000001</v>
      </c>
      <c r="G267" s="40">
        <v>1587.7200000000003</v>
      </c>
      <c r="H267" s="42"/>
      <c r="I267" s="39">
        <v>793.63</v>
      </c>
      <c r="J267" s="40">
        <v>229.29000000000002</v>
      </c>
      <c r="K267" s="5">
        <v>0</v>
      </c>
      <c r="L267" s="157">
        <v>0</v>
      </c>
      <c r="M267" s="41"/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>
        <v>1342.58</v>
      </c>
      <c r="D268" s="40">
        <v>1513.9599999999998</v>
      </c>
      <c r="E268" s="42"/>
      <c r="F268" s="39">
        <v>1002.13</v>
      </c>
      <c r="G268" s="40">
        <v>1205.3000000000002</v>
      </c>
      <c r="H268" s="42"/>
      <c r="I268" s="39">
        <v>421.63</v>
      </c>
      <c r="J268" s="40">
        <v>833.75000000000023</v>
      </c>
      <c r="K268" s="5">
        <v>0</v>
      </c>
      <c r="L268" s="157">
        <v>3502.7999999999997</v>
      </c>
      <c r="M268" s="41"/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>
        <v>1259.99</v>
      </c>
      <c r="D269" s="40">
        <v>1340.1999999999996</v>
      </c>
      <c r="E269" s="42"/>
      <c r="F269" s="39">
        <v>1046.97</v>
      </c>
      <c r="G269" s="40">
        <v>933.30000000000007</v>
      </c>
      <c r="H269" s="42"/>
      <c r="I269" s="39">
        <v>1066.6300000000001</v>
      </c>
      <c r="J269" s="40">
        <v>910.9699999999998</v>
      </c>
      <c r="K269" s="5">
        <v>0</v>
      </c>
      <c r="L269" s="157">
        <v>0</v>
      </c>
      <c r="M269" s="41"/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>
        <v>1408.16</v>
      </c>
      <c r="D270" s="40">
        <v>1520.3400000000001</v>
      </c>
      <c r="E270" s="42"/>
      <c r="F270" s="39">
        <v>1481.03</v>
      </c>
      <c r="G270" s="40">
        <v>1491.66</v>
      </c>
      <c r="H270" s="42"/>
      <c r="I270" s="39">
        <v>547.63</v>
      </c>
      <c r="J270" s="40">
        <v>1356.5700000000004</v>
      </c>
      <c r="K270" s="5">
        <v>0</v>
      </c>
      <c r="L270" s="157">
        <v>5059.5999999999995</v>
      </c>
      <c r="M270" s="41"/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>
        <v>1289.48</v>
      </c>
      <c r="D271" s="40">
        <v>855.98000000000025</v>
      </c>
      <c r="E271" s="42"/>
      <c r="F271" s="39">
        <v>651.66999999999996</v>
      </c>
      <c r="G271" s="40">
        <v>924.04</v>
      </c>
      <c r="H271" s="42"/>
      <c r="I271" s="39">
        <v>659.83</v>
      </c>
      <c r="J271" s="40">
        <v>1490.87</v>
      </c>
      <c r="K271" s="5">
        <v>0</v>
      </c>
      <c r="L271" s="157">
        <v>0</v>
      </c>
      <c r="M271" s="41"/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>
        <v>318.36</v>
      </c>
      <c r="D272" s="40">
        <v>1138.6199999999997</v>
      </c>
      <c r="E272" s="42"/>
      <c r="F272" s="39">
        <v>0</v>
      </c>
      <c r="G272" s="40">
        <v>242.66</v>
      </c>
      <c r="H272" s="42"/>
      <c r="I272" s="39">
        <v>599.63</v>
      </c>
      <c r="J272" s="40">
        <v>857.18999999999994</v>
      </c>
      <c r="K272" s="5">
        <v>0</v>
      </c>
      <c r="L272" s="157">
        <v>0</v>
      </c>
      <c r="M272" s="41"/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>
        <v>236.09</v>
      </c>
      <c r="D273" s="40">
        <v>0</v>
      </c>
      <c r="E273" s="42"/>
      <c r="F273" s="39">
        <v>0</v>
      </c>
      <c r="G273" s="40">
        <v>0</v>
      </c>
      <c r="H273" s="42"/>
      <c r="I273" s="39">
        <v>0</v>
      </c>
      <c r="J273" s="40">
        <v>0</v>
      </c>
      <c r="K273" s="5">
        <v>0</v>
      </c>
      <c r="L273" s="157">
        <v>0</v>
      </c>
      <c r="M273" s="41"/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>
        <v>1220.27</v>
      </c>
      <c r="D274" s="40">
        <v>1035.1200000000001</v>
      </c>
      <c r="E274" s="42"/>
      <c r="F274" s="39">
        <v>0</v>
      </c>
      <c r="G274" s="40">
        <v>0</v>
      </c>
      <c r="H274" s="42"/>
      <c r="I274" s="39">
        <v>874.63</v>
      </c>
      <c r="J274" s="40">
        <v>2330.4899999999993</v>
      </c>
      <c r="K274" s="5">
        <v>0</v>
      </c>
      <c r="L274" s="157">
        <v>4903.92</v>
      </c>
      <c r="M274" s="41"/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>
        <v>285.36</v>
      </c>
      <c r="D275" s="40">
        <v>719.68</v>
      </c>
      <c r="E275" s="42"/>
      <c r="F275" s="39">
        <v>625.83000000000004</v>
      </c>
      <c r="G275" s="40">
        <v>153.63999999999999</v>
      </c>
      <c r="H275" s="42"/>
      <c r="I275" s="39">
        <v>1437.5300000000002</v>
      </c>
      <c r="J275" s="40">
        <v>1529.65</v>
      </c>
      <c r="K275" s="5">
        <v>0</v>
      </c>
      <c r="L275" s="157">
        <v>0</v>
      </c>
      <c r="M275" s="41"/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>
        <v>921.29</v>
      </c>
      <c r="D276" s="40">
        <v>451</v>
      </c>
      <c r="E276" s="42"/>
      <c r="F276" s="39">
        <v>1358.18</v>
      </c>
      <c r="G276" s="40">
        <v>958.82000000000016</v>
      </c>
      <c r="H276" s="42"/>
      <c r="I276" s="39">
        <v>1015.33</v>
      </c>
      <c r="J276" s="40">
        <v>2097.17</v>
      </c>
      <c r="K276" s="5">
        <v>0</v>
      </c>
      <c r="L276" s="157">
        <v>2276.8197219999997</v>
      </c>
      <c r="M276" s="41"/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>
        <v>1622.16</v>
      </c>
      <c r="D277" s="40">
        <v>1536.76</v>
      </c>
      <c r="E277" s="42"/>
      <c r="F277" s="39">
        <v>930.69</v>
      </c>
      <c r="G277" s="40">
        <v>1144.4999999999998</v>
      </c>
      <c r="H277" s="42"/>
      <c r="I277" s="39">
        <v>1026.8800000000001</v>
      </c>
      <c r="J277" s="40">
        <v>1286.47</v>
      </c>
      <c r="K277" s="5">
        <v>0</v>
      </c>
      <c r="L277" s="157">
        <v>4349.3099999999995</v>
      </c>
      <c r="M277" s="41"/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>
        <v>1317.09</v>
      </c>
      <c r="D278" s="40">
        <v>1161.92</v>
      </c>
      <c r="E278" s="42"/>
      <c r="F278" s="39">
        <v>1437.93</v>
      </c>
      <c r="G278" s="40">
        <v>251.6</v>
      </c>
      <c r="H278" s="42"/>
      <c r="I278" s="39">
        <v>162.63</v>
      </c>
      <c r="J278" s="40">
        <v>654.12</v>
      </c>
      <c r="K278" s="5">
        <v>0</v>
      </c>
      <c r="L278" s="157">
        <v>330.82</v>
      </c>
      <c r="M278" s="41"/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>
        <v>643.05999999999995</v>
      </c>
      <c r="D279" s="40">
        <v>702.59999999999991</v>
      </c>
      <c r="E279" s="42"/>
      <c r="F279" s="39">
        <v>688.12</v>
      </c>
      <c r="G279" s="40">
        <v>830.22</v>
      </c>
      <c r="H279" s="42"/>
      <c r="I279" s="39">
        <v>0</v>
      </c>
      <c r="J279" s="40">
        <v>0</v>
      </c>
      <c r="K279" s="5">
        <v>0</v>
      </c>
      <c r="L279" s="157">
        <v>6097.9299999999994</v>
      </c>
      <c r="M279" s="41"/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>
        <v>0</v>
      </c>
      <c r="D280" s="40">
        <v>0</v>
      </c>
      <c r="E280" s="42"/>
      <c r="F280" s="39">
        <v>0</v>
      </c>
      <c r="G280" s="40">
        <v>0</v>
      </c>
      <c r="H280" s="42"/>
      <c r="I280" s="39">
        <v>0</v>
      </c>
      <c r="J280" s="40">
        <v>0</v>
      </c>
      <c r="K280" s="5">
        <v>0</v>
      </c>
      <c r="L280" s="157"/>
      <c r="M280" s="41"/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>
        <v>516.64</v>
      </c>
      <c r="D281" s="40">
        <v>0</v>
      </c>
      <c r="E281" s="42"/>
      <c r="F281" s="39">
        <v>1106.2</v>
      </c>
      <c r="G281" s="40">
        <v>0</v>
      </c>
      <c r="H281" s="42"/>
      <c r="I281" s="39">
        <v>1014.6</v>
      </c>
      <c r="J281" s="40">
        <v>0</v>
      </c>
      <c r="K281" s="5">
        <v>0</v>
      </c>
      <c r="L281" s="157">
        <v>2032.1799999999998</v>
      </c>
      <c r="M281" s="41"/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>
        <v>1424.12</v>
      </c>
      <c r="D282" s="40">
        <v>1135.1600000000001</v>
      </c>
      <c r="E282" s="42"/>
      <c r="F282" s="39">
        <v>762.54</v>
      </c>
      <c r="G282" s="40">
        <v>1122.8799999999999</v>
      </c>
      <c r="H282" s="42"/>
      <c r="I282" s="39">
        <v>479</v>
      </c>
      <c r="J282" s="40">
        <v>655.45000000000016</v>
      </c>
      <c r="K282" s="5">
        <v>0</v>
      </c>
      <c r="L282" s="157">
        <v>5231.96</v>
      </c>
      <c r="M282" s="41"/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>
        <v>1847</v>
      </c>
      <c r="D283" s="40">
        <v>210.76</v>
      </c>
      <c r="E283" s="42"/>
      <c r="F283" s="39">
        <v>872.65</v>
      </c>
      <c r="G283" s="40">
        <v>1839.6199999999997</v>
      </c>
      <c r="H283" s="42"/>
      <c r="I283" s="39">
        <v>173.4</v>
      </c>
      <c r="J283" s="40">
        <v>1106.1799999999998</v>
      </c>
      <c r="K283" s="5">
        <v>0</v>
      </c>
      <c r="L283" s="157">
        <v>0</v>
      </c>
      <c r="M283" s="41"/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>
        <v>557.92999999999995</v>
      </c>
      <c r="D284" s="40">
        <v>0</v>
      </c>
      <c r="E284" s="42"/>
      <c r="F284" s="39">
        <v>1658.45</v>
      </c>
      <c r="G284" s="40">
        <v>770.12000000000012</v>
      </c>
      <c r="H284" s="42"/>
      <c r="I284" s="39">
        <v>1006.27</v>
      </c>
      <c r="J284" s="40">
        <v>481.00000000000011</v>
      </c>
      <c r="K284" s="5">
        <v>0</v>
      </c>
      <c r="L284" s="157">
        <v>6780.4199999999992</v>
      </c>
      <c r="M284" s="41"/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>
        <v>511.58</v>
      </c>
      <c r="D285" s="40">
        <v>0</v>
      </c>
      <c r="E285" s="42"/>
      <c r="F285" s="39">
        <v>1189.27</v>
      </c>
      <c r="G285" s="40">
        <v>700.99999999999989</v>
      </c>
      <c r="H285" s="42"/>
      <c r="I285" s="39">
        <v>679.1</v>
      </c>
      <c r="J285" s="40">
        <v>519.79000000000008</v>
      </c>
      <c r="K285" s="5">
        <v>0</v>
      </c>
      <c r="L285" s="157">
        <v>764.5</v>
      </c>
      <c r="M285" s="41"/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>
        <v>636.79</v>
      </c>
      <c r="D286" s="40">
        <v>0</v>
      </c>
      <c r="E286" s="42"/>
      <c r="F286" s="39">
        <v>419.14</v>
      </c>
      <c r="G286" s="40">
        <v>921.04</v>
      </c>
      <c r="H286" s="42"/>
      <c r="I286" s="39">
        <v>498.42</v>
      </c>
      <c r="J286" s="40">
        <v>400.18000000000006</v>
      </c>
      <c r="K286" s="5">
        <v>0</v>
      </c>
      <c r="L286" s="157">
        <v>7822.9199999999992</v>
      </c>
      <c r="M286" s="41"/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W17"/>
  <sheetViews>
    <sheetView tabSelected="1" topLeftCell="L1" workbookViewId="0">
      <selection activeCell="S7" sqref="S7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  <col min="17" max="17" width="30.5703125" customWidth="1"/>
    <col min="18" max="18" width="9.5703125" bestFit="1" customWidth="1"/>
    <col min="22" max="22" width="14.28515625" bestFit="1" customWidth="1"/>
    <col min="23" max="23" width="10.5703125" bestFit="1" customWidth="1"/>
  </cols>
  <sheetData>
    <row r="1" spans="1:23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23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21970.61</v>
      </c>
      <c r="N2" s="72">
        <v>9480.9599999999991</v>
      </c>
      <c r="O2" s="29">
        <f>M2-N2</f>
        <v>12489.650000000001</v>
      </c>
      <c r="P2" s="29"/>
      <c r="S2">
        <v>60</v>
      </c>
      <c r="T2">
        <v>24</v>
      </c>
      <c r="U2">
        <f>T2*S2</f>
        <v>1440</v>
      </c>
    </row>
    <row r="3" spans="1:23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305602</v>
      </c>
      <c r="N3" s="72">
        <v>180194</v>
      </c>
      <c r="O3" s="29">
        <f t="shared" ref="O3:O15" si="0">M3-N3</f>
        <v>125408</v>
      </c>
      <c r="P3" s="29"/>
      <c r="Q3" s="195" t="s">
        <v>396</v>
      </c>
      <c r="R3">
        <v>6584</v>
      </c>
    </row>
    <row r="4" spans="1:23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1287858</v>
      </c>
      <c r="N4" s="72">
        <f>M3*4</f>
        <v>1222408</v>
      </c>
      <c r="O4" s="29">
        <f t="shared" si="0"/>
        <v>65450</v>
      </c>
      <c r="P4" s="29"/>
      <c r="Q4" s="195" t="s">
        <v>397</v>
      </c>
      <c r="R4" s="194">
        <f>W4</f>
        <v>9480.9599999999991</v>
      </c>
      <c r="T4">
        <v>9659</v>
      </c>
      <c r="V4" s="193">
        <f>U2*R3</f>
        <v>9480960</v>
      </c>
      <c r="W4" s="194">
        <f>V4/1000</f>
        <v>9480.9599999999991</v>
      </c>
    </row>
    <row r="5" spans="1:23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397675</v>
      </c>
      <c r="N5" s="72">
        <v>319386</v>
      </c>
      <c r="O5" s="29">
        <f t="shared" si="0"/>
        <v>78289</v>
      </c>
      <c r="P5" s="29"/>
      <c r="V5" s="193">
        <f>U2*T4</f>
        <v>13908960</v>
      </c>
    </row>
    <row r="6" spans="1:23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795977</v>
      </c>
      <c r="N6" s="72">
        <v>642561</v>
      </c>
      <c r="O6" s="29">
        <f t="shared" si="0"/>
        <v>153416</v>
      </c>
      <c r="P6" s="29"/>
    </row>
    <row r="7" spans="1:23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  <c r="O7" s="29">
        <f t="shared" si="0"/>
        <v>192096</v>
      </c>
      <c r="P7" s="29"/>
    </row>
    <row r="8" spans="1:23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  <c r="O8" s="29">
        <f t="shared" si="0"/>
        <v>732</v>
      </c>
      <c r="P8" s="29"/>
    </row>
    <row r="9" spans="1:23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  <c r="O9" s="29">
        <f t="shared" si="0"/>
        <v>3719</v>
      </c>
      <c r="P9" s="29"/>
    </row>
    <row r="10" spans="1:23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  <c r="O10" s="29">
        <f t="shared" si="0"/>
        <v>6</v>
      </c>
      <c r="P10" s="29"/>
    </row>
    <row r="11" spans="1:23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  <c r="O11" s="29">
        <f t="shared" si="0"/>
        <v>0</v>
      </c>
      <c r="P11" s="29"/>
    </row>
    <row r="12" spans="1:23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  <c r="O12" s="29">
        <f t="shared" si="0"/>
        <v>3</v>
      </c>
      <c r="P12" s="29"/>
    </row>
    <row r="13" spans="1:23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  <c r="O13" s="29">
        <f t="shared" si="0"/>
        <v>0</v>
      </c>
      <c r="P13" s="29"/>
    </row>
    <row r="14" spans="1:23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483</v>
      </c>
      <c r="O14" s="29">
        <f t="shared" si="0"/>
        <v>1109</v>
      </c>
      <c r="P14" s="29"/>
    </row>
    <row r="15" spans="1:23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373978.08</v>
      </c>
      <c r="N15" s="72">
        <v>372154.01</v>
      </c>
      <c r="O15" s="29">
        <f t="shared" si="0"/>
        <v>1824.070000000007</v>
      </c>
      <c r="P15" s="29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23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9" t="s">
        <v>251</v>
      </c>
      <c r="B1" s="209" t="s">
        <v>251</v>
      </c>
      <c r="C1" s="209" t="s">
        <v>251</v>
      </c>
      <c r="D1" s="209" t="s">
        <v>251</v>
      </c>
      <c r="E1" s="209" t="s">
        <v>251</v>
      </c>
      <c r="F1" s="209" t="s">
        <v>251</v>
      </c>
      <c r="G1" s="209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topLeftCell="A8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10" t="s">
        <v>319</v>
      </c>
      <c r="B1" s="210" t="s">
        <v>319</v>
      </c>
      <c r="C1" s="210" t="s">
        <v>319</v>
      </c>
      <c r="D1" s="210" t="s">
        <v>319</v>
      </c>
      <c r="E1" s="210" t="s">
        <v>319</v>
      </c>
      <c r="F1" s="210" t="s">
        <v>319</v>
      </c>
      <c r="G1" s="210" t="s">
        <v>319</v>
      </c>
      <c r="H1" s="210" t="s">
        <v>319</v>
      </c>
      <c r="J1" s="211" t="s">
        <v>320</v>
      </c>
      <c r="K1" s="211" t="s">
        <v>320</v>
      </c>
      <c r="L1" s="211" t="s">
        <v>320</v>
      </c>
      <c r="M1" s="211" t="s">
        <v>320</v>
      </c>
      <c r="N1" s="211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2026-10-15T12:05:55Z</dcterms:modified>
  <cp:category/>
  <cp:contentStatus/>
</cp:coreProperties>
</file>