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441" documentId="13_ncr:1_{4854DFB7-E9B4-409C-A843-569908145318}" xr6:coauthVersionLast="47" xr6:coauthVersionMax="47" xr10:uidLastSave="{8FC64A70-3345-4C47-94D2-65CC3B4648C3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6" l="1"/>
  <c r="J15" i="6"/>
  <c r="J5" i="6"/>
  <c r="J6" i="6"/>
  <c r="I62" i="8" l="1"/>
  <c r="I51" i="8"/>
  <c r="I40" i="8"/>
  <c r="I29" i="8"/>
  <c r="I18" i="8"/>
  <c r="I7" i="8"/>
  <c r="K8" i="6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<sst xmlns="http://schemas.openxmlformats.org/spreadsheetml/2006/main" count="1087" uniqueCount="396">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</sst>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9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61"/>
  <sheetViews>
    <sheetView showGridLines="0" tabSelected="1" topLeftCell="A10" workbookViewId="0">
      <selection activeCell="F33" sqref="F33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4" hidden="1" x14ac:dyDescent="0.25"/>
    <row r="2" spans="2:14" ht="21.75" hidden="1" customHeight="1" x14ac:dyDescent="0.25">
      <c r="B2" s="193" t="s">
        <v>0</v>
      </c>
      <c r="C2" s="194"/>
      <c r="D2" s="194"/>
      <c r="E2" s="194"/>
      <c r="F2" s="194"/>
      <c r="G2" s="194"/>
    </row>
    <row r="3" spans="2:14" ht="15" hidden="1" customHeight="1" x14ac:dyDescent="0.25">
      <c r="B3" s="195" t="s">
        <v>1</v>
      </c>
      <c r="C3" s="196"/>
      <c r="D3" s="196"/>
      <c r="E3" s="196"/>
      <c r="F3" s="196"/>
      <c r="G3" s="197"/>
    </row>
    <row r="4" spans="2:14" ht="15" hidden="1" customHeight="1" x14ac:dyDescent="0.25">
      <c r="B4" s="198"/>
      <c r="C4" s="194"/>
      <c r="D4" s="194"/>
      <c r="E4" s="194"/>
      <c r="F4" s="194"/>
      <c r="G4" s="199"/>
    </row>
    <row r="5" spans="2:14" ht="15" hidden="1" customHeight="1" x14ac:dyDescent="0.25">
      <c r="B5" s="198"/>
      <c r="C5" s="194"/>
      <c r="D5" s="194"/>
      <c r="E5" s="194"/>
      <c r="F5" s="194"/>
      <c r="G5" s="199"/>
    </row>
    <row r="6" spans="2:14" ht="15" hidden="1" customHeight="1" x14ac:dyDescent="0.25">
      <c r="B6" s="198"/>
      <c r="C6" s="194"/>
      <c r="D6" s="194"/>
      <c r="E6" s="194"/>
      <c r="F6" s="194"/>
      <c r="G6" s="199"/>
    </row>
    <row r="7" spans="2:14" ht="15" hidden="1" customHeight="1" x14ac:dyDescent="0.25">
      <c r="B7" s="200"/>
      <c r="C7" s="201"/>
      <c r="D7" s="201"/>
      <c r="E7" s="201"/>
      <c r="F7" s="201"/>
      <c r="G7" s="202"/>
    </row>
    <row r="8" spans="2:14" hidden="1" x14ac:dyDescent="0.25"/>
    <row r="9" spans="2:14" ht="15" customHeight="1" x14ac:dyDescent="0.25">
      <c r="B9" s="1" t="s">
        <v>2</v>
      </c>
    </row>
    <row r="10" spans="2:14" ht="15" customHeight="1" x14ac:dyDescent="0.25">
      <c r="B10" s="2" t="s">
        <v>3</v>
      </c>
      <c r="C10" s="80">
        <v>46284</v>
      </c>
    </row>
    <row r="12" spans="2:14" ht="15" customHeight="1" x14ac:dyDescent="0.25">
      <c r="B12" s="1" t="s">
        <v>4</v>
      </c>
    </row>
    <row r="13" spans="2:14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</row>
    <row r="14" spans="2:14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/>
      <c r="N14" s="79"/>
    </row>
    <row r="15" spans="2:14" ht="15" customHeight="1" x14ac:dyDescent="0.25">
      <c r="B15" s="77" t="s">
        <v>9</v>
      </c>
      <c r="C15" s="78">
        <v>0</v>
      </c>
      <c r="D15" s="79">
        <v>102500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</row>
    <row r="16" spans="2:14" ht="15" customHeight="1" x14ac:dyDescent="0.25">
      <c r="B16" s="77" t="s">
        <v>10</v>
      </c>
      <c r="C16" s="78">
        <v>0</v>
      </c>
      <c r="D16" s="79">
        <v>85240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</row>
    <row r="17" spans="2:14" ht="15" customHeight="1" x14ac:dyDescent="0.25">
      <c r="B17" s="77" t="s">
        <v>11</v>
      </c>
      <c r="C17" s="78">
        <v>0</v>
      </c>
      <c r="D17" s="79">
        <v>85220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</row>
    <row r="18" spans="2:14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</row>
    <row r="19" spans="2:14" ht="15" customHeight="1" x14ac:dyDescent="0.25">
      <c r="B19" s="77" t="s">
        <v>13</v>
      </c>
      <c r="C19" s="78">
        <v>0</v>
      </c>
      <c r="D19" s="79">
        <v>47000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</row>
    <row r="20" spans="2:14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51460</v>
      </c>
      <c r="G20" s="78">
        <v>60160</v>
      </c>
      <c r="H20" s="79">
        <v>64880</v>
      </c>
      <c r="I20" s="78">
        <v>71775</v>
      </c>
      <c r="J20" s="79">
        <v>71940</v>
      </c>
      <c r="K20" s="78"/>
      <c r="L20" s="79"/>
      <c r="M20" s="78"/>
      <c r="N20" s="79"/>
    </row>
    <row r="21" spans="2:14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39000</v>
      </c>
      <c r="I21" s="78">
        <v>40120</v>
      </c>
      <c r="J21" s="79">
        <v>45680</v>
      </c>
      <c r="K21" s="78"/>
      <c r="L21" s="79"/>
      <c r="M21" s="78"/>
      <c r="N21" s="79"/>
    </row>
    <row r="22" spans="2:14" ht="15" customHeight="1" x14ac:dyDescent="0.25">
      <c r="B22" s="77" t="s">
        <v>16</v>
      </c>
      <c r="C22" s="78">
        <v>0</v>
      </c>
      <c r="D22" s="79">
        <v>45000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</row>
    <row r="23" spans="2:14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39100</v>
      </c>
      <c r="K23" s="78">
        <v>40100</v>
      </c>
      <c r="L23" s="79">
        <v>41500</v>
      </c>
      <c r="M23" s="78">
        <v>41500</v>
      </c>
      <c r="N23" s="79">
        <v>45000</v>
      </c>
    </row>
    <row r="24" spans="2:14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34980</v>
      </c>
      <c r="G24" s="78"/>
      <c r="H24" s="79"/>
      <c r="I24" s="78"/>
      <c r="J24" s="79"/>
      <c r="K24" s="78"/>
      <c r="L24" s="79"/>
      <c r="M24" s="78"/>
      <c r="N24" s="79"/>
    </row>
    <row r="25" spans="2:14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</row>
    <row r="26" spans="2:14" ht="15" customHeight="1" x14ac:dyDescent="0.25">
      <c r="B26" s="77" t="s">
        <v>20</v>
      </c>
      <c r="C26" s="78">
        <v>8150</v>
      </c>
      <c r="D26" s="79">
        <v>8700</v>
      </c>
      <c r="E26" s="78"/>
      <c r="F26" s="79"/>
      <c r="G26" s="78"/>
      <c r="H26" s="79"/>
      <c r="I26" s="78"/>
      <c r="J26" s="79"/>
      <c r="K26" s="78"/>
      <c r="L26" s="79"/>
      <c r="M26" s="78"/>
      <c r="N26" s="79"/>
    </row>
    <row r="27" spans="2:14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31464</v>
      </c>
      <c r="G27" s="78"/>
      <c r="H27" s="79"/>
      <c r="I27" s="78"/>
      <c r="J27" s="79"/>
      <c r="K27" s="78"/>
      <c r="L27" s="79"/>
      <c r="M27" s="78"/>
      <c r="N27" s="79"/>
    </row>
    <row r="29" spans="2:14" ht="15" customHeight="1" x14ac:dyDescent="0.25">
      <c r="B29" s="1" t="s">
        <v>22</v>
      </c>
    </row>
    <row r="30" spans="2:14" ht="15" customHeight="1" x14ac:dyDescent="0.25">
      <c r="B30" s="2" t="s">
        <v>23</v>
      </c>
      <c r="C30" s="60">
        <v>131260</v>
      </c>
    </row>
    <row r="31" spans="2:14" ht="15" customHeight="1" x14ac:dyDescent="0.25">
      <c r="B31" s="3" t="s">
        <v>24</v>
      </c>
    </row>
    <row r="32" spans="2:14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103820</v>
      </c>
    </row>
    <row r="34" spans="2:5" ht="15" customHeight="1" x14ac:dyDescent="0.25">
      <c r="B34" s="192" t="s">
        <v>29</v>
      </c>
      <c r="C34" s="81">
        <v>104000</v>
      </c>
      <c r="D34" s="81">
        <v>104980</v>
      </c>
    </row>
    <row r="35" spans="2:5" ht="15" customHeight="1" x14ac:dyDescent="0.25">
      <c r="B35" s="192" t="s">
        <v>30</v>
      </c>
      <c r="C35" s="81">
        <v>105020</v>
      </c>
      <c r="D35" s="81">
        <v>105160</v>
      </c>
    </row>
    <row r="36" spans="2:5" ht="15" customHeight="1" x14ac:dyDescent="0.25">
      <c r="B36" s="192" t="s">
        <v>31</v>
      </c>
      <c r="C36" s="81">
        <v>107440</v>
      </c>
      <c r="D36" s="81">
        <v>108500</v>
      </c>
    </row>
    <row r="37" spans="2:5" ht="15" customHeight="1" x14ac:dyDescent="0.25">
      <c r="B37" s="192" t="s">
        <v>32</v>
      </c>
      <c r="C37" s="81">
        <v>110100</v>
      </c>
      <c r="D37" s="81">
        <v>110700</v>
      </c>
    </row>
    <row r="38" spans="2:5" ht="15" customHeight="1" x14ac:dyDescent="0.25">
      <c r="B38" s="192" t="s">
        <v>33</v>
      </c>
      <c r="C38" s="81">
        <v>112720</v>
      </c>
      <c r="D38" s="81">
        <v>114720</v>
      </c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3" workbookViewId="0">
      <pane xSplit="1" ySplit="8" topLeftCell="K30" activePane="bottomRight" state="frozen"/>
      <selection activeCell="A13" sqref="A13"/>
      <selection pane="topRight" activeCell="B13" sqref="B13"/>
      <selection pane="bottomLeft" activeCell="A21" sqref="A21"/>
      <selection pane="bottomRight" activeCell="K32" sqref="K32:L32"/>
    </sheetView>
  </sheetViews>
  <sheetFormatPr defaultRowHeight="15" outlineLevelCol="1" x14ac:dyDescent="0.25"/>
  <cols>
    <col min="1" max="1" width="27.42578125" style="7" customWidth="1"/>
    <col min="2" max="10" width="0" style="7" hidden="1" customWidth="1" outlineLevel="1"/>
    <col min="11" max="11" width="9.140625" style="7" collapsed="1"/>
    <col min="12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v>6.838534272852112E-2</v>
      </c>
      <c r="M5" s="62">
        <v>5.4980898342331941E-2</v>
      </c>
      <c r="N5" s="62">
        <v>4.9262025827937761E-2</v>
      </c>
      <c r="O5" s="62">
        <v>7.9219165797931257E-2</v>
      </c>
      <c r="P5" s="62">
        <v>6.3407609757920314E-2</v>
      </c>
      <c r="Q5" s="62">
        <v>6.6420533761949452E-2</v>
      </c>
      <c r="R5" s="62">
        <v>6.4862832753759814E-2</v>
      </c>
      <c r="S5" s="62">
        <v>6.8231813326713797E-2</v>
      </c>
      <c r="T5" s="62">
        <v>7.3676056959709468E-2</v>
      </c>
      <c r="U5" s="62">
        <v>5.5051669806670644E-2</v>
      </c>
      <c r="V5" s="62">
        <v>5.6373363884686056E-2</v>
      </c>
      <c r="W5" s="62">
        <v>4.97874413665923E-2</v>
      </c>
      <c r="X5" s="62">
        <v>7.4454204409100111E-3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0.23832146680305194</v>
      </c>
      <c r="L6" s="62">
        <f t="shared" ref="L6:X6" si="1">L5+K6</f>
        <v>0.30670680953157303</v>
      </c>
      <c r="M6" s="62">
        <f t="shared" si="1"/>
        <v>0.36168770787390497</v>
      </c>
      <c r="N6" s="62">
        <f t="shared" si="1"/>
        <v>0.41094973370184273</v>
      </c>
      <c r="O6" s="62">
        <f t="shared" si="1"/>
        <v>0.49016889949977399</v>
      </c>
      <c r="P6" s="62">
        <f t="shared" si="1"/>
        <v>0.5535765092576943</v>
      </c>
      <c r="Q6" s="62">
        <f t="shared" si="1"/>
        <v>0.61999704301964376</v>
      </c>
      <c r="R6" s="62">
        <f t="shared" si="1"/>
        <v>0.68485987577340357</v>
      </c>
      <c r="S6" s="62">
        <f t="shared" si="1"/>
        <v>0.75309168910011737</v>
      </c>
      <c r="T6" s="62">
        <f t="shared" si="1"/>
        <v>0.82676774605982684</v>
      </c>
      <c r="U6" s="62">
        <f t="shared" si="1"/>
        <v>0.88181941586649748</v>
      </c>
      <c r="V6" s="62">
        <f t="shared" si="1"/>
        <v>0.93819277975118354</v>
      </c>
      <c r="W6" s="62">
        <f t="shared" si="1"/>
        <v>0.98798022111777584</v>
      </c>
      <c r="X6" s="62">
        <f t="shared" si="1"/>
        <v>0.99542564155868585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1.8600000000000005E-2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0.19970000000000002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6.6670982606025331E-2</v>
      </c>
      <c r="M14" s="62">
        <v>5.9593114964889331E-2</v>
      </c>
      <c r="N14" s="62">
        <v>5.6203080462458657E-2</v>
      </c>
      <c r="O14" s="62">
        <v>7.1947067934844719E-2</v>
      </c>
      <c r="P14" s="62">
        <v>6.4043364522890792E-2</v>
      </c>
      <c r="Q14" s="62">
        <v>6.5451590728183809E-2</v>
      </c>
      <c r="R14" s="62">
        <v>6.4690641558152739E-2</v>
      </c>
      <c r="S14" s="62">
        <v>6.5138507184757749E-2</v>
      </c>
      <c r="T14" s="62">
        <v>7.1007960471492521E-2</v>
      </c>
      <c r="U14" s="62">
        <v>5.1315395251485478E-2</v>
      </c>
      <c r="V14" s="62">
        <v>4.5520343246704953E-2</v>
      </c>
      <c r="W14" s="62">
        <v>4.9492344068807148E-2</v>
      </c>
      <c r="X14" s="62">
        <v>2.254641027713597E-2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0.3130501791141217</v>
      </c>
      <c r="M15" s="62">
        <f t="shared" si="3"/>
        <v>0.37264329407901103</v>
      </c>
      <c r="N15" s="62">
        <f t="shared" si="3"/>
        <v>0.42884637454146968</v>
      </c>
      <c r="O15" s="62">
        <f t="shared" si="3"/>
        <v>0.50079344247631441</v>
      </c>
      <c r="P15" s="62">
        <f t="shared" si="3"/>
        <v>0.56483680699920524</v>
      </c>
      <c r="Q15" s="62">
        <f t="shared" si="3"/>
        <v>0.63028839772738909</v>
      </c>
      <c r="R15" s="62">
        <f t="shared" si="3"/>
        <v>0.69497903928554183</v>
      </c>
      <c r="S15" s="62">
        <f t="shared" si="3"/>
        <v>0.76011754647029961</v>
      </c>
      <c r="T15" s="62">
        <f t="shared" si="3"/>
        <v>0.8311255069417921</v>
      </c>
      <c r="U15" s="62">
        <f t="shared" si="3"/>
        <v>0.88244090219327753</v>
      </c>
      <c r="V15" s="62">
        <f t="shared" si="3"/>
        <v>0.92796124543998249</v>
      </c>
      <c r="W15" s="62">
        <f t="shared" si="3"/>
        <v>0.97745358950878969</v>
      </c>
      <c r="X15" s="62">
        <f t="shared" si="3"/>
        <v>0.99999999978592569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241</v>
      </c>
      <c r="L22" s="86">
        <v>237</v>
      </c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113</v>
      </c>
      <c r="L27" s="86">
        <v>1.1000000000000001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46</v>
      </c>
      <c r="L32" s="86">
        <v>46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48</v>
      </c>
      <c r="L37" s="87">
        <v>48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3" workbookViewId="0">
      <pane xSplit="1" topLeftCell="N1" activePane="topRight" state="frozen"/>
      <selection pane="topRight" activeCell="U94" sqref="U94:U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52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/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1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>
        <v>8</v>
      </c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64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4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28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18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2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/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>
        <v>4</v>
      </c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7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237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3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4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12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6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/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10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2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11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9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1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3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8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3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110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3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5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10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48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3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4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I63" sqref="I63:U63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880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17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51.764705882352942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1402.1999999999998</v>
      </c>
      <c r="J8" s="147">
        <v>1370.6999999999998</v>
      </c>
      <c r="K8" s="147">
        <v>1240.1000000000004</v>
      </c>
      <c r="L8" s="147">
        <v>913.79999999999927</v>
      </c>
      <c r="M8" s="147">
        <v>1240.1000000000004</v>
      </c>
      <c r="N8" s="147">
        <v>1305.3999999999996</v>
      </c>
      <c r="O8" s="147">
        <v>1501.2000000000007</v>
      </c>
      <c r="P8" s="147">
        <v>1435.8999999999996</v>
      </c>
      <c r="Q8" s="147">
        <v>1370.7000000000007</v>
      </c>
      <c r="R8" s="147">
        <v>1435.8999999999996</v>
      </c>
      <c r="S8" s="147">
        <v>1066.0999999999985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56.087999999999994</v>
      </c>
      <c r="J10" s="69">
        <f t="shared" si="5"/>
        <v>50.766666666666659</v>
      </c>
      <c r="K10" s="69">
        <f t="shared" si="5"/>
        <v>49.604000000000013</v>
      </c>
      <c r="L10" s="69">
        <f t="shared" si="5"/>
        <v>57.112499999999955</v>
      </c>
      <c r="M10" s="69">
        <f t="shared" si="5"/>
        <v>51.670833333333348</v>
      </c>
      <c r="N10" s="69">
        <f t="shared" si="5"/>
        <v>54.391666666666652</v>
      </c>
      <c r="O10" s="69">
        <f t="shared" si="5"/>
        <v>55.60000000000003</v>
      </c>
      <c r="P10" s="69">
        <f t="shared" si="5"/>
        <v>55.226923076923065</v>
      </c>
      <c r="Q10" s="69">
        <f t="shared" si="5"/>
        <v>52.719230769230798</v>
      </c>
      <c r="R10" s="69">
        <f t="shared" si="5"/>
        <v>55.226923076923065</v>
      </c>
      <c r="S10" s="69">
        <f t="shared" si="5"/>
        <v>39.485185185185131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9855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13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758.07692307692309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19957.899999999994</v>
      </c>
      <c r="J19" s="147">
        <v>19826</v>
      </c>
      <c r="K19" s="147">
        <v>16325.200000000012</v>
      </c>
      <c r="L19" s="147">
        <v>12810.299999999988</v>
      </c>
      <c r="M19" s="147">
        <v>17729.700000000012</v>
      </c>
      <c r="N19" s="147">
        <v>18617.200000000012</v>
      </c>
      <c r="O19" s="147">
        <v>21409.799999999988</v>
      </c>
      <c r="P19" s="147">
        <v>20513.899999999994</v>
      </c>
      <c r="Q19" s="147">
        <v>19843.299999999988</v>
      </c>
      <c r="R19" s="147">
        <v>20484.799999999988</v>
      </c>
      <c r="S19" s="147">
        <v>20484.799999999988</v>
      </c>
      <c r="T19" s="147">
        <v>11236.599999999977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798.3159999999998</v>
      </c>
      <c r="J21" s="69">
        <f t="shared" si="10"/>
        <v>734.2962962962963</v>
      </c>
      <c r="K21" s="69">
        <f t="shared" si="10"/>
        <v>653.00800000000049</v>
      </c>
      <c r="L21" s="69">
        <f t="shared" si="10"/>
        <v>800.64374999999927</v>
      </c>
      <c r="M21" s="69">
        <f t="shared" si="10"/>
        <v>738.73750000000052</v>
      </c>
      <c r="N21" s="69">
        <f t="shared" si="10"/>
        <v>775.71666666666715</v>
      </c>
      <c r="O21" s="69">
        <f t="shared" si="10"/>
        <v>792.95555555555518</v>
      </c>
      <c r="P21" s="69">
        <f t="shared" si="10"/>
        <v>788.99615384615367</v>
      </c>
      <c r="Q21" s="69">
        <f t="shared" si="10"/>
        <v>763.20384615384569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432.17692307692221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25071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2279.181818181818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51643.799999999988</v>
      </c>
      <c r="J30" s="147">
        <v>85090.700000000012</v>
      </c>
      <c r="K30" s="147">
        <v>40690.900000000023</v>
      </c>
      <c r="L30" s="147">
        <v>21151</v>
      </c>
      <c r="M30" s="147">
        <v>34574</v>
      </c>
      <c r="N30" s="147">
        <v>37784.700000000012</v>
      </c>
      <c r="O30" s="147">
        <v>50217.700000000012</v>
      </c>
      <c r="P30" s="147">
        <v>45950.599999999977</v>
      </c>
      <c r="Q30" s="147">
        <v>51976.699999999953</v>
      </c>
      <c r="R30" s="147">
        <v>45354</v>
      </c>
      <c r="S30" s="147">
        <v>38685.5</v>
      </c>
      <c r="T30" s="147">
        <v>50592.099999999977</v>
      </c>
      <c r="U30" s="147">
        <v>0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2065.7519999999995</v>
      </c>
      <c r="J32" s="69">
        <f t="shared" si="15"/>
        <v>3151.5074074074078</v>
      </c>
      <c r="K32" s="69">
        <f t="shared" si="15"/>
        <v>1627.6360000000009</v>
      </c>
      <c r="L32" s="69">
        <f t="shared" si="15"/>
        <v>1321.9375</v>
      </c>
      <c r="M32" s="69">
        <f t="shared" si="15"/>
        <v>1440.5833333333333</v>
      </c>
      <c r="N32" s="69">
        <f t="shared" si="15"/>
        <v>1574.3625000000004</v>
      </c>
      <c r="O32" s="69">
        <f t="shared" si="15"/>
        <v>1859.9148148148151</v>
      </c>
      <c r="P32" s="69">
        <f t="shared" si="15"/>
        <v>1767.3307692307683</v>
      </c>
      <c r="Q32" s="69">
        <f t="shared" si="15"/>
        <v>1999.1038461538444</v>
      </c>
      <c r="R32" s="69">
        <f t="shared" si="15"/>
        <v>1744.3846153846155</v>
      </c>
      <c r="S32" s="69">
        <f t="shared" si="15"/>
        <v>1432.7962962962963</v>
      </c>
      <c r="T32" s="69">
        <f t="shared" si="15"/>
        <v>1945.849999999999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58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16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3.625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152.10000000000002</v>
      </c>
      <c r="J41" s="147">
        <v>238.19999999999993</v>
      </c>
      <c r="K41" s="147">
        <v>197.29999999999995</v>
      </c>
      <c r="L41" s="147">
        <v>153.5</v>
      </c>
      <c r="M41" s="147">
        <v>186.79999999999995</v>
      </c>
      <c r="N41" s="147">
        <v>166.5</v>
      </c>
      <c r="O41" s="147">
        <v>217.5</v>
      </c>
      <c r="P41" s="147">
        <v>262</v>
      </c>
      <c r="Q41" s="147">
        <v>271.39999999999986</v>
      </c>
      <c r="R41" s="147">
        <v>272.80000000000018</v>
      </c>
      <c r="S41" s="147">
        <v>254</v>
      </c>
      <c r="T41" s="147">
        <v>235</v>
      </c>
      <c r="U41" s="147">
        <v>205</v>
      </c>
      <c r="V41" s="147">
        <v>62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6.0840000000000005</v>
      </c>
      <c r="J43" s="69">
        <f t="shared" si="20"/>
        <v>8.8222222222222193</v>
      </c>
      <c r="K43" s="69">
        <f t="shared" si="20"/>
        <v>7.8919999999999986</v>
      </c>
      <c r="L43" s="69">
        <f t="shared" si="20"/>
        <v>9.59375</v>
      </c>
      <c r="M43" s="69">
        <f t="shared" si="20"/>
        <v>7.7833333333333314</v>
      </c>
      <c r="N43" s="69">
        <f t="shared" si="20"/>
        <v>6.9375</v>
      </c>
      <c r="O43" s="69">
        <f t="shared" si="20"/>
        <v>8.0555555555555554</v>
      </c>
      <c r="P43" s="69">
        <f t="shared" si="20"/>
        <v>10.076923076923077</v>
      </c>
      <c r="Q43" s="69">
        <f t="shared" si="20"/>
        <v>10.438461538461533</v>
      </c>
      <c r="R43" s="69">
        <f t="shared" si="20"/>
        <v>10.492307692307699</v>
      </c>
      <c r="S43" s="69">
        <f t="shared" si="20"/>
        <v>9.4074074074074066</v>
      </c>
      <c r="T43" s="69">
        <f t="shared" si="20"/>
        <v>9.0384615384615383</v>
      </c>
      <c r="U43" s="69">
        <f t="shared" si="20"/>
        <v>7.884615384615385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10264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11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933.09090909090912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18847.900000000001</v>
      </c>
      <c r="J52" s="147">
        <v>23951.700000000004</v>
      </c>
      <c r="K52" s="147">
        <v>24122.800000000003</v>
      </c>
      <c r="L52" s="147">
        <v>21545.400000000009</v>
      </c>
      <c r="M52" s="147">
        <v>12896.200000000012</v>
      </c>
      <c r="N52" s="147">
        <v>13308.299999999988</v>
      </c>
      <c r="O52" s="147">
        <v>18192</v>
      </c>
      <c r="P52" s="147">
        <v>20671.799999999988</v>
      </c>
      <c r="Q52" s="147">
        <v>20778.100000000006</v>
      </c>
      <c r="R52" s="147">
        <v>25066.299999999988</v>
      </c>
      <c r="S52" s="147">
        <v>19499</v>
      </c>
      <c r="T52" s="147">
        <v>19063.299999999988</v>
      </c>
      <c r="U52" s="147">
        <v>21876.799999999988</v>
      </c>
      <c r="V52" s="147">
        <v>0</v>
      </c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753.91600000000005</v>
      </c>
      <c r="J54" s="69">
        <f t="shared" si="25"/>
        <v>887.10000000000014</v>
      </c>
      <c r="K54" s="69">
        <f t="shared" si="25"/>
        <v>964.91200000000015</v>
      </c>
      <c r="L54" s="69">
        <f t="shared" si="25"/>
        <v>1346.5875000000005</v>
      </c>
      <c r="M54" s="69">
        <f t="shared" si="25"/>
        <v>537.34166666666715</v>
      </c>
      <c r="N54" s="69">
        <f t="shared" si="25"/>
        <v>554.51249999999948</v>
      </c>
      <c r="O54" s="69">
        <f t="shared" si="25"/>
        <v>673.77777777777783</v>
      </c>
      <c r="P54" s="69">
        <f t="shared" si="25"/>
        <v>795.06923076923033</v>
      </c>
      <c r="Q54" s="69">
        <f t="shared" si="25"/>
        <v>799.15769230769251</v>
      </c>
      <c r="R54" s="69">
        <f t="shared" si="25"/>
        <v>964.08846153846105</v>
      </c>
      <c r="S54" s="69">
        <f t="shared" si="25"/>
        <v>722.18518518518522</v>
      </c>
      <c r="T54" s="69">
        <f t="shared" si="25"/>
        <v>733.20384615384569</v>
      </c>
      <c r="U54" s="69">
        <f t="shared" si="25"/>
        <v>841.41538461538414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21742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11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1976.5454545454545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44708.800000000003</v>
      </c>
      <c r="J63" s="147">
        <v>48824.900000000009</v>
      </c>
      <c r="K63" s="147">
        <v>49636.299999999988</v>
      </c>
      <c r="L63" s="147">
        <v>39908.899999999994</v>
      </c>
      <c r="M63" s="147">
        <v>31812.200000000012</v>
      </c>
      <c r="N63" s="147">
        <v>28190.300000000017</v>
      </c>
      <c r="O63" s="147">
        <v>42949.299999999988</v>
      </c>
      <c r="P63" s="147">
        <v>47310.700000000012</v>
      </c>
      <c r="Q63" s="147">
        <v>49762.200000000012</v>
      </c>
      <c r="R63" s="147">
        <v>50451</v>
      </c>
      <c r="S63" s="147">
        <v>53003.400000000023</v>
      </c>
      <c r="T63" s="147">
        <v>56170.799999999988</v>
      </c>
      <c r="U63" s="147">
        <v>56190</v>
      </c>
      <c r="V63" s="147">
        <v>0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1788.3520000000001</v>
      </c>
      <c r="J65" s="69">
        <f t="shared" si="29"/>
        <v>1808.3296296296301</v>
      </c>
      <c r="K65" s="69">
        <f t="shared" si="29"/>
        <v>1985.4519999999995</v>
      </c>
      <c r="L65" s="69">
        <f t="shared" si="29"/>
        <v>2494.3062499999996</v>
      </c>
      <c r="M65" s="69">
        <f t="shared" si="29"/>
        <v>1325.5083333333339</v>
      </c>
      <c r="N65" s="69">
        <f t="shared" si="29"/>
        <v>1174.595833333334</v>
      </c>
      <c r="O65" s="69">
        <f t="shared" si="29"/>
        <v>1590.7148148148144</v>
      </c>
      <c r="P65" s="69">
        <f t="shared" si="29"/>
        <v>1819.6423076923081</v>
      </c>
      <c r="Q65" s="69">
        <f t="shared" si="29"/>
        <v>1913.9307692307698</v>
      </c>
      <c r="R65" s="69">
        <f t="shared" si="29"/>
        <v>1940.4230769230769</v>
      </c>
      <c r="S65" s="69">
        <f t="shared" si="29"/>
        <v>1963.0888888888896</v>
      </c>
      <c r="T65" s="69">
        <f t="shared" si="29"/>
        <v>2160.415384615384</v>
      </c>
      <c r="U65" s="69">
        <f t="shared" si="29"/>
        <v>2161.1538461538462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B1" workbookViewId="0">
      <pane ySplit="3" topLeftCell="A256" activePane="bottomLeft" state="frozen"/>
      <selection pane="bottomLeft" activeCell="M250" sqref="M250:M265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126598.56000000003</v>
      </c>
      <c r="D2" s="35">
        <f t="shared" ref="D2:M2" si="0">SUM(D4:D733)</f>
        <v>127301.54000000002</v>
      </c>
      <c r="E2" s="36">
        <f t="shared" si="0"/>
        <v>24114.696923076925</v>
      </c>
      <c r="F2" s="34">
        <f t="shared" si="0"/>
        <v>193353.07699999993</v>
      </c>
      <c r="G2" s="35">
        <f t="shared" si="0"/>
        <v>193320.75999999995</v>
      </c>
      <c r="H2" s="36">
        <f t="shared" si="0"/>
        <v>41455.00615384613</v>
      </c>
      <c r="I2" s="34">
        <f t="shared" si="0"/>
        <v>4381.3999999999996</v>
      </c>
      <c r="J2" s="35">
        <f t="shared" si="0"/>
        <v>3078.0459809999998</v>
      </c>
      <c r="K2" s="36">
        <f t="shared" si="0"/>
        <v>591000.00000000047</v>
      </c>
      <c r="L2" s="34">
        <f t="shared" si="0"/>
        <v>318776.58249999984</v>
      </c>
      <c r="M2" s="36">
        <f t="shared" si="0"/>
        <v>711087.49111538311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43609.425980999993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30997.098461538462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43427.1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40751.373115384602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354697.44444253843</v>
      </c>
      <c r="Z11" s="5">
        <f t="shared" si="7"/>
        <v>430270.04905792302</v>
      </c>
      <c r="AA11" s="5">
        <f t="shared" si="7"/>
        <v>480270.04905792302</v>
      </c>
      <c r="AB11" s="5">
        <f t="shared" si="7"/>
        <v>530270.04905792302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359527.95561538462</v>
      </c>
      <c r="Z12" s="5">
        <f t="shared" si="8"/>
        <v>428976.10861538467</v>
      </c>
      <c r="AA12" s="5">
        <f t="shared" si="8"/>
        <v>496281.99361538462</v>
      </c>
      <c r="AB12" s="5">
        <f t="shared" si="8"/>
        <v>532528.32861538464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-4830.5111728461925</v>
      </c>
      <c r="Z13" s="5">
        <f t="shared" si="9"/>
        <v>1293.9404425383545</v>
      </c>
      <c r="AA13" s="5">
        <f t="shared" si="9"/>
        <v>-16011.944557461597</v>
      </c>
      <c r="AB13" s="5">
        <f t="shared" si="9"/>
        <v>-2258.2795574616175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1118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445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722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925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245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959.83999999999992</v>
      </c>
      <c r="E265" s="42"/>
      <c r="F265" s="39">
        <v>1184.44</v>
      </c>
      <c r="G265" s="40">
        <v>1421.6600000000005</v>
      </c>
      <c r="H265" s="42"/>
      <c r="I265" s="39">
        <v>0</v>
      </c>
      <c r="J265" s="40">
        <v>247.56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2">
        <v>0</v>
      </c>
      <c r="F266" s="39"/>
      <c r="G266" s="40"/>
      <c r="H266" s="182">
        <v>0</v>
      </c>
      <c r="I266" s="39"/>
      <c r="J266" s="40"/>
      <c r="K266" s="5">
        <v>0</v>
      </c>
      <c r="L266" s="157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2">
        <v>893.13692307692304</v>
      </c>
      <c r="F267" s="39"/>
      <c r="G267" s="40"/>
      <c r="H267" s="182">
        <v>1884.3184615384612</v>
      </c>
      <c r="I267" s="39"/>
      <c r="J267" s="40"/>
      <c r="K267" s="5">
        <v>666.66666666666663</v>
      </c>
      <c r="L267" s="157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2">
        <v>893.13692307692304</v>
      </c>
      <c r="F268" s="39"/>
      <c r="G268" s="40"/>
      <c r="H268" s="182">
        <v>1884.3184615384612</v>
      </c>
      <c r="I268" s="39"/>
      <c r="J268" s="40"/>
      <c r="K268" s="5">
        <v>666.66666666666663</v>
      </c>
      <c r="L268" s="157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2">
        <v>893.13692307692304</v>
      </c>
      <c r="F269" s="39"/>
      <c r="G269" s="40"/>
      <c r="H269" s="182">
        <v>1884.3184615384612</v>
      </c>
      <c r="I269" s="39"/>
      <c r="J269" s="40"/>
      <c r="K269" s="5">
        <v>666.66666666666663</v>
      </c>
      <c r="L269" s="157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2">
        <v>893.13692307692304</v>
      </c>
      <c r="F270" s="39"/>
      <c r="G270" s="40"/>
      <c r="H270" s="182">
        <v>1884.3184615384612</v>
      </c>
      <c r="I270" s="39"/>
      <c r="J270" s="40"/>
      <c r="K270" s="5">
        <v>666.66666666666663</v>
      </c>
      <c r="L270" s="157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2">
        <v>893.13692307692304</v>
      </c>
      <c r="F271" s="39"/>
      <c r="G271" s="40"/>
      <c r="H271" s="182">
        <v>1884.3184615384612</v>
      </c>
      <c r="I271" s="39"/>
      <c r="J271" s="40"/>
      <c r="K271" s="5">
        <v>666.66666666666663</v>
      </c>
      <c r="L271" s="157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2">
        <v>893.13692307692304</v>
      </c>
      <c r="F272" s="39"/>
      <c r="G272" s="40"/>
      <c r="H272" s="182">
        <v>1884.3184615384612</v>
      </c>
      <c r="I272" s="39"/>
      <c r="J272" s="40"/>
      <c r="K272" s="5">
        <v>666.66666666666663</v>
      </c>
      <c r="L272" s="157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topLeftCell="D1" workbookViewId="0">
      <selection activeCell="R6" sqref="R6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16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20095.73</v>
      </c>
      <c r="N2" s="72">
        <v>81878.399999999994</v>
      </c>
      <c r="P2" s="29"/>
    </row>
    <row r="3" spans="1:16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285583</v>
      </c>
      <c r="N3" s="72">
        <v>167432</v>
      </c>
      <c r="O3" s="4"/>
      <c r="P3" s="29"/>
    </row>
    <row r="4" spans="1:16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1142332</v>
      </c>
      <c r="P4" s="29"/>
    </row>
    <row r="5" spans="1:16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P5" s="29"/>
    </row>
    <row r="6" spans="1:16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P6" s="29"/>
    </row>
    <row r="7" spans="1:16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P7" s="29"/>
    </row>
    <row r="8" spans="1:16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P8" s="29"/>
    </row>
    <row r="9" spans="1:16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P9" s="29"/>
    </row>
    <row r="10" spans="1:16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P10" s="29"/>
    </row>
    <row r="11" spans="1:16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P11" s="29"/>
    </row>
    <row r="12" spans="1:16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P12" s="29"/>
    </row>
    <row r="13" spans="1:16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P13" s="29"/>
    </row>
    <row r="14" spans="1:16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P14" s="29"/>
    </row>
    <row r="15" spans="1:16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324336.21000000002</v>
      </c>
      <c r="N15" s="72">
        <v>309493.43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6" t="s">
        <v>251</v>
      </c>
      <c r="B1" s="206" t="s">
        <v>251</v>
      </c>
      <c r="C1" s="206" t="s">
        <v>251</v>
      </c>
      <c r="D1" s="206" t="s">
        <v>251</v>
      </c>
      <c r="E1" s="206" t="s">
        <v>251</v>
      </c>
      <c r="F1" s="206" t="s">
        <v>251</v>
      </c>
      <c r="G1" s="206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7" t="s">
        <v>319</v>
      </c>
      <c r="B1" s="207" t="s">
        <v>319</v>
      </c>
      <c r="C1" s="207" t="s">
        <v>319</v>
      </c>
      <c r="D1" s="207" t="s">
        <v>319</v>
      </c>
      <c r="E1" s="207" t="s">
        <v>319</v>
      </c>
      <c r="F1" s="207" t="s">
        <v>319</v>
      </c>
      <c r="G1" s="207" t="s">
        <v>319</v>
      </c>
      <c r="H1" s="207" t="s">
        <v>319</v>
      </c>
      <c r="J1" s="208" t="s">
        <v>320</v>
      </c>
      <c r="K1" s="208" t="s">
        <v>320</v>
      </c>
      <c r="L1" s="208" t="s">
        <v>320</v>
      </c>
      <c r="M1" s="208" t="s">
        <v>320</v>
      </c>
      <c r="N1" s="208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2026-09-22T13:27:44Z</dcterms:modified>
  <cp:category/>
  <cp:contentStatus/>
</cp:coreProperties>
</file>