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Área de Trabalho/"/>
    </mc:Choice>
  </mc:AlternateContent>
  <xr:revisionPtr revIDLastSave="176" documentId="13_ncr:1_{6BA809E1-DE45-4821-8457-F19D6A798563}" xr6:coauthVersionLast="47" xr6:coauthVersionMax="47" xr10:uidLastSave="{4B67E5F4-7FF9-4050-AA8F-01A446C7F6CE}"/>
  <bookViews>
    <workbookView xWindow="1909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8" l="1"/>
  <c r="G62" i="8"/>
  <c r="F62" i="8"/>
  <c r="E62" i="8"/>
  <c r="D62" i="8"/>
  <c r="C62" i="8"/>
  <c r="B62" i="8"/>
  <c r="H51" i="8"/>
  <c r="H40" i="8"/>
  <c r="H29" i="8"/>
  <c r="G31" i="8"/>
  <c r="G30" i="8"/>
  <c r="H18" i="8"/>
  <c r="H7" i="8"/>
  <c r="G8" i="8"/>
  <c r="N15" i="6" l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M15" i="6"/>
  <c r="L15" i="6"/>
  <c r="K15" i="6"/>
  <c r="J15" i="6"/>
  <c r="I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J8" i="6"/>
  <c r="M3" i="20" l="1"/>
  <c r="K3" i="20"/>
  <c r="M2" i="20"/>
  <c r="K2" i="20"/>
  <c r="F28" i="20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5" i="8"/>
  <c r="E65" i="8"/>
  <c r="D65" i="8"/>
  <c r="B65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F31" i="8"/>
  <c r="E31" i="8"/>
  <c r="D31" i="8"/>
  <c r="C31" i="8"/>
  <c r="B31" i="8"/>
  <c r="F30" i="8"/>
  <c r="E30" i="8"/>
  <c r="D30" i="8"/>
  <c r="C30" i="8"/>
  <c r="B30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9" i="8"/>
  <c r="F9" i="8"/>
  <c r="E9" i="8"/>
  <c r="D9" i="8"/>
  <c r="C9" i="8"/>
  <c r="B9" i="8"/>
  <c r="F8" i="8"/>
  <c r="E8" i="8"/>
  <c r="D8" i="8"/>
  <c r="C8" i="8"/>
  <c r="B8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<sst xmlns="http://schemas.openxmlformats.org/spreadsheetml/2006/main" count="1041" uniqueCount="364">
  <si>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</si>
  <si>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</si>
  <si>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</si>
  <si>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</si>
  <si>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</si>
  <si>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</si>
  <si>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</si>
  <si>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</si>
  <si>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</si>
  <si>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</si>
  <si>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</si>
  <si>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</si>
  <si>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</si>
  <si>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</si>
  <si>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</si>
  <si>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</si>
  <si>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</si>
  <si>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</si>
  <si>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</si>
  <si>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</si>
  <si>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</si>
  <si>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</si>
  <si>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</si>
  <si>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</si>
  <si>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</si>
  <si>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</si>
  <si>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</si>
  <si>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</si>
  <si>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</si>
  <si>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</si>
  <si>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</si>
  <si>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</si>
  <si>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</si>
  <si>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</si>
  <si>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</si>
  <si>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</si>
  <si>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</si>
  <si>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</si>
  <si>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</si>
  <si>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</si>
  <si>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</si>
  <si>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</si>
  <si>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</si>
  <si>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</si>
  <si>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</si>
  <si>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</si>
  <si>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</si>
  <si>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</si>
  <si>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</si>
  <si>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</si>
  <si>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</si>
  <si>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</si>
  <si>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</si>
  <si>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</si>
  <si>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</si>
  <si>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</si>
  <si>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</si>
  <si>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</si>
  <si>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</si>
  <si>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</si>
  <si>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</si>
  <si>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</si>
  <si>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</si>
  <si>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</si>
  <si>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</si>
  <si>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</si>
  <si>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</si>
  <si>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</si>
  <si>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</si>
  <si>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</si>
  <si>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</si>
  <si>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</si>
  <si>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</si>
  <si>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</si>
  <si>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</si>
  <si>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</si>
  <si>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</si>
  <si>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</si>
  <si>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</si>
  <si>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</si>
  <si>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</si>
  <si>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</si>
  <si>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</si>
  <si>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</si>
  <si>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</si>
  <si>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</si>
  <si>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</si>
  <si>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</si>
  <si>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</si>
  <si>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</si>
  <si>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</si>
  <si>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</si>
  <si>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</si>
  <si>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</si>
  <si>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</si>
  <si>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</si>
  <si>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</si>
  <si>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</si>
  <si>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</si>
  <si>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</si>
  <si>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</si>
  <si>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</si>
  <si>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</si>
  <si>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</si>
  <si>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</si>
  <si>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</si>
  <si>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</si>
  <si>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</si>
  <si>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</si>
  <si>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</si>
  <si>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</si>
  <si>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</si>
  <si>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</si>
  <si>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</si>
  <si>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</si>
  <si>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</si>
  <si>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</si>
  <si>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</si>
  <si>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</si>
  <si>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</si>
  <si>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</si>
  <si>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</si>
  <si>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</si>
  <si>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</si>
  <si>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</si>
  <si>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</si>
  <si>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</si>
  <si>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</si>
  <si>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</si>
  <si>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</si>
  <si>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</si>
  <si>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</si>
  <si>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</si>
  <si>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</si>
  <si>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</si>
  <si>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</si>
  <si>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</si>
  <si>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</si>
  <si>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</si>
  <si>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</si>
  <si>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</si>
  <si>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</si>
  <si>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</si>
  <si>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</si>
  <si>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</si>
  <si>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</si>
  <si>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</si>
  <si>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</si>
  <si>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</si>
  <si>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</si>
  <si>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</si>
  <si>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</si>
  <si>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</si>
  <si>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</si>
  <si>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</si>
  <si>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</si>
  <si>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</si>
  <si>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</si>
  <si>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</si>
  <si>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</si>
  <si>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</si>
  <si>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</si>
  <si>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</si>
  <si>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</si>
  <si>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</si>
  <si>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</si>
  <si>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</si>
  <si>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</si>
  <si>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</si>
  <si>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</si>
  <si>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</si>
  <si>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</si>
  <si>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</si>
  <si>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</si>
  <si>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</si>
  <si>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</si>
  <si>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</si>
  <si>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</si>
  <si>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</si>
  <si>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</si>
  <si>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</si>
  <si>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</si>
  <si>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</si>
  <si>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</si>
  <si>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</si>
  <si>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</si>
  <si>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</si>
  <si>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</si>
  <si>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</si>
  <si>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</si>
  <si>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</si>
  <si>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</si>
  <si>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</si>
  <si>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</si>
  <si>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</si>
  <si>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</si>
  <si>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</si>
  <si>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</si>
  <si>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</si>
  <si>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</si>
  <si>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</si>
  <si>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</si>
  <si>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</si>
  <si>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</si>
  <si>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</si>
  <si>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</si>
  <si>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</si>
  <si>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</si>
  <si>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</si>
  <si>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</si>
  <si>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</si>
  <si>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</si>
  <si>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</si>
  <si>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</si>
  <si>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</si>
  <si>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</si>
  <si>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</si>
  <si>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</si>
  <si>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</si>
  <si>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</si>
  <si>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</si>
  <si>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</si>
  <si>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</si>
  <si>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</si>
  <si>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</si>
  <si>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</si>
  <si>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</si>
  <si>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</si>
  <si>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</si>
  <si>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</si>
  <si>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</si>
  <si>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</si>
  <si>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</si>
  <si>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</si>
  <si>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</si>
  <si>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</si>
  <si>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</si>
  <si>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</si>
  <si>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</si>
  <si>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</si>
  <si>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</si>
  <si>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</si>
  <si>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</si>
  <si>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</si>
  <si>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</si>
  <si>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</si>
  <si>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</si>
  <si>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</si>
  <si>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</si>
  <si>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</si>
  <si>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</si>
  <si>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</si>
  <si>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</si>
  <si>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</si>
  <si>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</si>
  <si>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</si>
  <si>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</si>
  <si>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</si>
  <si>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</si>
  <si>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</si>
  <si>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</si>
  <si>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</si>
  <si>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</si>
  <si>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</si>
  <si>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</si>
  <si>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</si>
  <si>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</si>
  <si>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</si>
  <si>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</si>
  <si>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</si>
  <si>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</si>
  <si>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</si>
  <si>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</si>
  <si>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</si>
  <si>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</si>
  <si>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</si>
  <si>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</si>
  <si>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</si>
  <si>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</si>
  <si>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</si>
  <si>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</si>
  <si>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</si>
  <si>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</si>
  <si>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</si>
  <si>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</si>
  <si>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</si>
  <si>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</si>
  <si>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</si>
  <si>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</si>
  <si>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</si>
  <si>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</si>
  <si>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</si>
  <si>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</si>
  <si>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</si>
  <si>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</si>
  <si>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</si>
  <si>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</si>
  <si>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</si>
  <si>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</si>
  <si>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</si>
  <si>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</si>
  <si>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</si>
  <si>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</si>
  <si>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</si>
  <si>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</si>
  <si>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</si>
  <si>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</si>
  <si>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</si>
  <si>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</si>
  <si>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</si>
  <si>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</si>
  <si>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</si>
  <si>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</si>
  <si>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</si>
  <si>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</si>
  <si>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</si>
  <si>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</si>
  <si>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</si>
  <si>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</si>
  <si>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</si>
  <si>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</si>
  <si>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</si>
  <si>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</si>
  <si>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</si>
  <si>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</si>
  <si>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</si>
  <si>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</si>
  <si>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</si>
  <si>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</si>
  <si>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</si>
  <si>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</si>
  <si>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</si>
  <si>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</si>
  <si>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</si>
  <si>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</si>
  <si>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</si>
  <si>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</si>
  <si>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</si>
  <si>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</si>
  <si>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</si>
  <si>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</si>
  <si>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</si>
  <si>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</si>
  <si>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</si>
  <si>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</si>
  <si>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>OK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</si>
  <si>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</si>
  <si>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</si>
  <si>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</si>
  <si>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</si>
  <si>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</si>
  <si>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</si>
  <si>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</si>
  <si>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</si>
  <si>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</si>
  <si>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</t>
    </r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</si>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</sst>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3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0" fontId="1" fillId="0" borderId="0" xfId="0" applyFont="1"/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  <xf numFmtId="1" fontId="0" fillId="21" borderId="59" xfId="0" applyNumberFormat="1" applyFill="1" applyBorder="1" applyAlignment="1">
      <alignment horizontal="center"/>
    </xf>
    <xf numFmtId="49" fontId="28" fillId="32" borderId="2" xfId="3" applyNumberFormat="1" applyFont="1" applyFill="1" applyBorder="1" applyAlignment="1">
      <alignment horizontal="left" vertical="center" wrapText="1"/>
    </xf>
    <xf numFmtId="3" fontId="28" fillId="32" borderId="0" xfId="1" applyNumberFormat="1" applyFont="1" applyFill="1" applyAlignment="1">
      <alignment horizontal="center" vertical="center"/>
    </xf>
    <xf numFmtId="0" fontId="0" fillId="32" borderId="0" xfId="0" applyFill="1" applyAlignment="1">
      <alignment horizont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7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C95077-8036-4A62-8FD3-4D1CFECF08D8}" name="PlanoAcaoCoordTable4" displayName="PlanoAcaoCoordTable4" ref="A4:H29" totalsRowShown="0">
  <tableColumns count="8">
    <tableColumn id="1" xr3:uid="{829DD5DC-4FD8-4C6C-BC46-1347E19EFA3A}" name="Tema"/>
    <tableColumn id="2" xr3:uid="{1ED20437-F2D1-43A3-B407-E4C5393D650A}" name="Contexto"/>
    <tableColumn id="3" xr3:uid="{996E4374-E763-4769-8EA4-207D4C589C25}" name="Ações / Histórico"/>
    <tableColumn id="4" xr3:uid="{E3C0367C-C693-4479-A7EA-926B511277BA}" name="Status"/>
    <tableColumn id="5" xr3:uid="{7E14AABA-601F-49BD-855E-92091AD3620B}" name="Data da atualização"/>
    <tableColumn id="6" xr3:uid="{6B8184B7-7FD8-47AF-A780-6AB539E90E19}" name="Data limite"/>
    <tableColumn id="7" xr3:uid="{5D875D88-EDCD-48EE-9A25-0F77E2FD2FB0}" name="Responsável"/>
    <tableColumn id="8" xr3:uid="{70D5936B-BB12-400E-A83C-1356E879A825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9" workbookViewId="0">
      <selection activeCell="C10" sqref="C10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77" t="s">
        <v>0</v>
      </c>
      <c r="C2" s="178"/>
      <c r="D2" s="178"/>
      <c r="E2" s="178"/>
      <c r="F2" s="178"/>
      <c r="G2" s="178"/>
    </row>
    <row r="3" spans="2:7" ht="15" hidden="1" customHeight="1" x14ac:dyDescent="0.35">
      <c r="B3" s="179" t="s">
        <v>1</v>
      </c>
      <c r="C3" s="180"/>
      <c r="D3" s="180"/>
      <c r="E3" s="180"/>
      <c r="F3" s="180"/>
      <c r="G3" s="181"/>
    </row>
    <row r="4" spans="2:7" ht="15" hidden="1" customHeight="1" x14ac:dyDescent="0.35">
      <c r="B4" s="182"/>
      <c r="C4" s="178"/>
      <c r="D4" s="178"/>
      <c r="E4" s="178"/>
      <c r="F4" s="178"/>
      <c r="G4" s="183"/>
    </row>
    <row r="5" spans="2:7" ht="15" hidden="1" customHeight="1" x14ac:dyDescent="0.35">
      <c r="B5" s="182"/>
      <c r="C5" s="178"/>
      <c r="D5" s="178"/>
      <c r="E5" s="178"/>
      <c r="F5" s="178"/>
      <c r="G5" s="183"/>
    </row>
    <row r="6" spans="2:7" ht="15" hidden="1" customHeight="1" x14ac:dyDescent="0.35">
      <c r="B6" s="182"/>
      <c r="C6" s="178"/>
      <c r="D6" s="178"/>
      <c r="E6" s="178"/>
      <c r="F6" s="178"/>
      <c r="G6" s="183"/>
    </row>
    <row r="7" spans="2:7" ht="15" hidden="1" customHeight="1" x14ac:dyDescent="0.35">
      <c r="B7" s="184"/>
      <c r="C7" s="185"/>
      <c r="D7" s="185"/>
      <c r="E7" s="185"/>
      <c r="F7" s="185"/>
      <c r="G7" s="186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46251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89400</v>
      </c>
      <c r="D14" s="7">
        <f>C14</f>
        <v>89400</v>
      </c>
      <c r="E14" s="150" t="s">
        <v>345</v>
      </c>
    </row>
    <row r="15" spans="2:7" ht="15" customHeight="1" x14ac:dyDescent="0.35">
      <c r="B15" s="5" t="s">
        <v>9</v>
      </c>
      <c r="C15" s="6">
        <v>75500</v>
      </c>
      <c r="D15" s="7"/>
      <c r="E15" s="150" t="s">
        <v>345</v>
      </c>
    </row>
    <row r="16" spans="2:7" ht="15" customHeight="1" x14ac:dyDescent="0.35">
      <c r="B16" s="5" t="s">
        <v>10</v>
      </c>
      <c r="C16" s="6">
        <v>64880</v>
      </c>
      <c r="D16" s="7"/>
      <c r="E16" s="150" t="s">
        <v>345</v>
      </c>
    </row>
    <row r="17" spans="2:5" ht="15" customHeight="1" x14ac:dyDescent="0.35">
      <c r="B17" s="5" t="s">
        <v>11</v>
      </c>
      <c r="C17" s="6">
        <v>64880</v>
      </c>
      <c r="D17" s="7"/>
      <c r="E17" s="150" t="s">
        <v>345</v>
      </c>
    </row>
    <row r="18" spans="2:5" ht="15" customHeight="1" x14ac:dyDescent="0.35">
      <c r="B18" s="5" t="s">
        <v>12</v>
      </c>
      <c r="C18" s="6">
        <v>62700</v>
      </c>
      <c r="D18" s="7"/>
      <c r="E18" s="150" t="s">
        <v>345</v>
      </c>
    </row>
    <row r="19" spans="2:5" ht="15" customHeight="1" x14ac:dyDescent="0.35">
      <c r="B19" s="5" t="s">
        <v>13</v>
      </c>
      <c r="C19" s="6">
        <v>37100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0" t="s">
        <v>345</v>
      </c>
    </row>
    <row r="21" spans="2:5" ht="15" customHeight="1" x14ac:dyDescent="0.35">
      <c r="B21" s="5" t="s">
        <v>15</v>
      </c>
      <c r="C21" s="6">
        <v>30600</v>
      </c>
      <c r="D21" s="7"/>
      <c r="E21" s="150" t="s">
        <v>345</v>
      </c>
    </row>
    <row r="22" spans="2:5" ht="15" customHeight="1" x14ac:dyDescent="0.35">
      <c r="B22" s="5" t="s">
        <v>16</v>
      </c>
      <c r="C22" s="6">
        <v>34980</v>
      </c>
      <c r="D22" s="7"/>
      <c r="E22" s="150"/>
    </row>
    <row r="23" spans="2:5" ht="15" customHeight="1" x14ac:dyDescent="0.35">
      <c r="B23" s="5" t="s">
        <v>17</v>
      </c>
      <c r="C23" s="6">
        <v>6780</v>
      </c>
      <c r="D23" s="7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131260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39"/>
    </row>
    <row r="54" spans="2:6" x14ac:dyDescent="0.35">
      <c r="B54" s="16" t="s">
        <v>41</v>
      </c>
      <c r="C54" s="17">
        <v>82660</v>
      </c>
      <c r="D54" s="17">
        <v>82860</v>
      </c>
      <c r="E54" s="140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0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0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40" t="s">
        <v>36</v>
      </c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33" sqref="J33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51">
        <v>0</v>
      </c>
      <c r="C3" s="151">
        <v>0</v>
      </c>
      <c r="D3" s="151">
        <v>1.6999999999999999E-3</v>
      </c>
      <c r="E3" s="151">
        <v>2.7799999999999998E-2</v>
      </c>
      <c r="F3" s="151">
        <v>4.8800000000000003E-2</v>
      </c>
      <c r="G3" s="151">
        <v>5.9200000000000003E-2</v>
      </c>
      <c r="H3" s="151">
        <v>6.2700000000000006E-2</v>
      </c>
      <c r="I3" s="151">
        <v>7.2900000000000006E-2</v>
      </c>
      <c r="J3" s="151">
        <v>7.1499999999999994E-2</v>
      </c>
      <c r="K3" s="151">
        <v>8.2600000000000007E-2</v>
      </c>
      <c r="L3" s="151">
        <v>3.6700000000000003E-2</v>
      </c>
      <c r="M3" s="151">
        <v>4.3799999999999999E-2</v>
      </c>
      <c r="N3" s="151">
        <v>3.7400000000000003E-2</v>
      </c>
      <c r="O3" s="151">
        <v>5.45E-2</v>
      </c>
      <c r="P3" s="151">
        <v>4.6600000000000003E-2</v>
      </c>
      <c r="Q3" s="151">
        <v>6.1699999999999998E-2</v>
      </c>
      <c r="R3" s="151">
        <v>6.2E-2</v>
      </c>
      <c r="S3" s="151">
        <v>5.6300000000000003E-2</v>
      </c>
      <c r="T3" s="151">
        <v>6.3299999999999995E-2</v>
      </c>
      <c r="U3" s="151">
        <v>6.2399999999999997E-2</v>
      </c>
      <c r="V3" s="151">
        <v>4.3499999999999997E-2</v>
      </c>
      <c r="W3" s="151">
        <v>4.5999999999999999E-3</v>
      </c>
      <c r="X3" s="151">
        <v>0</v>
      </c>
    </row>
    <row r="4" spans="1:24" x14ac:dyDescent="0.35">
      <c r="A4" s="19" t="s">
        <v>49</v>
      </c>
      <c r="B4" s="151">
        <f>B3</f>
        <v>0</v>
      </c>
      <c r="C4" s="151">
        <f>C3+B4</f>
        <v>0</v>
      </c>
      <c r="D4" s="151">
        <f t="shared" ref="D4:X4" si="0">D3+C4</f>
        <v>1.6999999999999999E-3</v>
      </c>
      <c r="E4" s="151">
        <f t="shared" si="0"/>
        <v>2.9499999999999998E-2</v>
      </c>
      <c r="F4" s="151">
        <f t="shared" si="0"/>
        <v>7.8300000000000008E-2</v>
      </c>
      <c r="G4" s="151">
        <f t="shared" si="0"/>
        <v>0.13750000000000001</v>
      </c>
      <c r="H4" s="151">
        <f t="shared" si="0"/>
        <v>0.20020000000000002</v>
      </c>
      <c r="I4" s="151">
        <f t="shared" si="0"/>
        <v>0.27310000000000001</v>
      </c>
      <c r="J4" s="151">
        <f t="shared" si="0"/>
        <v>0.34460000000000002</v>
      </c>
      <c r="K4" s="151">
        <f t="shared" si="0"/>
        <v>0.42720000000000002</v>
      </c>
      <c r="L4" s="151">
        <f t="shared" si="0"/>
        <v>0.46390000000000003</v>
      </c>
      <c r="M4" s="151">
        <f t="shared" si="0"/>
        <v>0.50770000000000004</v>
      </c>
      <c r="N4" s="151">
        <f t="shared" si="0"/>
        <v>0.54510000000000003</v>
      </c>
      <c r="O4" s="151">
        <f t="shared" si="0"/>
        <v>0.59960000000000002</v>
      </c>
      <c r="P4" s="151">
        <f t="shared" si="0"/>
        <v>0.6462</v>
      </c>
      <c r="Q4" s="151">
        <f t="shared" si="0"/>
        <v>0.70789999999999997</v>
      </c>
      <c r="R4" s="151">
        <f t="shared" si="0"/>
        <v>0.76990000000000003</v>
      </c>
      <c r="S4" s="151">
        <f t="shared" si="0"/>
        <v>0.82620000000000005</v>
      </c>
      <c r="T4" s="151">
        <f t="shared" si="0"/>
        <v>0.88950000000000007</v>
      </c>
      <c r="U4" s="151">
        <f t="shared" si="0"/>
        <v>0.95190000000000008</v>
      </c>
      <c r="V4" s="151">
        <f t="shared" si="0"/>
        <v>0.99540000000000006</v>
      </c>
      <c r="W4" s="151">
        <f t="shared" si="0"/>
        <v>1</v>
      </c>
      <c r="X4" s="151">
        <f t="shared" si="0"/>
        <v>1</v>
      </c>
    </row>
    <row r="5" spans="1:24" x14ac:dyDescent="0.35">
      <c r="A5" s="19" t="s">
        <v>50</v>
      </c>
      <c r="B5" s="151"/>
      <c r="C5" s="151"/>
      <c r="D5" s="151"/>
      <c r="E5" s="151"/>
      <c r="F5" s="151"/>
      <c r="G5" s="151"/>
      <c r="H5" s="151"/>
      <c r="I5" s="151"/>
      <c r="J5" s="152">
        <f>J6-I8</f>
        <v>7.7490327304883033E-2</v>
      </c>
      <c r="K5" s="152">
        <f>K6-J6</f>
        <v>8.28502472779854E-2</v>
      </c>
      <c r="L5" s="152">
        <f t="shared" ref="L5:X5" si="1">L6-K6</f>
        <v>8.1261435019454153E-2</v>
      </c>
      <c r="M5" s="152">
        <f t="shared" si="1"/>
        <v>5.6091972610689822E-2</v>
      </c>
      <c r="N5" s="152">
        <f t="shared" si="1"/>
        <v>2.7250612093831506E-2</v>
      </c>
      <c r="O5" s="152">
        <f t="shared" si="1"/>
        <v>5.0919290125108985E-2</v>
      </c>
      <c r="P5" s="152">
        <f t="shared" si="1"/>
        <v>5.867920486772793E-2</v>
      </c>
      <c r="Q5" s="152">
        <f t="shared" si="1"/>
        <v>4.4036750622227228E-2</v>
      </c>
      <c r="R5" s="152">
        <f t="shared" si="1"/>
        <v>7.2114005578556406E-2</v>
      </c>
      <c r="S5" s="152">
        <f t="shared" si="1"/>
        <v>8.6752287335486011E-2</v>
      </c>
      <c r="T5" s="152">
        <f t="shared" si="1"/>
        <v>7.098998096460285E-2</v>
      </c>
      <c r="U5" s="152">
        <f t="shared" si="1"/>
        <v>4.3768321425539769E-2</v>
      </c>
      <c r="V5" s="152">
        <f t="shared" si="1"/>
        <v>8.5597954040375068E-2</v>
      </c>
      <c r="W5" s="152">
        <f t="shared" si="1"/>
        <v>1.9374496383857465E-2</v>
      </c>
      <c r="X5" s="152">
        <f t="shared" si="1"/>
        <v>2.223114349674371E-3</v>
      </c>
    </row>
    <row r="6" spans="1:24" x14ac:dyDescent="0.35">
      <c r="A6" s="19" t="s">
        <v>51</v>
      </c>
      <c r="B6" s="151"/>
      <c r="C6" s="151"/>
      <c r="D6" s="151"/>
      <c r="E6" s="151"/>
      <c r="F6" s="151"/>
      <c r="G6" s="151"/>
      <c r="H6" s="151"/>
      <c r="I6" s="151"/>
      <c r="J6" s="152">
        <v>0.21809032730488304</v>
      </c>
      <c r="K6" s="152">
        <v>0.30094057458286844</v>
      </c>
      <c r="L6" s="152">
        <v>0.38220200960232259</v>
      </c>
      <c r="M6" s="152">
        <v>0.43829398221301241</v>
      </c>
      <c r="N6" s="152">
        <v>0.46554459430684392</v>
      </c>
      <c r="O6" s="152">
        <v>0.5164638844319529</v>
      </c>
      <c r="P6" s="152">
        <v>0.57514308929968083</v>
      </c>
      <c r="Q6" s="152">
        <v>0.61917983992190806</v>
      </c>
      <c r="R6" s="152">
        <v>0.69129384550046447</v>
      </c>
      <c r="S6" s="152">
        <v>0.77804613283595048</v>
      </c>
      <c r="T6" s="152">
        <v>0.84903611380055333</v>
      </c>
      <c r="U6" s="152">
        <v>0.8928044352260931</v>
      </c>
      <c r="V6" s="152">
        <v>0.97840238926646816</v>
      </c>
      <c r="W6" s="152">
        <v>0.99777688565032563</v>
      </c>
      <c r="X6" s="152">
        <v>1</v>
      </c>
    </row>
    <row r="7" spans="1:24" x14ac:dyDescent="0.35">
      <c r="A7" s="19" t="s">
        <v>52</v>
      </c>
      <c r="B7" s="151">
        <v>0</v>
      </c>
      <c r="C7" s="151">
        <v>0</v>
      </c>
      <c r="D7" s="151">
        <v>1.0822882312570559E-3</v>
      </c>
      <c r="E7" s="151">
        <v>3.2766602641749777E-3</v>
      </c>
      <c r="F7" s="151">
        <v>1.6741051504567967E-2</v>
      </c>
      <c r="G7" s="151">
        <v>2.3899999999999998E-2</v>
      </c>
      <c r="H7" s="151">
        <v>3.9300000000000002E-2</v>
      </c>
      <c r="I7" s="151">
        <v>5.6300000000000003E-2</v>
      </c>
      <c r="J7" s="152">
        <v>1.9299999999999984E-2</v>
      </c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</row>
    <row r="8" spans="1:24" x14ac:dyDescent="0.35">
      <c r="A8" s="19" t="s">
        <v>53</v>
      </c>
      <c r="B8" s="151">
        <f>B7</f>
        <v>0</v>
      </c>
      <c r="C8" s="151">
        <f>C7+B8</f>
        <v>0</v>
      </c>
      <c r="D8" s="151">
        <f t="shared" ref="D8:J8" si="2">D7+C8</f>
        <v>1.0822882312570559E-3</v>
      </c>
      <c r="E8" s="151">
        <f t="shared" si="2"/>
        <v>4.3589484954320336E-3</v>
      </c>
      <c r="F8" s="151">
        <f t="shared" si="2"/>
        <v>2.1100000000000001E-2</v>
      </c>
      <c r="G8" s="151">
        <f t="shared" si="2"/>
        <v>4.4999999999999998E-2</v>
      </c>
      <c r="H8" s="151">
        <f t="shared" si="2"/>
        <v>8.43E-2</v>
      </c>
      <c r="I8" s="151">
        <f t="shared" si="2"/>
        <v>0.1406</v>
      </c>
      <c r="J8" s="152">
        <f t="shared" si="2"/>
        <v>0.15989999999999999</v>
      </c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51">
        <v>0</v>
      </c>
      <c r="C12" s="151">
        <v>6.4333595409319993E-4</v>
      </c>
      <c r="D12" s="151">
        <v>9.9175180819338626E-3</v>
      </c>
      <c r="E12" s="151">
        <v>3.414205389288015E-2</v>
      </c>
      <c r="F12" s="151">
        <v>5.394543052840433E-2</v>
      </c>
      <c r="G12" s="151">
        <v>5.8991405542812354E-2</v>
      </c>
      <c r="H12" s="151">
        <v>5.9422565259280781E-2</v>
      </c>
      <c r="I12" s="151">
        <v>6.8141882134882606E-2</v>
      </c>
      <c r="J12" s="151">
        <v>6.6892273806522323E-2</v>
      </c>
      <c r="K12" s="151">
        <v>7.6374295605331433E-2</v>
      </c>
      <c r="L12" s="151">
        <v>3.7841055452758648E-2</v>
      </c>
      <c r="M12" s="151">
        <v>4.3912888525442451E-2</v>
      </c>
      <c r="N12" s="151">
        <v>3.7701468887471515E-2</v>
      </c>
      <c r="O12" s="151">
        <v>5.241483767375222E-2</v>
      </c>
      <c r="P12" s="151">
        <v>4.5591992865880039E-2</v>
      </c>
      <c r="Q12" s="151">
        <v>5.8505059712241361E-2</v>
      </c>
      <c r="R12" s="151">
        <v>5.8818552982326119E-2</v>
      </c>
      <c r="S12" s="151">
        <v>5.3936424443498589E-2</v>
      </c>
      <c r="T12" s="151">
        <v>5.9865440901881353E-2</v>
      </c>
      <c r="U12" s="151">
        <v>5.9137487761205497E-2</v>
      </c>
      <c r="V12" s="151">
        <v>4.3000850293942301E-2</v>
      </c>
      <c r="W12" s="151">
        <v>1.302028492382944E-2</v>
      </c>
      <c r="X12" s="151">
        <v>7.7828947696293024E-3</v>
      </c>
    </row>
    <row r="13" spans="1:24" x14ac:dyDescent="0.35">
      <c r="A13" s="19" t="s">
        <v>49</v>
      </c>
      <c r="B13" s="151">
        <v>0</v>
      </c>
      <c r="C13" s="151">
        <v>6.4333595409319993E-4</v>
      </c>
      <c r="D13" s="151">
        <v>1.0560854036027063E-2</v>
      </c>
      <c r="E13" s="151">
        <v>4.4702907928907215E-2</v>
      </c>
      <c r="F13" s="151">
        <v>9.8648338457311552E-2</v>
      </c>
      <c r="G13" s="151">
        <v>0.1576397440001239</v>
      </c>
      <c r="H13" s="151">
        <v>0.21706230925940467</v>
      </c>
      <c r="I13" s="151">
        <v>0.28520419139428727</v>
      </c>
      <c r="J13" s="151">
        <v>0.35209646520080962</v>
      </c>
      <c r="K13" s="151">
        <v>0.42847076080614105</v>
      </c>
      <c r="L13" s="151">
        <v>0.46631181625889973</v>
      </c>
      <c r="M13" s="151">
        <v>0.51022470478434223</v>
      </c>
      <c r="N13" s="151">
        <v>0.54792617367181373</v>
      </c>
      <c r="O13" s="151">
        <v>0.60034101134556594</v>
      </c>
      <c r="P13" s="151">
        <v>0.64593300421144595</v>
      </c>
      <c r="Q13" s="151">
        <v>0.70443806392368735</v>
      </c>
      <c r="R13" s="151">
        <v>0.76325661690601343</v>
      </c>
      <c r="S13" s="151">
        <v>0.81719304134951198</v>
      </c>
      <c r="T13" s="151">
        <v>0.87705848225139338</v>
      </c>
      <c r="U13" s="151">
        <v>0.93619597001259891</v>
      </c>
      <c r="V13" s="151">
        <v>0.9791968203065412</v>
      </c>
      <c r="W13" s="151">
        <v>0.99221710523037066</v>
      </c>
      <c r="X13" s="151">
        <v>1</v>
      </c>
    </row>
    <row r="14" spans="1:24" x14ac:dyDescent="0.35">
      <c r="A14" s="19" t="s">
        <v>50</v>
      </c>
      <c r="B14" s="151"/>
      <c r="C14" s="151"/>
      <c r="D14" s="151"/>
      <c r="E14" s="151"/>
      <c r="F14" s="151"/>
      <c r="G14" s="151"/>
      <c r="H14" s="151"/>
      <c r="I14" s="152">
        <f>I16</f>
        <v>3.5420156901174026E-2</v>
      </c>
      <c r="J14" s="152">
        <v>8.3178661788877548E-2</v>
      </c>
      <c r="K14" s="152">
        <v>7.4525313472513816E-2</v>
      </c>
      <c r="L14" s="152">
        <v>8.178382902381448E-2</v>
      </c>
      <c r="M14" s="152">
        <v>4.9560755522463841E-2</v>
      </c>
      <c r="N14" s="152">
        <v>3.9044510527794368E-2</v>
      </c>
      <c r="O14" s="152">
        <v>5.3099084103174855E-2</v>
      </c>
      <c r="P14" s="152">
        <v>6.1468184367495057E-2</v>
      </c>
      <c r="Q14" s="152">
        <v>6.0032721587476016E-2</v>
      </c>
      <c r="R14" s="152">
        <v>6.0850115519214903E-2</v>
      </c>
      <c r="S14" s="152">
        <v>6.4067218808480278E-2</v>
      </c>
      <c r="T14" s="152">
        <v>6.744506109502324E-2</v>
      </c>
      <c r="U14" s="152">
        <v>4.396213978450856E-2</v>
      </c>
      <c r="V14" s="152">
        <v>4.9254008194094707E-2</v>
      </c>
      <c r="W14" s="152">
        <v>5.2709966022954753E-2</v>
      </c>
      <c r="X14" s="152">
        <v>1.769377579276709E-2</v>
      </c>
    </row>
    <row r="15" spans="1:24" x14ac:dyDescent="0.35">
      <c r="A15" s="19" t="s">
        <v>51</v>
      </c>
      <c r="B15" s="151"/>
      <c r="C15" s="151"/>
      <c r="D15" s="151"/>
      <c r="E15" s="151"/>
      <c r="F15" s="151"/>
      <c r="G15" s="151"/>
      <c r="H15" s="151"/>
      <c r="I15" s="152">
        <f>I17</f>
        <v>0.14132465438934649</v>
      </c>
      <c r="J15" s="152">
        <f>J14+I15</f>
        <v>0.22450331617822405</v>
      </c>
      <c r="K15" s="152">
        <f>K14+J15</f>
        <v>0.29902862965073784</v>
      </c>
      <c r="L15" s="152">
        <f>L14+K15</f>
        <v>0.38081245867455232</v>
      </c>
      <c r="M15" s="152">
        <f>M14+L15</f>
        <v>0.43037321419701619</v>
      </c>
      <c r="N15" s="152">
        <f t="shared" ref="N15:X15" si="3">N14+M15</f>
        <v>0.46941772472481058</v>
      </c>
      <c r="O15" s="152">
        <f t="shared" si="3"/>
        <v>0.52251680882798546</v>
      </c>
      <c r="P15" s="152">
        <f t="shared" si="3"/>
        <v>0.58398499319548047</v>
      </c>
      <c r="Q15" s="152">
        <f t="shared" si="3"/>
        <v>0.64401771478295644</v>
      </c>
      <c r="R15" s="152">
        <f t="shared" si="3"/>
        <v>0.70486783030217137</v>
      </c>
      <c r="S15" s="152">
        <f t="shared" si="3"/>
        <v>0.76893504911065169</v>
      </c>
      <c r="T15" s="152">
        <f t="shared" si="3"/>
        <v>0.83638011020567493</v>
      </c>
      <c r="U15" s="152">
        <f t="shared" si="3"/>
        <v>0.88034224999018351</v>
      </c>
      <c r="V15" s="152">
        <f t="shared" si="3"/>
        <v>0.92959625818427827</v>
      </c>
      <c r="W15" s="152">
        <f t="shared" si="3"/>
        <v>0.98230622420723301</v>
      </c>
      <c r="X15" s="152">
        <f t="shared" si="3"/>
        <v>1</v>
      </c>
    </row>
    <row r="16" spans="1:24" x14ac:dyDescent="0.35">
      <c r="A16" s="19" t="s">
        <v>52</v>
      </c>
      <c r="B16" s="151">
        <v>4.0208218656663146E-3</v>
      </c>
      <c r="C16" s="151">
        <v>2.6019194424607029E-3</v>
      </c>
      <c r="D16" s="151">
        <v>4.9377404491000414E-3</v>
      </c>
      <c r="E16" s="151">
        <v>2.4588206361430005E-2</v>
      </c>
      <c r="F16" s="151">
        <v>1.8059052179606863E-2</v>
      </c>
      <c r="G16" s="151">
        <v>2.0943214723149188E-2</v>
      </c>
      <c r="H16" s="151">
        <v>3.0753542466759359E-2</v>
      </c>
      <c r="I16" s="152">
        <v>3.5420156901174026E-2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</row>
    <row r="17" spans="1:24" x14ac:dyDescent="0.35">
      <c r="A17" s="19" t="s">
        <v>53</v>
      </c>
      <c r="B17" s="151">
        <f>B16</f>
        <v>4.0208218656663146E-3</v>
      </c>
      <c r="C17" s="151">
        <f>C16+B17</f>
        <v>6.6227413081270175E-3</v>
      </c>
      <c r="D17" s="151">
        <f t="shared" ref="D17:I17" si="4">D16+C17</f>
        <v>1.156048175722706E-2</v>
      </c>
      <c r="E17" s="151">
        <f t="shared" si="4"/>
        <v>3.6148688118657069E-2</v>
      </c>
      <c r="F17" s="151">
        <f t="shared" si="4"/>
        <v>5.4207740298263932E-2</v>
      </c>
      <c r="G17" s="151">
        <f t="shared" si="4"/>
        <v>7.5150955021413113E-2</v>
      </c>
      <c r="H17" s="151">
        <f t="shared" si="4"/>
        <v>0.10590449748817247</v>
      </c>
      <c r="I17" s="152">
        <f t="shared" si="4"/>
        <v>0.14132465438934649</v>
      </c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21">
        <v>230</v>
      </c>
      <c r="J22" s="123">
        <v>237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21">
        <v>102</v>
      </c>
      <c r="J27" s="123">
        <v>101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21">
        <v>44</v>
      </c>
      <c r="J32" s="123">
        <v>47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21">
        <f>HISTOGRAMA!Q90</f>
        <v>47</v>
      </c>
      <c r="J37" s="123">
        <v>47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G1" workbookViewId="0">
      <selection activeCell="P6" sqref="P6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31">
        <v>1</v>
      </c>
      <c r="R3" s="30">
        <v>5</v>
      </c>
      <c r="S3" s="153">
        <v>1</v>
      </c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35">
        <v>53</v>
      </c>
      <c r="R4" s="34">
        <v>96</v>
      </c>
      <c r="S4" s="154">
        <v>54</v>
      </c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38">
        <v>3</v>
      </c>
      <c r="R5" s="37">
        <v>3</v>
      </c>
      <c r="S5" s="154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35"/>
      <c r="R6" s="34">
        <v>3</v>
      </c>
      <c r="S6" s="154">
        <v>2</v>
      </c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38">
        <v>7</v>
      </c>
      <c r="R7" s="37">
        <v>8</v>
      </c>
      <c r="S7" s="154">
        <v>7</v>
      </c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35">
        <v>5</v>
      </c>
      <c r="R8" s="34">
        <v>4</v>
      </c>
      <c r="S8" s="154">
        <v>5</v>
      </c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38">
        <v>3</v>
      </c>
      <c r="R9" s="37">
        <v>5</v>
      </c>
      <c r="S9" s="154">
        <v>3</v>
      </c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35">
        <v>1</v>
      </c>
      <c r="R10" s="34">
        <v>1</v>
      </c>
      <c r="S10" s="154">
        <v>1</v>
      </c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38"/>
      <c r="R11" s="37">
        <v>6</v>
      </c>
      <c r="S11" s="154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35"/>
      <c r="R12" s="34">
        <v>3</v>
      </c>
      <c r="S12" s="154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38">
        <v>1</v>
      </c>
      <c r="R13" s="37">
        <v>5</v>
      </c>
      <c r="S13" s="154">
        <v>1</v>
      </c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35">
        <v>1</v>
      </c>
      <c r="R14" s="34">
        <v>2</v>
      </c>
      <c r="S14" s="154">
        <v>1</v>
      </c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38">
        <v>7</v>
      </c>
      <c r="R15" s="37">
        <v>4</v>
      </c>
      <c r="S15" s="154">
        <v>7</v>
      </c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35">
        <v>7</v>
      </c>
      <c r="R16" s="34">
        <v>8</v>
      </c>
      <c r="S16" s="154">
        <v>8</v>
      </c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38">
        <v>66</v>
      </c>
      <c r="R17" s="37">
        <v>23</v>
      </c>
      <c r="S17" s="154">
        <v>64</v>
      </c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35">
        <v>2</v>
      </c>
      <c r="R18" s="34">
        <v>2</v>
      </c>
      <c r="S18" s="154">
        <v>4</v>
      </c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38">
        <v>29</v>
      </c>
      <c r="R19" s="37">
        <v>22</v>
      </c>
      <c r="S19" s="154">
        <v>30</v>
      </c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35">
        <v>13</v>
      </c>
      <c r="R20" s="34">
        <v>18</v>
      </c>
      <c r="S20" s="154">
        <v>15</v>
      </c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38">
        <v>2</v>
      </c>
      <c r="R21" s="37">
        <v>3</v>
      </c>
      <c r="S21" s="154">
        <v>2</v>
      </c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35">
        <v>9</v>
      </c>
      <c r="R22" s="34">
        <v>3</v>
      </c>
      <c r="S22" s="154">
        <v>9</v>
      </c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38">
        <v>2</v>
      </c>
      <c r="R23" s="37">
        <v>4</v>
      </c>
      <c r="S23" s="154">
        <v>2</v>
      </c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35"/>
      <c r="R24" s="34">
        <v>6</v>
      </c>
      <c r="S24" s="154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38">
        <v>1</v>
      </c>
      <c r="R25" s="37">
        <v>8</v>
      </c>
      <c r="S25" s="154">
        <v>1</v>
      </c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35">
        <v>3</v>
      </c>
      <c r="R26" s="34">
        <v>1</v>
      </c>
      <c r="S26" s="154">
        <v>4</v>
      </c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38"/>
      <c r="R27" s="37">
        <v>8</v>
      </c>
      <c r="S27" s="154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35">
        <v>5</v>
      </c>
      <c r="R28" s="34">
        <v>2</v>
      </c>
      <c r="S28" s="154">
        <v>5</v>
      </c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38">
        <v>1</v>
      </c>
      <c r="R29" s="37">
        <v>1</v>
      </c>
      <c r="S29" s="154">
        <v>1</v>
      </c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35">
        <v>1</v>
      </c>
      <c r="R30" s="34">
        <v>1</v>
      </c>
      <c r="S30" s="154">
        <v>1</v>
      </c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38">
        <v>1</v>
      </c>
      <c r="R31" s="37">
        <v>2</v>
      </c>
      <c r="S31" s="154">
        <v>2</v>
      </c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42">
        <v>6</v>
      </c>
      <c r="R32" s="41">
        <v>3</v>
      </c>
      <c r="S32" s="155">
        <v>7</v>
      </c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237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  <c r="Q34" s="44"/>
    </row>
    <row r="35" spans="1:70" x14ac:dyDescent="0.35">
      <c r="A35" s="187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88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31">
        <v>6</v>
      </c>
      <c r="R37" s="30">
        <v>3</v>
      </c>
      <c r="S37" s="153">
        <v>6</v>
      </c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35">
        <v>1</v>
      </c>
      <c r="R38" s="34">
        <v>1</v>
      </c>
      <c r="S38" s="154">
        <v>1</v>
      </c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38">
        <v>1</v>
      </c>
      <c r="R39" s="37">
        <v>2</v>
      </c>
      <c r="S39" s="154">
        <v>1</v>
      </c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35"/>
      <c r="R40" s="34">
        <v>1</v>
      </c>
      <c r="S40" s="154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38">
        <v>2</v>
      </c>
      <c r="R41" s="37">
        <v>3</v>
      </c>
      <c r="S41" s="154">
        <v>3</v>
      </c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35"/>
      <c r="R42" s="34">
        <v>2</v>
      </c>
      <c r="S42" s="154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38">
        <v>2</v>
      </c>
      <c r="R43" s="37">
        <v>4</v>
      </c>
      <c r="S43" s="154">
        <v>2</v>
      </c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35">
        <v>9</v>
      </c>
      <c r="R44" s="34">
        <v>16</v>
      </c>
      <c r="S44" s="154">
        <v>11</v>
      </c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38">
        <v>2</v>
      </c>
      <c r="R45" s="37">
        <v>2</v>
      </c>
      <c r="S45" s="154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35">
        <v>7</v>
      </c>
      <c r="R46" s="34">
        <v>6</v>
      </c>
      <c r="S46" s="154">
        <v>7</v>
      </c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38">
        <v>2</v>
      </c>
      <c r="R47" s="37">
        <v>1</v>
      </c>
      <c r="S47" s="154">
        <v>2</v>
      </c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35">
        <v>2</v>
      </c>
      <c r="R48" s="34">
        <v>2</v>
      </c>
      <c r="S48" s="154">
        <v>2</v>
      </c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38">
        <v>3</v>
      </c>
      <c r="R49" s="37">
        <v>1</v>
      </c>
      <c r="S49" s="154">
        <v>2</v>
      </c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35"/>
      <c r="R50" s="34">
        <v>2</v>
      </c>
      <c r="S50" s="154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38">
        <v>1</v>
      </c>
      <c r="R51" s="37">
        <v>1</v>
      </c>
      <c r="S51" s="154">
        <v>1</v>
      </c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35">
        <v>1</v>
      </c>
      <c r="R52" s="34">
        <v>1</v>
      </c>
      <c r="S52" s="154">
        <v>1</v>
      </c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38">
        <v>1</v>
      </c>
      <c r="R53" s="37">
        <v>1</v>
      </c>
      <c r="S53" s="154">
        <v>1</v>
      </c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35">
        <v>3</v>
      </c>
      <c r="R54" s="34">
        <v>2</v>
      </c>
      <c r="S54" s="154">
        <v>3</v>
      </c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38">
        <v>1</v>
      </c>
      <c r="R55" s="37">
        <v>1</v>
      </c>
      <c r="S55" s="154">
        <v>1</v>
      </c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35">
        <v>1</v>
      </c>
      <c r="R56" s="34">
        <v>1</v>
      </c>
      <c r="S56" s="154">
        <v>1</v>
      </c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38">
        <v>2</v>
      </c>
      <c r="R57" s="37">
        <v>1</v>
      </c>
      <c r="S57" s="154">
        <v>2</v>
      </c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35">
        <v>2</v>
      </c>
      <c r="R58" s="34">
        <v>1</v>
      </c>
      <c r="S58" s="154">
        <v>2</v>
      </c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38">
        <v>2</v>
      </c>
      <c r="R59" s="37">
        <v>2</v>
      </c>
      <c r="S59" s="154">
        <v>2</v>
      </c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35">
        <v>3</v>
      </c>
      <c r="R60" s="34">
        <v>3</v>
      </c>
      <c r="S60" s="154">
        <v>3</v>
      </c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38"/>
      <c r="R61" s="37">
        <v>2</v>
      </c>
      <c r="S61" s="154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35"/>
      <c r="R62" s="34">
        <v>2</v>
      </c>
      <c r="S62" s="154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38">
        <v>10</v>
      </c>
      <c r="R63" s="37">
        <v>2</v>
      </c>
      <c r="S63" s="154">
        <v>10</v>
      </c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35">
        <v>1</v>
      </c>
      <c r="R64" s="34">
        <v>1</v>
      </c>
      <c r="S64" s="154">
        <v>1</v>
      </c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38">
        <v>2</v>
      </c>
      <c r="R65" s="37">
        <v>3</v>
      </c>
      <c r="S65" s="154">
        <v>1</v>
      </c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35">
        <v>10</v>
      </c>
      <c r="R66" s="34">
        <v>8</v>
      </c>
      <c r="S66" s="154">
        <v>10</v>
      </c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38">
        <v>6</v>
      </c>
      <c r="R67" s="37">
        <v>8</v>
      </c>
      <c r="S67" s="154">
        <v>7</v>
      </c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35">
        <v>1</v>
      </c>
      <c r="R68" s="34">
        <v>3</v>
      </c>
      <c r="S68" s="154">
        <v>1</v>
      </c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38"/>
      <c r="R69" s="37">
        <v>1</v>
      </c>
      <c r="S69" s="154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35"/>
      <c r="R70" s="34">
        <v>1</v>
      </c>
      <c r="S70" s="154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38">
        <v>1</v>
      </c>
      <c r="R71" s="37">
        <v>2</v>
      </c>
      <c r="S71" s="154">
        <v>1</v>
      </c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35">
        <v>1</v>
      </c>
      <c r="R72" s="34">
        <v>1</v>
      </c>
      <c r="S72" s="154">
        <v>1</v>
      </c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38">
        <v>1</v>
      </c>
      <c r="R73" s="37">
        <v>1</v>
      </c>
      <c r="S73" s="154">
        <v>1</v>
      </c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35">
        <v>2</v>
      </c>
      <c r="R74" s="34">
        <v>1</v>
      </c>
      <c r="S74" s="154">
        <v>1</v>
      </c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38">
        <v>3</v>
      </c>
      <c r="R75" s="37">
        <v>3</v>
      </c>
      <c r="S75" s="154">
        <v>3</v>
      </c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35">
        <v>7</v>
      </c>
      <c r="R76" s="34">
        <v>6</v>
      </c>
      <c r="S76" s="154">
        <v>7</v>
      </c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38"/>
      <c r="R77" s="37">
        <v>1</v>
      </c>
      <c r="S77" s="154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42">
        <v>3</v>
      </c>
      <c r="R78" s="41">
        <v>1</v>
      </c>
      <c r="S78" s="155">
        <v>3</v>
      </c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101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  <c r="Q80" s="44"/>
    </row>
    <row r="81" spans="1:70" x14ac:dyDescent="0.35">
      <c r="A81" s="187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89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31">
        <v>27</v>
      </c>
      <c r="R83" s="30">
        <v>2</v>
      </c>
      <c r="S83" s="153">
        <v>27</v>
      </c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35">
        <v>5</v>
      </c>
      <c r="R84" s="34">
        <v>12</v>
      </c>
      <c r="S84" s="154">
        <v>5</v>
      </c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38"/>
      <c r="R85" s="37">
        <v>7</v>
      </c>
      <c r="S85" s="154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35">
        <v>2</v>
      </c>
      <c r="R86" s="34">
        <v>1</v>
      </c>
      <c r="S86" s="154">
        <v>2</v>
      </c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38">
        <v>1</v>
      </c>
      <c r="R87" s="37">
        <v>1</v>
      </c>
      <c r="S87" s="154">
        <v>1</v>
      </c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35">
        <v>9</v>
      </c>
      <c r="R88" s="34">
        <v>8</v>
      </c>
      <c r="S88" s="154">
        <v>9</v>
      </c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54">
        <v>3</v>
      </c>
      <c r="R89" s="53">
        <v>3</v>
      </c>
      <c r="S89" s="155">
        <v>3</v>
      </c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47</v>
      </c>
      <c r="R90" s="48">
        <f t="shared" si="72"/>
        <v>34</v>
      </c>
      <c r="S90" s="48">
        <f t="shared" si="72"/>
        <v>47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13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  <c r="Q91" s="44"/>
    </row>
    <row r="92" spans="1:70" x14ac:dyDescent="0.35">
      <c r="A92" s="187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88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58">
        <v>7</v>
      </c>
      <c r="R94" s="57">
        <v>3</v>
      </c>
      <c r="S94" s="156">
        <v>7</v>
      </c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38">
        <v>5</v>
      </c>
      <c r="R95" s="37">
        <v>5</v>
      </c>
      <c r="S95" s="154">
        <v>5</v>
      </c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35">
        <v>7</v>
      </c>
      <c r="R96" s="34">
        <v>5</v>
      </c>
      <c r="S96" s="154">
        <v>7</v>
      </c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38">
        <v>1</v>
      </c>
      <c r="R97" s="37">
        <v>2</v>
      </c>
      <c r="S97" s="154">
        <v>1</v>
      </c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35"/>
      <c r="R98" s="34">
        <v>1</v>
      </c>
      <c r="S98" s="154">
        <v>1</v>
      </c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38">
        <v>2</v>
      </c>
      <c r="R99" s="37">
        <v>1</v>
      </c>
      <c r="S99" s="154">
        <v>2</v>
      </c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81">
        <v>5</v>
      </c>
      <c r="R100" s="80">
        <v>0</v>
      </c>
      <c r="S100" s="157">
        <v>7</v>
      </c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38">
        <v>1</v>
      </c>
      <c r="R101" s="37">
        <v>1</v>
      </c>
      <c r="S101" s="154">
        <v>1</v>
      </c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35">
        <v>2</v>
      </c>
      <c r="R102" s="34">
        <v>2</v>
      </c>
      <c r="S102" s="154">
        <v>2</v>
      </c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81">
        <v>1</v>
      </c>
      <c r="R103" s="80">
        <v>0</v>
      </c>
      <c r="S103" s="157">
        <v>1</v>
      </c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35">
        <v>2</v>
      </c>
      <c r="R104" s="34">
        <v>3</v>
      </c>
      <c r="S104" s="154">
        <v>2</v>
      </c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38">
        <v>5</v>
      </c>
      <c r="R105" s="37">
        <v>3</v>
      </c>
      <c r="S105" s="154">
        <v>5</v>
      </c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35">
        <v>4</v>
      </c>
      <c r="R106" s="34">
        <v>3</v>
      </c>
      <c r="S106" s="154">
        <v>4</v>
      </c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38">
        <v>2</v>
      </c>
      <c r="R107" s="37">
        <v>1</v>
      </c>
      <c r="S107" s="154">
        <v>2</v>
      </c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35"/>
      <c r="R108" s="34">
        <v>2</v>
      </c>
      <c r="S108" s="154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38">
        <v>1</v>
      </c>
      <c r="R109" s="37">
        <v>2</v>
      </c>
      <c r="S109" s="154">
        <v>1</v>
      </c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35"/>
      <c r="R110" s="34">
        <v>1</v>
      </c>
      <c r="S110" s="154">
        <v>1</v>
      </c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38">
        <v>1</v>
      </c>
      <c r="R111" s="37">
        <v>1</v>
      </c>
      <c r="S111" s="154">
        <v>1</v>
      </c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35">
        <v>2</v>
      </c>
      <c r="R112" s="34">
        <v>2</v>
      </c>
      <c r="S112" s="154">
        <v>2</v>
      </c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38">
        <v>1</v>
      </c>
      <c r="R113" s="37">
        <v>0</v>
      </c>
      <c r="S113" s="154">
        <v>1</v>
      </c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81">
        <v>57</v>
      </c>
      <c r="R114" s="80">
        <v>0</v>
      </c>
      <c r="S114" s="157">
        <v>112</v>
      </c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54">
        <v>1</v>
      </c>
      <c r="R115" s="53">
        <v>1</v>
      </c>
      <c r="S115" s="155">
        <v>2</v>
      </c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47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workbookViewId="0">
      <selection activeCell="E9" sqref="A1:E9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58">
        <v>0</v>
      </c>
      <c r="C2" s="158">
        <v>863.8</v>
      </c>
      <c r="D2" s="158">
        <v>1179.8</v>
      </c>
      <c r="E2" s="158">
        <v>1072.5</v>
      </c>
      <c r="F2" s="158">
        <v>1179.8</v>
      </c>
      <c r="G2" s="158">
        <v>1233.4000000000001</v>
      </c>
      <c r="H2" s="158">
        <v>1126.2</v>
      </c>
      <c r="I2" s="158">
        <v>1126.2</v>
      </c>
      <c r="J2" s="158">
        <v>1126.2</v>
      </c>
      <c r="K2" s="158">
        <v>1018.9</v>
      </c>
      <c r="L2" s="158">
        <v>750.8</v>
      </c>
      <c r="M2" s="158">
        <v>1018.9</v>
      </c>
      <c r="N2" s="158">
        <v>1072.5</v>
      </c>
      <c r="O2" s="158">
        <v>1233.4000000000001</v>
      </c>
      <c r="P2" s="158">
        <v>1179.8</v>
      </c>
      <c r="Q2" s="158">
        <v>1126.2</v>
      </c>
      <c r="R2" s="158">
        <v>1179.8</v>
      </c>
      <c r="S2" s="158">
        <v>880.9</v>
      </c>
      <c r="T2" s="158">
        <v>0</v>
      </c>
      <c r="U2" s="158">
        <v>0</v>
      </c>
      <c r="V2" s="158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59">
        <v>0</v>
      </c>
      <c r="C5" s="159">
        <v>6</v>
      </c>
      <c r="D5" s="159">
        <v>335</v>
      </c>
      <c r="E5" s="159">
        <v>626</v>
      </c>
      <c r="F5" s="159">
        <v>828</v>
      </c>
      <c r="G5" s="159">
        <v>1187</v>
      </c>
      <c r="H5" s="159">
        <v>673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19</v>
      </c>
      <c r="G6" s="91">
        <v>18</v>
      </c>
      <c r="H6" s="91">
        <v>12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43.578947368421055</v>
      </c>
      <c r="G7" s="91">
        <f t="shared" si="2"/>
        <v>65.944444444444443</v>
      </c>
      <c r="H7" s="91">
        <f>H5/H6</f>
        <v>56.083333333333336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60">
        <f t="shared" ref="B8:F10" si="3">B5</f>
        <v>0</v>
      </c>
      <c r="C8" s="160">
        <f t="shared" si="3"/>
        <v>6</v>
      </c>
      <c r="D8" s="160">
        <f t="shared" si="3"/>
        <v>335</v>
      </c>
      <c r="E8" s="160">
        <f t="shared" si="3"/>
        <v>626</v>
      </c>
      <c r="F8" s="160">
        <f t="shared" si="3"/>
        <v>828</v>
      </c>
      <c r="G8" s="160">
        <f>G5</f>
        <v>1187</v>
      </c>
      <c r="H8" s="160">
        <v>1380.8000000000002</v>
      </c>
      <c r="I8" s="160">
        <v>1351.1999999999998</v>
      </c>
      <c r="J8" s="160">
        <v>1351.1999999999998</v>
      </c>
      <c r="K8" s="160">
        <v>1222.5999999999995</v>
      </c>
      <c r="L8" s="160">
        <v>900.79999999999927</v>
      </c>
      <c r="M8" s="160">
        <v>1222.6000000000004</v>
      </c>
      <c r="N8" s="160">
        <v>1286.8999999999996</v>
      </c>
      <c r="O8" s="160">
        <v>1479.8999999999996</v>
      </c>
      <c r="P8" s="160">
        <v>1415.6000000000004</v>
      </c>
      <c r="Q8" s="160">
        <v>1351.2000000000007</v>
      </c>
      <c r="R8" s="160">
        <v>1415.5999999999985</v>
      </c>
      <c r="S8" s="160">
        <v>1008.0999999999985</v>
      </c>
      <c r="T8" s="160">
        <v>0</v>
      </c>
      <c r="U8" s="160">
        <v>0</v>
      </c>
      <c r="V8" s="160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19</v>
      </c>
      <c r="G9" s="161">
        <f>G6</f>
        <v>18</v>
      </c>
      <c r="H9" s="161">
        <v>26</v>
      </c>
      <c r="I9" s="161">
        <v>26</v>
      </c>
      <c r="J9" s="161">
        <v>27</v>
      </c>
      <c r="K9" s="161">
        <v>25</v>
      </c>
      <c r="L9" s="161">
        <v>17</v>
      </c>
      <c r="M9" s="161">
        <v>24</v>
      </c>
      <c r="N9" s="161">
        <v>24</v>
      </c>
      <c r="O9" s="161">
        <v>27</v>
      </c>
      <c r="P9" s="161">
        <v>26</v>
      </c>
      <c r="Q9" s="161">
        <v>26</v>
      </c>
      <c r="R9" s="161">
        <v>26</v>
      </c>
      <c r="S9" s="161">
        <v>27</v>
      </c>
      <c r="T9" s="161">
        <v>0</v>
      </c>
      <c r="U9" s="161">
        <v>0</v>
      </c>
      <c r="V9" s="161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43.578947368421055</v>
      </c>
      <c r="G10" s="91">
        <f>G7</f>
        <v>65.944444444444443</v>
      </c>
      <c r="H10" s="91">
        <f t="shared" ref="H10:U10" si="4">IFERROR(H8/H9,0)</f>
        <v>53.107692307692318</v>
      </c>
      <c r="I10" s="91">
        <f t="shared" si="4"/>
        <v>51.969230769230762</v>
      </c>
      <c r="J10" s="91">
        <f t="shared" si="4"/>
        <v>50.044444444444437</v>
      </c>
      <c r="K10" s="91">
        <f t="shared" si="4"/>
        <v>48.903999999999975</v>
      </c>
      <c r="L10" s="91">
        <f t="shared" si="4"/>
        <v>52.988235294117601</v>
      </c>
      <c r="M10" s="91">
        <f t="shared" si="4"/>
        <v>50.941666666666684</v>
      </c>
      <c r="N10" s="91">
        <f t="shared" si="4"/>
        <v>53.620833333333316</v>
      </c>
      <c r="O10" s="91">
        <f t="shared" si="4"/>
        <v>54.811111111111096</v>
      </c>
      <c r="P10" s="91">
        <f t="shared" si="4"/>
        <v>54.446153846153862</v>
      </c>
      <c r="Q10" s="91">
        <f t="shared" si="4"/>
        <v>51.969230769230798</v>
      </c>
      <c r="R10" s="91">
        <f t="shared" si="4"/>
        <v>54.446153846153791</v>
      </c>
      <c r="S10" s="91">
        <f t="shared" si="4"/>
        <v>37.337037037036986</v>
      </c>
      <c r="T10" s="91">
        <f t="shared" si="4"/>
        <v>0</v>
      </c>
      <c r="U10" s="91">
        <f t="shared" si="4"/>
        <v>0</v>
      </c>
      <c r="V10" s="161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63" t="s">
        <v>161</v>
      </c>
      <c r="C12" s="163" t="s">
        <v>162</v>
      </c>
      <c r="D12" s="163" t="s">
        <v>163</v>
      </c>
      <c r="E12" s="163" t="s">
        <v>164</v>
      </c>
      <c r="F12" s="163" t="s">
        <v>165</v>
      </c>
      <c r="G12" s="163" t="s">
        <v>166</v>
      </c>
      <c r="H12" s="163" t="s">
        <v>167</v>
      </c>
      <c r="I12" s="163" t="s">
        <v>168</v>
      </c>
      <c r="J12" s="163" t="s">
        <v>169</v>
      </c>
      <c r="K12" s="163" t="s">
        <v>170</v>
      </c>
      <c r="L12" s="163" t="s">
        <v>171</v>
      </c>
      <c r="M12" s="163" t="s">
        <v>172</v>
      </c>
      <c r="N12" s="163" t="s">
        <v>173</v>
      </c>
      <c r="O12" s="163" t="s">
        <v>174</v>
      </c>
      <c r="P12" s="163" t="s">
        <v>175</v>
      </c>
      <c r="Q12" s="163" t="s">
        <v>176</v>
      </c>
      <c r="R12" s="163" t="s">
        <v>177</v>
      </c>
      <c r="S12" s="163" t="s">
        <v>178</v>
      </c>
      <c r="T12" s="163" t="s">
        <v>179</v>
      </c>
      <c r="U12" s="163" t="s">
        <v>180</v>
      </c>
      <c r="V12" s="163" t="s">
        <v>181</v>
      </c>
    </row>
    <row r="13" spans="1:45" s="97" customFormat="1" x14ac:dyDescent="0.35">
      <c r="A13" s="88" t="s">
        <v>187</v>
      </c>
      <c r="B13" s="158">
        <v>525</v>
      </c>
      <c r="C13" s="158">
        <v>20834.099999999999</v>
      </c>
      <c r="D13" s="158">
        <v>22670.6</v>
      </c>
      <c r="E13" s="158">
        <v>17825.7</v>
      </c>
      <c r="F13" s="158">
        <v>18975.599999999999</v>
      </c>
      <c r="G13" s="158">
        <v>18324.7</v>
      </c>
      <c r="H13" s="158">
        <v>19666.2</v>
      </c>
      <c r="I13" s="158">
        <v>16423</v>
      </c>
      <c r="J13" s="158">
        <v>9932.7999999999993</v>
      </c>
      <c r="K13" s="158">
        <v>16219.3</v>
      </c>
      <c r="L13" s="158">
        <v>13428.8</v>
      </c>
      <c r="M13" s="158">
        <v>15756.9</v>
      </c>
      <c r="N13" s="158">
        <v>16586.2</v>
      </c>
      <c r="O13" s="158">
        <v>18720.2</v>
      </c>
      <c r="P13" s="158">
        <v>18506.400000000001</v>
      </c>
      <c r="Q13" s="158">
        <v>18061.8</v>
      </c>
      <c r="R13" s="158">
        <v>18436.3</v>
      </c>
      <c r="S13" s="158">
        <v>18436.3</v>
      </c>
      <c r="T13" s="158">
        <v>6927.6</v>
      </c>
      <c r="U13" s="158">
        <v>0</v>
      </c>
      <c r="V13" s="158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59">
        <v>451</v>
      </c>
      <c r="C16" s="159">
        <v>7717</v>
      </c>
      <c r="D16" s="159">
        <v>7760</v>
      </c>
      <c r="E16" s="159">
        <v>12900</v>
      </c>
      <c r="F16" s="159">
        <v>20505</v>
      </c>
      <c r="G16" s="159">
        <v>17148</v>
      </c>
      <c r="H16" s="159">
        <v>8090</v>
      </c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18</v>
      </c>
      <c r="G17" s="91">
        <v>15</v>
      </c>
      <c r="H17" s="91">
        <v>8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H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1139.1666666666667</v>
      </c>
      <c r="G18" s="91">
        <f t="shared" si="6"/>
        <v>1143.2</v>
      </c>
      <c r="H18" s="91">
        <f t="shared" si="6"/>
        <v>1011.25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60">
        <f t="shared" ref="B19:F21" si="7">B16</f>
        <v>451</v>
      </c>
      <c r="C19" s="160">
        <f t="shared" si="7"/>
        <v>7717</v>
      </c>
      <c r="D19" s="160">
        <f t="shared" si="7"/>
        <v>7760</v>
      </c>
      <c r="E19" s="160">
        <f t="shared" si="7"/>
        <v>12900</v>
      </c>
      <c r="F19" s="160">
        <f t="shared" si="7"/>
        <v>20505</v>
      </c>
      <c r="G19" s="160">
        <f>G16</f>
        <v>17148</v>
      </c>
      <c r="H19" s="160">
        <v>18888.899999999994</v>
      </c>
      <c r="I19" s="160">
        <v>22431.199999999997</v>
      </c>
      <c r="J19" s="160">
        <v>19508.699999999997</v>
      </c>
      <c r="K19" s="160">
        <v>11653.100000000006</v>
      </c>
      <c r="L19" s="160">
        <v>9044.5</v>
      </c>
      <c r="M19" s="160">
        <v>19268.5</v>
      </c>
      <c r="N19" s="160">
        <v>19253.399999999994</v>
      </c>
      <c r="O19" s="160">
        <v>20981.600000000006</v>
      </c>
      <c r="P19" s="160">
        <v>20356.100000000006</v>
      </c>
      <c r="Q19" s="160">
        <v>22179.5</v>
      </c>
      <c r="R19" s="160">
        <v>22429.599999999977</v>
      </c>
      <c r="S19" s="160">
        <v>22250.799999999988</v>
      </c>
      <c r="T19" s="160">
        <v>11531.200000000012</v>
      </c>
      <c r="U19" s="160">
        <v>0</v>
      </c>
      <c r="V19" s="160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18</v>
      </c>
      <c r="G20" s="161">
        <f>G17</f>
        <v>15</v>
      </c>
      <c r="H20" s="161">
        <v>26</v>
      </c>
      <c r="I20" s="161">
        <v>26</v>
      </c>
      <c r="J20" s="161">
        <v>27</v>
      </c>
      <c r="K20" s="161">
        <v>25</v>
      </c>
      <c r="L20" s="161">
        <v>17</v>
      </c>
      <c r="M20" s="161">
        <v>24</v>
      </c>
      <c r="N20" s="161">
        <v>24</v>
      </c>
      <c r="O20" s="161">
        <v>27</v>
      </c>
      <c r="P20" s="161">
        <v>26</v>
      </c>
      <c r="Q20" s="161">
        <v>26</v>
      </c>
      <c r="R20" s="161">
        <v>26</v>
      </c>
      <c r="S20" s="161">
        <v>27</v>
      </c>
      <c r="T20" s="161">
        <v>26</v>
      </c>
      <c r="U20" s="161">
        <v>0</v>
      </c>
      <c r="V20" s="161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1139.1666666666667</v>
      </c>
      <c r="G21" s="91">
        <f>G18</f>
        <v>1143.2</v>
      </c>
      <c r="H21" s="91">
        <f t="shared" ref="H21:U21" si="8">IFERROR(H19/H20,0)</f>
        <v>726.49615384615367</v>
      </c>
      <c r="I21" s="91">
        <f t="shared" si="8"/>
        <v>862.73846153846148</v>
      </c>
      <c r="J21" s="91">
        <f t="shared" si="8"/>
        <v>722.54444444444437</v>
      </c>
      <c r="K21" s="91">
        <f t="shared" si="8"/>
        <v>466.12400000000025</v>
      </c>
      <c r="L21" s="91">
        <f t="shared" si="8"/>
        <v>532.02941176470586</v>
      </c>
      <c r="M21" s="91">
        <f t="shared" si="8"/>
        <v>802.85416666666663</v>
      </c>
      <c r="N21" s="91">
        <f t="shared" si="8"/>
        <v>802.2249999999998</v>
      </c>
      <c r="O21" s="91">
        <f t="shared" si="8"/>
        <v>777.09629629629649</v>
      </c>
      <c r="P21" s="91">
        <f t="shared" si="8"/>
        <v>782.92692307692334</v>
      </c>
      <c r="Q21" s="91">
        <f t="shared" si="8"/>
        <v>853.05769230769226</v>
      </c>
      <c r="R21" s="91">
        <f t="shared" si="8"/>
        <v>862.67692307692221</v>
      </c>
      <c r="S21" s="91">
        <f t="shared" si="8"/>
        <v>824.10370370370322</v>
      </c>
      <c r="T21" s="91">
        <f t="shared" si="8"/>
        <v>443.50769230769276</v>
      </c>
      <c r="U21" s="91">
        <f t="shared" si="8"/>
        <v>0</v>
      </c>
      <c r="V21" s="91">
        <v>0</v>
      </c>
    </row>
    <row r="22" spans="1:24" s="97" customFormat="1" x14ac:dyDescent="0.35"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4" s="97" customFormat="1" x14ac:dyDescent="0.35">
      <c r="A23" s="86" t="s">
        <v>190</v>
      </c>
      <c r="B23" s="163" t="s">
        <v>161</v>
      </c>
      <c r="C23" s="163" t="s">
        <v>162</v>
      </c>
      <c r="D23" s="163" t="s">
        <v>163</v>
      </c>
      <c r="E23" s="163" t="s">
        <v>164</v>
      </c>
      <c r="F23" s="163" t="s">
        <v>165</v>
      </c>
      <c r="G23" s="163" t="s">
        <v>166</v>
      </c>
      <c r="H23" s="163" t="s">
        <v>167</v>
      </c>
      <c r="I23" s="163" t="s">
        <v>168</v>
      </c>
      <c r="J23" s="163" t="s">
        <v>169</v>
      </c>
      <c r="K23" s="163" t="s">
        <v>170</v>
      </c>
      <c r="L23" s="163" t="s">
        <v>171</v>
      </c>
      <c r="M23" s="163" t="s">
        <v>172</v>
      </c>
      <c r="N23" s="163" t="s">
        <v>173</v>
      </c>
      <c r="O23" s="163" t="s">
        <v>174</v>
      </c>
      <c r="P23" s="163" t="s">
        <v>175</v>
      </c>
      <c r="Q23" s="163" t="s">
        <v>176</v>
      </c>
      <c r="R23" s="163" t="s">
        <v>177</v>
      </c>
      <c r="S23" s="163" t="s">
        <v>178</v>
      </c>
      <c r="T23" s="163" t="s">
        <v>179</v>
      </c>
      <c r="U23" s="163" t="s">
        <v>180</v>
      </c>
      <c r="V23" s="163" t="s">
        <v>181</v>
      </c>
    </row>
    <row r="24" spans="1:24" s="97" customFormat="1" x14ac:dyDescent="0.35">
      <c r="A24" s="88" t="s">
        <v>191</v>
      </c>
      <c r="B24" s="158">
        <v>0</v>
      </c>
      <c r="C24" s="158">
        <v>23790.799999999999</v>
      </c>
      <c r="D24" s="158">
        <v>40459.599999999999</v>
      </c>
      <c r="E24" s="158">
        <v>43137.2</v>
      </c>
      <c r="F24" s="158">
        <v>53698.9</v>
      </c>
      <c r="G24" s="158">
        <v>51090</v>
      </c>
      <c r="H24" s="158">
        <v>50867.3</v>
      </c>
      <c r="I24" s="158">
        <v>51443.8</v>
      </c>
      <c r="J24" s="158">
        <v>23679.5</v>
      </c>
      <c r="K24" s="158">
        <v>29834.799999999999</v>
      </c>
      <c r="L24" s="158">
        <v>32625.4</v>
      </c>
      <c r="M24" s="158">
        <v>39296.400000000001</v>
      </c>
      <c r="N24" s="158">
        <v>36347.199999999997</v>
      </c>
      <c r="O24" s="158">
        <v>47353.1</v>
      </c>
      <c r="P24" s="158">
        <v>47765.8</v>
      </c>
      <c r="Q24" s="158">
        <v>28821.3</v>
      </c>
      <c r="R24" s="158">
        <v>50085.9</v>
      </c>
      <c r="S24" s="158">
        <v>46403</v>
      </c>
      <c r="T24" s="158">
        <v>32170.6</v>
      </c>
      <c r="U24" s="158">
        <v>0</v>
      </c>
      <c r="V24" s="158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59">
        <v>0</v>
      </c>
      <c r="C27" s="159">
        <v>4183</v>
      </c>
      <c r="D27" s="159">
        <v>12512</v>
      </c>
      <c r="E27" s="159">
        <v>10962</v>
      </c>
      <c r="F27" s="159">
        <v>17136</v>
      </c>
      <c r="G27" s="159">
        <v>48321</v>
      </c>
      <c r="H27" s="159">
        <v>22176</v>
      </c>
      <c r="I27" s="159" t="s">
        <v>316</v>
      </c>
      <c r="J27" s="159" t="s">
        <v>316</v>
      </c>
      <c r="K27" s="159" t="s">
        <v>316</v>
      </c>
      <c r="L27" s="159" t="s">
        <v>316</v>
      </c>
      <c r="M27" s="159" t="s">
        <v>316</v>
      </c>
      <c r="N27" s="159" t="s">
        <v>316</v>
      </c>
      <c r="O27" s="159" t="s">
        <v>316</v>
      </c>
      <c r="P27" s="159" t="s">
        <v>316</v>
      </c>
      <c r="Q27" s="159" t="s">
        <v>316</v>
      </c>
      <c r="R27" s="159" t="s">
        <v>316</v>
      </c>
      <c r="S27" s="159" t="s">
        <v>316</v>
      </c>
      <c r="T27" s="159" t="s">
        <v>316</v>
      </c>
      <c r="U27" s="159" t="s">
        <v>316</v>
      </c>
      <c r="V27" s="159" t="s">
        <v>316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12</v>
      </c>
      <c r="G28" s="91">
        <v>18</v>
      </c>
      <c r="H28" s="91">
        <v>7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H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1428</v>
      </c>
      <c r="G29" s="91">
        <f t="shared" si="10"/>
        <v>2684.5</v>
      </c>
      <c r="H29" s="91">
        <f t="shared" si="10"/>
        <v>3168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60">
        <f t="shared" ref="B30:F32" si="11">B27</f>
        <v>0</v>
      </c>
      <c r="C30" s="160">
        <f t="shared" si="11"/>
        <v>4183</v>
      </c>
      <c r="D30" s="160">
        <f t="shared" si="11"/>
        <v>12512</v>
      </c>
      <c r="E30" s="160">
        <f t="shared" si="11"/>
        <v>10962</v>
      </c>
      <c r="F30" s="160">
        <f t="shared" si="11"/>
        <v>17136</v>
      </c>
      <c r="G30" s="160">
        <f>G27</f>
        <v>48321</v>
      </c>
      <c r="H30" s="160">
        <v>82173.799999999988</v>
      </c>
      <c r="I30" s="160">
        <v>78262.200000000012</v>
      </c>
      <c r="J30" s="160">
        <v>34999.099999999977</v>
      </c>
      <c r="K30" s="160">
        <v>36867.700000000012</v>
      </c>
      <c r="L30" s="160">
        <v>16817.900000000023</v>
      </c>
      <c r="M30" s="160">
        <v>37846.099999999977</v>
      </c>
      <c r="N30" s="160">
        <v>35196.900000000023</v>
      </c>
      <c r="O30" s="160">
        <v>17396.900000000023</v>
      </c>
      <c r="P30" s="160">
        <v>79252.700000000012</v>
      </c>
      <c r="Q30" s="160">
        <v>78038.400000000023</v>
      </c>
      <c r="R30" s="160">
        <v>9589.9000000000233</v>
      </c>
      <c r="S30" s="160">
        <v>78190.400000000023</v>
      </c>
      <c r="T30" s="160">
        <v>51124.699999999837</v>
      </c>
      <c r="U30" s="160">
        <v>63163.099999999977</v>
      </c>
      <c r="V30" s="160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12</v>
      </c>
      <c r="G31" s="161">
        <f>G28</f>
        <v>18</v>
      </c>
      <c r="H31" s="161">
        <v>26</v>
      </c>
      <c r="I31" s="161">
        <v>26</v>
      </c>
      <c r="J31" s="161">
        <v>27</v>
      </c>
      <c r="K31" s="161">
        <v>25</v>
      </c>
      <c r="L31" s="161">
        <v>17</v>
      </c>
      <c r="M31" s="161">
        <v>24</v>
      </c>
      <c r="N31" s="161">
        <v>24</v>
      </c>
      <c r="O31" s="161">
        <v>27</v>
      </c>
      <c r="P31" s="161">
        <v>26</v>
      </c>
      <c r="Q31" s="161">
        <v>26</v>
      </c>
      <c r="R31" s="161">
        <v>26</v>
      </c>
      <c r="S31" s="161">
        <v>27</v>
      </c>
      <c r="T31" s="161">
        <v>26</v>
      </c>
      <c r="U31" s="161">
        <v>26</v>
      </c>
      <c r="V31" s="161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1428</v>
      </c>
      <c r="G32" s="91">
        <f>G29</f>
        <v>2684.5</v>
      </c>
      <c r="H32" s="91">
        <f t="shared" ref="H32:U32" si="12">IFERROR(H30/H31,0)</f>
        <v>3160.5307692307688</v>
      </c>
      <c r="I32" s="91">
        <f t="shared" si="12"/>
        <v>3010.084615384616</v>
      </c>
      <c r="J32" s="91">
        <f t="shared" si="12"/>
        <v>1296.2629629629621</v>
      </c>
      <c r="K32" s="91">
        <f t="shared" si="12"/>
        <v>1474.7080000000005</v>
      </c>
      <c r="L32" s="91">
        <f t="shared" si="12"/>
        <v>989.28823529411898</v>
      </c>
      <c r="M32" s="91">
        <f t="shared" si="12"/>
        <v>1576.9208333333324</v>
      </c>
      <c r="N32" s="91">
        <f t="shared" si="12"/>
        <v>1466.537500000001</v>
      </c>
      <c r="O32" s="91">
        <f t="shared" si="12"/>
        <v>644.32962962963052</v>
      </c>
      <c r="P32" s="91">
        <f t="shared" si="12"/>
        <v>3048.1807692307698</v>
      </c>
      <c r="Q32" s="91">
        <f t="shared" si="12"/>
        <v>3001.4769230769239</v>
      </c>
      <c r="R32" s="91">
        <f t="shared" si="12"/>
        <v>368.84230769230857</v>
      </c>
      <c r="S32" s="91">
        <f t="shared" si="12"/>
        <v>2895.9407407407416</v>
      </c>
      <c r="T32" s="91">
        <f t="shared" si="12"/>
        <v>1966.3346153846092</v>
      </c>
      <c r="U32" s="91">
        <f t="shared" si="12"/>
        <v>2429.349999999999</v>
      </c>
      <c r="V32" s="91">
        <v>0</v>
      </c>
    </row>
    <row r="33" spans="1:24" s="97" customFormat="1" x14ac:dyDescent="0.35"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  <row r="34" spans="1:24" s="97" customFormat="1" x14ac:dyDescent="0.35">
      <c r="A34" s="86" t="s">
        <v>18</v>
      </c>
      <c r="B34" s="163" t="s">
        <v>161</v>
      </c>
      <c r="C34" s="163" t="s">
        <v>162</v>
      </c>
      <c r="D34" s="163" t="s">
        <v>163</v>
      </c>
      <c r="E34" s="163" t="s">
        <v>164</v>
      </c>
      <c r="F34" s="163" t="s">
        <v>165</v>
      </c>
      <c r="G34" s="163" t="s">
        <v>166</v>
      </c>
      <c r="H34" s="163" t="s">
        <v>167</v>
      </c>
      <c r="I34" s="163" t="s">
        <v>168</v>
      </c>
      <c r="J34" s="163" t="s">
        <v>169</v>
      </c>
      <c r="K34" s="163" t="s">
        <v>170</v>
      </c>
      <c r="L34" s="163" t="s">
        <v>171</v>
      </c>
      <c r="M34" s="163" t="s">
        <v>172</v>
      </c>
      <c r="N34" s="163" t="s">
        <v>173</v>
      </c>
      <c r="O34" s="163" t="s">
        <v>174</v>
      </c>
      <c r="P34" s="163" t="s">
        <v>175</v>
      </c>
      <c r="Q34" s="163" t="s">
        <v>176</v>
      </c>
      <c r="R34" s="163" t="s">
        <v>177</v>
      </c>
      <c r="S34" s="163" t="s">
        <v>178</v>
      </c>
      <c r="T34" s="163" t="s">
        <v>179</v>
      </c>
      <c r="U34" s="163" t="s">
        <v>180</v>
      </c>
      <c r="V34" s="163" t="s">
        <v>181</v>
      </c>
    </row>
    <row r="35" spans="1:24" s="97" customFormat="1" x14ac:dyDescent="0.35">
      <c r="A35" s="88" t="s">
        <v>182</v>
      </c>
      <c r="B35" s="158">
        <v>0</v>
      </c>
      <c r="C35" s="158">
        <v>37.6</v>
      </c>
      <c r="D35" s="158">
        <v>182.3</v>
      </c>
      <c r="E35" s="158">
        <v>245.6</v>
      </c>
      <c r="F35" s="158">
        <v>244.6</v>
      </c>
      <c r="G35" s="158">
        <v>234.2</v>
      </c>
      <c r="H35" s="158">
        <v>208.9</v>
      </c>
      <c r="I35" s="158">
        <v>242.1</v>
      </c>
      <c r="J35" s="158">
        <v>94.8</v>
      </c>
      <c r="K35" s="158">
        <v>159.4</v>
      </c>
      <c r="L35" s="158">
        <v>144.19999999999999</v>
      </c>
      <c r="M35" s="158">
        <v>164.2</v>
      </c>
      <c r="N35" s="158">
        <v>141.80000000000001</v>
      </c>
      <c r="O35" s="158">
        <v>208.7</v>
      </c>
      <c r="P35" s="158">
        <v>206.7</v>
      </c>
      <c r="Q35" s="158">
        <v>189.5</v>
      </c>
      <c r="R35" s="158">
        <v>207.3</v>
      </c>
      <c r="S35" s="158">
        <v>214.8</v>
      </c>
      <c r="T35" s="158">
        <v>143.6</v>
      </c>
      <c r="U35" s="158">
        <v>24.7</v>
      </c>
      <c r="V35" s="158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59">
        <v>0</v>
      </c>
      <c r="C38" s="159">
        <v>0</v>
      </c>
      <c r="D38" s="159">
        <v>4</v>
      </c>
      <c r="E38" s="159">
        <v>69</v>
      </c>
      <c r="F38" s="159">
        <v>171</v>
      </c>
      <c r="G38" s="159">
        <v>118</v>
      </c>
      <c r="H38" s="159">
        <v>20</v>
      </c>
      <c r="I38" s="159" t="s">
        <v>316</v>
      </c>
      <c r="J38" s="159" t="s">
        <v>316</v>
      </c>
      <c r="K38" s="159" t="s">
        <v>316</v>
      </c>
      <c r="L38" s="159" t="s">
        <v>316</v>
      </c>
      <c r="M38" s="159" t="s">
        <v>316</v>
      </c>
      <c r="N38" s="159" t="s">
        <v>316</v>
      </c>
      <c r="O38" s="159" t="s">
        <v>316</v>
      </c>
      <c r="P38" s="159" t="s">
        <v>316</v>
      </c>
      <c r="Q38" s="159" t="s">
        <v>316</v>
      </c>
      <c r="R38" s="159" t="s">
        <v>316</v>
      </c>
      <c r="S38" s="159" t="s">
        <v>316</v>
      </c>
      <c r="T38" s="159" t="s">
        <v>316</v>
      </c>
      <c r="U38" s="159" t="s">
        <v>316</v>
      </c>
      <c r="V38" s="159" t="s">
        <v>316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19</v>
      </c>
      <c r="G39" s="91">
        <v>15</v>
      </c>
      <c r="H39" s="91">
        <v>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H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9</v>
      </c>
      <c r="G40" s="91">
        <f t="shared" si="14"/>
        <v>7.8666666666666663</v>
      </c>
      <c r="H40" s="91">
        <f t="shared" si="14"/>
        <v>3.3333333333333335</v>
      </c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60">
        <f t="shared" ref="B41:F43" si="15">B38</f>
        <v>0</v>
      </c>
      <c r="C41" s="160">
        <f t="shared" si="15"/>
        <v>0</v>
      </c>
      <c r="D41" s="160">
        <f t="shared" si="15"/>
        <v>4</v>
      </c>
      <c r="E41" s="160">
        <f t="shared" si="15"/>
        <v>69</v>
      </c>
      <c r="F41" s="160">
        <f t="shared" si="15"/>
        <v>171</v>
      </c>
      <c r="G41" s="160">
        <f>G38</f>
        <v>118</v>
      </c>
      <c r="H41" s="160">
        <v>131</v>
      </c>
      <c r="I41" s="160">
        <v>258.89999999999998</v>
      </c>
      <c r="J41" s="160">
        <v>221.69999999999993</v>
      </c>
      <c r="K41" s="160">
        <v>198.79999999999995</v>
      </c>
      <c r="L41" s="160">
        <v>264.70000000000005</v>
      </c>
      <c r="M41" s="160">
        <v>107.79999999999995</v>
      </c>
      <c r="N41" s="160">
        <v>137.59999999999991</v>
      </c>
      <c r="O41" s="160">
        <v>221</v>
      </c>
      <c r="P41" s="160">
        <v>256.00000000000023</v>
      </c>
      <c r="Q41" s="160">
        <v>267.40000000000009</v>
      </c>
      <c r="R41" s="160">
        <v>247.69999999999982</v>
      </c>
      <c r="S41" s="160">
        <v>170.19999999999982</v>
      </c>
      <c r="T41" s="160">
        <v>357.5</v>
      </c>
      <c r="U41" s="160">
        <v>92.800000000000182</v>
      </c>
      <c r="V41" s="160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19</v>
      </c>
      <c r="G42" s="161">
        <f>G39</f>
        <v>15</v>
      </c>
      <c r="H42" s="161">
        <v>26</v>
      </c>
      <c r="I42" s="161">
        <v>26</v>
      </c>
      <c r="J42" s="161">
        <v>27</v>
      </c>
      <c r="K42" s="161">
        <v>25</v>
      </c>
      <c r="L42" s="161">
        <v>17</v>
      </c>
      <c r="M42" s="161">
        <v>24</v>
      </c>
      <c r="N42" s="161">
        <v>24</v>
      </c>
      <c r="O42" s="161">
        <v>27</v>
      </c>
      <c r="P42" s="161">
        <v>26</v>
      </c>
      <c r="Q42" s="161">
        <v>26</v>
      </c>
      <c r="R42" s="161">
        <v>26</v>
      </c>
      <c r="S42" s="161">
        <v>27</v>
      </c>
      <c r="T42" s="161">
        <v>26</v>
      </c>
      <c r="U42" s="161">
        <v>26</v>
      </c>
      <c r="V42" s="161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9</v>
      </c>
      <c r="G43" s="91">
        <f>G40</f>
        <v>7.8666666666666663</v>
      </c>
      <c r="H43" s="91">
        <f t="shared" ref="H43:U43" si="16">IFERROR(H41/H42,0)</f>
        <v>5.0384615384615383</v>
      </c>
      <c r="I43" s="91">
        <f t="shared" si="16"/>
        <v>9.957692307692307</v>
      </c>
      <c r="J43" s="91">
        <f t="shared" si="16"/>
        <v>8.2111111111111086</v>
      </c>
      <c r="K43" s="91">
        <f t="shared" si="16"/>
        <v>7.9519999999999982</v>
      </c>
      <c r="L43" s="91">
        <f t="shared" si="16"/>
        <v>15.570588235294121</v>
      </c>
      <c r="M43" s="91">
        <f t="shared" si="16"/>
        <v>4.4916666666666645</v>
      </c>
      <c r="N43" s="91">
        <f t="shared" si="16"/>
        <v>5.7333333333333298</v>
      </c>
      <c r="O43" s="91">
        <f t="shared" si="16"/>
        <v>8.1851851851851851</v>
      </c>
      <c r="P43" s="91">
        <f t="shared" si="16"/>
        <v>9.8461538461538556</v>
      </c>
      <c r="Q43" s="91">
        <f t="shared" si="16"/>
        <v>10.284615384615389</v>
      </c>
      <c r="R43" s="91">
        <f t="shared" si="16"/>
        <v>9.5269230769230706</v>
      </c>
      <c r="S43" s="91">
        <f t="shared" si="16"/>
        <v>6.3037037037036967</v>
      </c>
      <c r="T43" s="91">
        <f t="shared" si="16"/>
        <v>13.75</v>
      </c>
      <c r="U43" s="91">
        <f t="shared" si="16"/>
        <v>3.5692307692307761</v>
      </c>
      <c r="V43" s="91">
        <v>0</v>
      </c>
    </row>
    <row r="44" spans="1:24" s="97" customFormat="1" x14ac:dyDescent="0.35"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</row>
    <row r="45" spans="1:24" s="97" customFormat="1" x14ac:dyDescent="0.35">
      <c r="A45" s="86" t="s">
        <v>195</v>
      </c>
      <c r="B45" s="163" t="s">
        <v>161</v>
      </c>
      <c r="C45" s="163" t="s">
        <v>162</v>
      </c>
      <c r="D45" s="163" t="s">
        <v>163</v>
      </c>
      <c r="E45" s="163" t="s">
        <v>164</v>
      </c>
      <c r="F45" s="163" t="s">
        <v>165</v>
      </c>
      <c r="G45" s="163" t="s">
        <v>166</v>
      </c>
      <c r="H45" s="163" t="s">
        <v>167</v>
      </c>
      <c r="I45" s="163" t="s">
        <v>168</v>
      </c>
      <c r="J45" s="163" t="s">
        <v>169</v>
      </c>
      <c r="K45" s="163" t="s">
        <v>170</v>
      </c>
      <c r="L45" s="163" t="s">
        <v>171</v>
      </c>
      <c r="M45" s="163" t="s">
        <v>172</v>
      </c>
      <c r="N45" s="163" t="s">
        <v>173</v>
      </c>
      <c r="O45" s="163" t="s">
        <v>174</v>
      </c>
      <c r="P45" s="163" t="s">
        <v>175</v>
      </c>
      <c r="Q45" s="163" t="s">
        <v>176</v>
      </c>
      <c r="R45" s="163" t="s">
        <v>177</v>
      </c>
      <c r="S45" s="163" t="s">
        <v>178</v>
      </c>
      <c r="T45" s="163" t="s">
        <v>179</v>
      </c>
      <c r="U45" s="163" t="s">
        <v>180</v>
      </c>
      <c r="V45" s="163" t="s">
        <v>181</v>
      </c>
    </row>
    <row r="46" spans="1:24" s="97" customFormat="1" x14ac:dyDescent="0.35">
      <c r="A46" s="88" t="s">
        <v>187</v>
      </c>
      <c r="B46" s="158">
        <v>0</v>
      </c>
      <c r="C46" s="158">
        <v>3214.2</v>
      </c>
      <c r="D46" s="158">
        <v>13023</v>
      </c>
      <c r="E46" s="158">
        <v>16802.400000000001</v>
      </c>
      <c r="F46" s="158">
        <v>21570.9</v>
      </c>
      <c r="G46" s="158">
        <v>25302.6</v>
      </c>
      <c r="H46" s="158">
        <v>23404.3</v>
      </c>
      <c r="I46" s="158">
        <v>25758.799999999999</v>
      </c>
      <c r="J46" s="158">
        <v>5050.5</v>
      </c>
      <c r="K46" s="158">
        <v>14292</v>
      </c>
      <c r="L46" s="158">
        <v>13072.2</v>
      </c>
      <c r="M46" s="158">
        <v>17125.599999999999</v>
      </c>
      <c r="N46" s="158">
        <v>16719.900000000001</v>
      </c>
      <c r="O46" s="158">
        <v>19231.099999999999</v>
      </c>
      <c r="P46" s="158">
        <v>18713.3</v>
      </c>
      <c r="Q46" s="158">
        <v>16253.7</v>
      </c>
      <c r="R46" s="158">
        <v>20606.2</v>
      </c>
      <c r="S46" s="158">
        <v>19408.2</v>
      </c>
      <c r="T46" s="158">
        <v>16708.7</v>
      </c>
      <c r="U46" s="158">
        <v>0</v>
      </c>
      <c r="V46" s="158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59">
        <v>0</v>
      </c>
      <c r="C49" s="159">
        <v>0</v>
      </c>
      <c r="D49" s="159">
        <v>2640</v>
      </c>
      <c r="E49" s="159">
        <v>5934</v>
      </c>
      <c r="F49" s="159">
        <v>7364</v>
      </c>
      <c r="G49" s="159">
        <v>15912</v>
      </c>
      <c r="H49" s="159">
        <v>6538</v>
      </c>
      <c r="I49" s="159" t="s">
        <v>316</v>
      </c>
      <c r="J49" s="159" t="s">
        <v>316</v>
      </c>
      <c r="K49" s="159" t="s">
        <v>316</v>
      </c>
      <c r="L49" s="159" t="s">
        <v>316</v>
      </c>
      <c r="M49" s="159" t="s">
        <v>316</v>
      </c>
      <c r="N49" s="159" t="s">
        <v>316</v>
      </c>
      <c r="O49" s="159" t="s">
        <v>316</v>
      </c>
      <c r="P49" s="159" t="s">
        <v>316</v>
      </c>
      <c r="Q49" s="159" t="s">
        <v>316</v>
      </c>
      <c r="R49" s="159" t="s">
        <v>316</v>
      </c>
      <c r="S49" s="159" t="s">
        <v>316</v>
      </c>
      <c r="T49" s="159" t="s">
        <v>316</v>
      </c>
      <c r="U49" s="159" t="s">
        <v>316</v>
      </c>
      <c r="V49" s="159" t="s">
        <v>316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12</v>
      </c>
      <c r="G50" s="91">
        <v>18</v>
      </c>
      <c r="H50" s="91">
        <v>11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H51" si="18">IFERROR(C49/C50,0)</f>
        <v>0</v>
      </c>
      <c r="D51" s="91">
        <f t="shared" si="18"/>
        <v>293.33333333333331</v>
      </c>
      <c r="E51" s="91">
        <f t="shared" si="18"/>
        <v>349.05882352941177</v>
      </c>
      <c r="F51" s="91">
        <f t="shared" si="18"/>
        <v>613.66666666666663</v>
      </c>
      <c r="G51" s="91">
        <f t="shared" si="18"/>
        <v>884</v>
      </c>
      <c r="H51" s="91">
        <f t="shared" si="18"/>
        <v>594.36363636363637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60">
        <f t="shared" ref="B52:F54" si="19">B49</f>
        <v>0</v>
      </c>
      <c r="C52" s="160">
        <f t="shared" si="19"/>
        <v>0</v>
      </c>
      <c r="D52" s="160">
        <f t="shared" si="19"/>
        <v>2640</v>
      </c>
      <c r="E52" s="160">
        <f t="shared" si="19"/>
        <v>5934</v>
      </c>
      <c r="F52" s="160">
        <f t="shared" si="19"/>
        <v>7364</v>
      </c>
      <c r="G52" s="160">
        <f>G49</f>
        <v>15912</v>
      </c>
      <c r="H52" s="160">
        <v>36911.899999999994</v>
      </c>
      <c r="I52" s="160">
        <v>29266.699999999997</v>
      </c>
      <c r="J52" s="160">
        <v>21139.099999999991</v>
      </c>
      <c r="K52" s="160">
        <v>14959.100000000006</v>
      </c>
      <c r="L52" s="160">
        <v>0</v>
      </c>
      <c r="M52" s="160">
        <v>16611.700000000012</v>
      </c>
      <c r="N52" s="160">
        <v>18899.899999999994</v>
      </c>
      <c r="O52" s="160">
        <v>2998.1000000000058</v>
      </c>
      <c r="P52" s="160">
        <v>30294.200000000012</v>
      </c>
      <c r="Q52" s="160">
        <v>31306.700000000012</v>
      </c>
      <c r="R52" s="160">
        <v>17136.5</v>
      </c>
      <c r="S52" s="160">
        <v>1306.7999999999884</v>
      </c>
      <c r="T52" s="160">
        <v>46324.5</v>
      </c>
      <c r="U52" s="160">
        <v>7252.5</v>
      </c>
      <c r="V52" s="160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12</v>
      </c>
      <c r="G53" s="161">
        <f>G50</f>
        <v>18</v>
      </c>
      <c r="H53" s="161">
        <v>26</v>
      </c>
      <c r="I53" s="161">
        <v>26</v>
      </c>
      <c r="J53" s="161">
        <v>27</v>
      </c>
      <c r="K53" s="161">
        <v>25</v>
      </c>
      <c r="L53" s="161">
        <v>17</v>
      </c>
      <c r="M53" s="161">
        <v>24</v>
      </c>
      <c r="N53" s="161">
        <v>24</v>
      </c>
      <c r="O53" s="161">
        <v>27</v>
      </c>
      <c r="P53" s="161">
        <v>26</v>
      </c>
      <c r="Q53" s="161">
        <v>26</v>
      </c>
      <c r="R53" s="161">
        <v>26</v>
      </c>
      <c r="S53" s="161">
        <v>27</v>
      </c>
      <c r="T53" s="161">
        <v>26</v>
      </c>
      <c r="U53" s="161">
        <v>26</v>
      </c>
      <c r="V53" s="161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293.33333333333331</v>
      </c>
      <c r="E54" s="91">
        <f t="shared" si="19"/>
        <v>349.05882352941177</v>
      </c>
      <c r="F54" s="91">
        <f t="shared" si="19"/>
        <v>613.66666666666663</v>
      </c>
      <c r="G54" s="91">
        <f>G51</f>
        <v>884</v>
      </c>
      <c r="H54" s="91">
        <f t="shared" ref="H54:V54" si="20">IFERROR(H52/H53,0)</f>
        <v>1419.6884615384613</v>
      </c>
      <c r="I54" s="91">
        <f t="shared" si="20"/>
        <v>1125.6423076923077</v>
      </c>
      <c r="J54" s="91">
        <f t="shared" si="20"/>
        <v>782.92962962962929</v>
      </c>
      <c r="K54" s="91">
        <f t="shared" si="20"/>
        <v>598.36400000000026</v>
      </c>
      <c r="L54" s="91">
        <f t="shared" si="20"/>
        <v>0</v>
      </c>
      <c r="M54" s="91">
        <f t="shared" si="20"/>
        <v>692.15416666666715</v>
      </c>
      <c r="N54" s="91">
        <f t="shared" si="20"/>
        <v>787.49583333333305</v>
      </c>
      <c r="O54" s="91">
        <f t="shared" si="20"/>
        <v>111.04074074074096</v>
      </c>
      <c r="P54" s="91">
        <f t="shared" si="20"/>
        <v>1165.1615384615388</v>
      </c>
      <c r="Q54" s="91">
        <f t="shared" si="20"/>
        <v>1204.1038461538467</v>
      </c>
      <c r="R54" s="91">
        <f t="shared" si="20"/>
        <v>659.09615384615381</v>
      </c>
      <c r="S54" s="91">
        <f t="shared" si="20"/>
        <v>48.399999999999572</v>
      </c>
      <c r="T54" s="91">
        <f t="shared" si="20"/>
        <v>1781.7115384615386</v>
      </c>
      <c r="U54" s="91">
        <f t="shared" si="20"/>
        <v>278.94230769230768</v>
      </c>
      <c r="V54" s="91">
        <f t="shared" si="20"/>
        <v>0</v>
      </c>
    </row>
    <row r="55" spans="1:24" s="97" customFormat="1" x14ac:dyDescent="0.35"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</row>
    <row r="56" spans="1:24" s="97" customFormat="1" x14ac:dyDescent="0.35">
      <c r="A56" s="86" t="s">
        <v>17</v>
      </c>
      <c r="B56" s="163" t="s">
        <v>161</v>
      </c>
      <c r="C56" s="163" t="s">
        <v>162</v>
      </c>
      <c r="D56" s="163" t="s">
        <v>163</v>
      </c>
      <c r="E56" s="163" t="s">
        <v>164</v>
      </c>
      <c r="F56" s="163" t="s">
        <v>165</v>
      </c>
      <c r="G56" s="163" t="s">
        <v>166</v>
      </c>
      <c r="H56" s="163" t="s">
        <v>167</v>
      </c>
      <c r="I56" s="163" t="s">
        <v>168</v>
      </c>
      <c r="J56" s="163" t="s">
        <v>169</v>
      </c>
      <c r="K56" s="163" t="s">
        <v>170</v>
      </c>
      <c r="L56" s="163" t="s">
        <v>171</v>
      </c>
      <c r="M56" s="163" t="s">
        <v>172</v>
      </c>
      <c r="N56" s="163" t="s">
        <v>173</v>
      </c>
      <c r="O56" s="163" t="s">
        <v>174</v>
      </c>
      <c r="P56" s="163" t="s">
        <v>175</v>
      </c>
      <c r="Q56" s="163" t="s">
        <v>176</v>
      </c>
      <c r="R56" s="163" t="s">
        <v>177</v>
      </c>
      <c r="S56" s="163" t="s">
        <v>178</v>
      </c>
      <c r="T56" s="163" t="s">
        <v>179</v>
      </c>
      <c r="U56" s="163" t="s">
        <v>180</v>
      </c>
      <c r="V56" s="163" t="s">
        <v>181</v>
      </c>
    </row>
    <row r="57" spans="1:24" s="97" customFormat="1" x14ac:dyDescent="0.35">
      <c r="A57" s="88" t="s">
        <v>187</v>
      </c>
      <c r="B57" s="158">
        <v>0</v>
      </c>
      <c r="C57" s="158">
        <v>0</v>
      </c>
      <c r="D57" s="158">
        <v>1569.7</v>
      </c>
      <c r="E57" s="158">
        <v>41547.599999999999</v>
      </c>
      <c r="F57" s="158">
        <v>40555.9</v>
      </c>
      <c r="G57" s="158">
        <v>53509.1</v>
      </c>
      <c r="H57" s="158">
        <v>48395.4</v>
      </c>
      <c r="I57" s="158">
        <v>63752.2</v>
      </c>
      <c r="J57" s="158">
        <v>30682.5</v>
      </c>
      <c r="K57" s="158">
        <v>21647.599999999999</v>
      </c>
      <c r="L57" s="158">
        <v>21868.400000000001</v>
      </c>
      <c r="M57" s="158">
        <v>21901.200000000001</v>
      </c>
      <c r="N57" s="158">
        <v>17880.3</v>
      </c>
      <c r="O57" s="158">
        <v>33443.599999999999</v>
      </c>
      <c r="P57" s="158">
        <v>38221.300000000003</v>
      </c>
      <c r="Q57" s="158">
        <v>41178.199999999997</v>
      </c>
      <c r="R57" s="158">
        <v>42703.199999999997</v>
      </c>
      <c r="S57" s="158">
        <v>46178.5</v>
      </c>
      <c r="T57" s="158">
        <v>46178.5</v>
      </c>
      <c r="U57" s="158">
        <v>20318.5</v>
      </c>
      <c r="V57" s="158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59">
        <v>0</v>
      </c>
      <c r="C60" s="159">
        <v>0</v>
      </c>
      <c r="D60" s="159">
        <v>0</v>
      </c>
      <c r="E60" s="159">
        <v>0</v>
      </c>
      <c r="F60" s="159">
        <v>0</v>
      </c>
      <c r="G60" s="159">
        <v>0</v>
      </c>
      <c r="H60" s="159">
        <v>3610</v>
      </c>
      <c r="I60" s="159" t="s">
        <v>316</v>
      </c>
      <c r="J60" s="159" t="s">
        <v>316</v>
      </c>
      <c r="K60" s="159" t="s">
        <v>316</v>
      </c>
      <c r="L60" s="159" t="s">
        <v>316</v>
      </c>
      <c r="M60" s="159" t="s">
        <v>316</v>
      </c>
      <c r="N60" s="159" t="s">
        <v>316</v>
      </c>
      <c r="O60" s="159" t="s">
        <v>316</v>
      </c>
      <c r="P60" s="159" t="s">
        <v>316</v>
      </c>
      <c r="Q60" s="159" t="s">
        <v>316</v>
      </c>
      <c r="R60" s="159" t="s">
        <v>316</v>
      </c>
      <c r="S60" s="159" t="s">
        <v>316</v>
      </c>
      <c r="T60" s="159" t="s">
        <v>316</v>
      </c>
      <c r="U60" s="159" t="s">
        <v>316</v>
      </c>
      <c r="V60" s="159" t="s">
        <v>316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>
        <v>2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H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f t="shared" si="22"/>
        <v>0</v>
      </c>
      <c r="H62" s="91">
        <f t="shared" si="22"/>
        <v>1805</v>
      </c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60">
        <f t="shared" ref="B63:F65" si="23">B60</f>
        <v>0</v>
      </c>
      <c r="C63" s="160">
        <f t="shared" si="23"/>
        <v>0</v>
      </c>
      <c r="D63" s="160">
        <f t="shared" si="23"/>
        <v>0</v>
      </c>
      <c r="E63" s="160">
        <f t="shared" si="23"/>
        <v>0</v>
      </c>
      <c r="F63" s="160">
        <f t="shared" si="23"/>
        <v>0</v>
      </c>
      <c r="G63" s="160">
        <v>0</v>
      </c>
      <c r="H63" s="160">
        <v>30726.7</v>
      </c>
      <c r="I63" s="160">
        <v>53776.3</v>
      </c>
      <c r="J63" s="160">
        <v>64050.799999999988</v>
      </c>
      <c r="K63" s="160">
        <v>49711.100000000006</v>
      </c>
      <c r="L63" s="160">
        <v>81748.199999999983</v>
      </c>
      <c r="M63" s="160">
        <v>29978.400000000023</v>
      </c>
      <c r="N63" s="160">
        <v>28398.599999999977</v>
      </c>
      <c r="O63" s="160">
        <v>30805.900000000023</v>
      </c>
      <c r="P63" s="160">
        <v>44868.400000000023</v>
      </c>
      <c r="Q63" s="160">
        <v>48442.5</v>
      </c>
      <c r="R63" s="160">
        <v>56349.799999999988</v>
      </c>
      <c r="S63" s="160">
        <v>12072.399999999965</v>
      </c>
      <c r="T63" s="160">
        <v>80482.400000000023</v>
      </c>
      <c r="U63" s="160">
        <v>20120.599999999977</v>
      </c>
      <c r="V63" s="160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61">
        <f>G61</f>
        <v>0</v>
      </c>
      <c r="H64" s="161">
        <v>26</v>
      </c>
      <c r="I64" s="161">
        <v>26</v>
      </c>
      <c r="J64" s="161">
        <v>27</v>
      </c>
      <c r="K64" s="161">
        <v>25</v>
      </c>
      <c r="L64" s="161">
        <v>17</v>
      </c>
      <c r="M64" s="161">
        <v>24</v>
      </c>
      <c r="N64" s="161">
        <v>24</v>
      </c>
      <c r="O64" s="161">
        <v>27</v>
      </c>
      <c r="P64" s="161">
        <v>26</v>
      </c>
      <c r="Q64" s="161">
        <v>26</v>
      </c>
      <c r="R64" s="161">
        <v>26</v>
      </c>
      <c r="S64" s="161">
        <v>27</v>
      </c>
      <c r="T64" s="161">
        <v>26</v>
      </c>
      <c r="U64" s="161">
        <v>26</v>
      </c>
      <c r="V64" s="161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1181.7961538461539</v>
      </c>
      <c r="I65" s="91">
        <f t="shared" si="24"/>
        <v>2068.3192307692307</v>
      </c>
      <c r="J65" s="91">
        <f t="shared" si="24"/>
        <v>2372.2518518518514</v>
      </c>
      <c r="K65" s="91">
        <f t="shared" si="24"/>
        <v>1988.4440000000002</v>
      </c>
      <c r="L65" s="91">
        <f t="shared" si="24"/>
        <v>4808.7176470588229</v>
      </c>
      <c r="M65" s="91">
        <f t="shared" si="24"/>
        <v>1249.100000000001</v>
      </c>
      <c r="N65" s="91">
        <f t="shared" si="24"/>
        <v>1183.274999999999</v>
      </c>
      <c r="O65" s="91">
        <f t="shared" si="24"/>
        <v>1140.9592592592601</v>
      </c>
      <c r="P65" s="91">
        <f t="shared" si="24"/>
        <v>1725.7076923076932</v>
      </c>
      <c r="Q65" s="91">
        <f t="shared" si="24"/>
        <v>1863.1730769230769</v>
      </c>
      <c r="R65" s="91">
        <f t="shared" si="24"/>
        <v>2167.2999999999997</v>
      </c>
      <c r="S65" s="91">
        <f t="shared" si="24"/>
        <v>447.12592592592461</v>
      </c>
      <c r="T65" s="91">
        <f t="shared" si="24"/>
        <v>3095.4769230769239</v>
      </c>
      <c r="U65" s="91">
        <f t="shared" si="24"/>
        <v>773.86923076922983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788"/>
  <sheetViews>
    <sheetView workbookViewId="0">
      <selection activeCell="C4" sqref="C4:C6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74" t="s">
        <v>196</v>
      </c>
      <c r="D1" s="176"/>
      <c r="E1" s="175"/>
      <c r="F1" s="174" t="s">
        <v>197</v>
      </c>
      <c r="G1" s="176"/>
      <c r="H1" s="175"/>
      <c r="I1" s="174" t="s">
        <v>198</v>
      </c>
      <c r="J1" s="176"/>
      <c r="K1" s="175"/>
      <c r="L1" s="174" t="s">
        <v>199</v>
      </c>
      <c r="M1" s="175"/>
      <c r="N1" s="103"/>
      <c r="P1" s="93"/>
    </row>
    <row r="2" spans="1:27" x14ac:dyDescent="0.35">
      <c r="A2" s="115"/>
      <c r="B2" s="116"/>
      <c r="C2" s="104">
        <f>SUM(C4:C733)</f>
        <v>91764.090000000011</v>
      </c>
      <c r="D2" s="105">
        <f t="shared" ref="D2:M2" si="0">SUM(D4:D733)</f>
        <v>89970.099999999991</v>
      </c>
      <c r="E2" s="106">
        <f t="shared" si="0"/>
        <v>107177.90000000002</v>
      </c>
      <c r="F2" s="104">
        <f t="shared" si="0"/>
        <v>123688.46699999996</v>
      </c>
      <c r="G2" s="105">
        <f t="shared" si="0"/>
        <v>122280.02</v>
      </c>
      <c r="H2" s="106">
        <f t="shared" si="0"/>
        <v>73800</v>
      </c>
      <c r="I2" s="104">
        <f t="shared" si="0"/>
        <v>0</v>
      </c>
      <c r="J2" s="105">
        <f t="shared" si="0"/>
        <v>0</v>
      </c>
      <c r="K2" s="106">
        <f t="shared" si="0"/>
        <v>599999.99999999942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8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8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64"/>
      <c r="F185" s="109">
        <v>1969.5</v>
      </c>
      <c r="G185" s="110">
        <v>2491.3000000000006</v>
      </c>
      <c r="H185" s="164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64"/>
      <c r="F186" s="109">
        <v>1840</v>
      </c>
      <c r="G186" s="110">
        <v>1815.38</v>
      </c>
      <c r="H186" s="164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64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64"/>
      <c r="I197" s="109">
        <v>0</v>
      </c>
      <c r="J197" s="110">
        <v>0</v>
      </c>
      <c r="K197" s="165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64"/>
      <c r="F198" s="109">
        <v>2208</v>
      </c>
      <c r="G198" s="110">
        <v>2036.8200000000002</v>
      </c>
      <c r="H198" s="164"/>
      <c r="I198" s="109">
        <v>0</v>
      </c>
      <c r="J198" s="110">
        <v>0</v>
      </c>
      <c r="K198" s="165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64"/>
      <c r="F199" s="109">
        <v>1471.5</v>
      </c>
      <c r="G199" s="110">
        <v>1441.8799999999999</v>
      </c>
      <c r="H199" s="164"/>
      <c r="I199" s="109">
        <v>0</v>
      </c>
      <c r="J199" s="110">
        <v>0</v>
      </c>
      <c r="K199" s="165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64"/>
      <c r="F200" s="109">
        <v>1912.95</v>
      </c>
      <c r="G200" s="110">
        <v>1601.08</v>
      </c>
      <c r="H200" s="164"/>
      <c r="I200" s="109">
        <v>0</v>
      </c>
      <c r="J200" s="110">
        <v>0</v>
      </c>
      <c r="K200" s="165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64"/>
      <c r="F201" s="109">
        <v>1941.06</v>
      </c>
      <c r="G201" s="110">
        <v>1523.38</v>
      </c>
      <c r="H201" s="164"/>
      <c r="I201" s="109">
        <v>0</v>
      </c>
      <c r="J201" s="110">
        <v>0</v>
      </c>
      <c r="K201" s="165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64"/>
      <c r="F202" s="109">
        <v>1260.5899999999999</v>
      </c>
      <c r="G202" s="110">
        <v>903.92</v>
      </c>
      <c r="H202" s="164"/>
      <c r="I202" s="109">
        <v>0</v>
      </c>
      <c r="J202" s="110">
        <v>0</v>
      </c>
      <c r="K202" s="165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64"/>
      <c r="F203" s="109">
        <v>0</v>
      </c>
      <c r="G203" s="110">
        <v>0</v>
      </c>
      <c r="H203" s="164"/>
      <c r="I203" s="109">
        <v>0</v>
      </c>
      <c r="J203" s="110">
        <v>0</v>
      </c>
      <c r="K203" s="165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64"/>
      <c r="F204" s="109">
        <v>1754.4</v>
      </c>
      <c r="G204" s="110">
        <v>1782.5999999999995</v>
      </c>
      <c r="H204" s="164"/>
      <c r="I204" s="109">
        <v>0</v>
      </c>
      <c r="J204" s="110">
        <v>0</v>
      </c>
      <c r="K204" s="165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64"/>
      <c r="F205" s="109">
        <v>1621.77</v>
      </c>
      <c r="G205" s="110">
        <v>2220.5399999999991</v>
      </c>
      <c r="H205" s="164"/>
      <c r="I205" s="109">
        <v>0</v>
      </c>
      <c r="J205" s="110">
        <v>0</v>
      </c>
      <c r="K205" s="165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64"/>
      <c r="F206" s="109">
        <v>1750.21</v>
      </c>
      <c r="G206" s="110">
        <v>2207.2799999999997</v>
      </c>
      <c r="H206" s="164"/>
      <c r="I206" s="109">
        <v>0</v>
      </c>
      <c r="J206" s="110">
        <v>0</v>
      </c>
      <c r="K206" s="165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64"/>
      <c r="F207" s="109">
        <v>1522.45</v>
      </c>
      <c r="G207" s="110">
        <v>1967.2599999999995</v>
      </c>
      <c r="H207" s="164"/>
      <c r="I207" s="109">
        <v>0</v>
      </c>
      <c r="J207" s="110">
        <v>0</v>
      </c>
      <c r="K207" s="165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64"/>
      <c r="F208" s="109">
        <v>1932.19</v>
      </c>
      <c r="G208" s="110">
        <v>1497.3199999999997</v>
      </c>
      <c r="H208" s="164"/>
      <c r="I208" s="109">
        <v>0</v>
      </c>
      <c r="J208" s="110">
        <v>0</v>
      </c>
      <c r="K208" s="165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64"/>
      <c r="F209" s="109">
        <v>880.18</v>
      </c>
      <c r="G209" s="110">
        <v>102.42</v>
      </c>
      <c r="H209" s="164"/>
      <c r="I209" s="109">
        <v>0</v>
      </c>
      <c r="J209" s="110">
        <v>0</v>
      </c>
      <c r="K209" s="165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64"/>
      <c r="F210" s="109">
        <v>0</v>
      </c>
      <c r="G210" s="110">
        <v>0</v>
      </c>
      <c r="H210" s="164"/>
      <c r="I210" s="109">
        <v>0</v>
      </c>
      <c r="J210" s="110">
        <v>0</v>
      </c>
      <c r="K210" s="165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64"/>
      <c r="F211" s="109">
        <v>1224.96</v>
      </c>
      <c r="G211" s="110">
        <v>2128.8000000000002</v>
      </c>
      <c r="H211" s="164"/>
      <c r="I211" s="109">
        <v>0</v>
      </c>
      <c r="J211" s="110">
        <v>0</v>
      </c>
      <c r="K211" s="165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64"/>
      <c r="F212" s="109">
        <v>1830.68</v>
      </c>
      <c r="G212" s="110">
        <v>1436.44</v>
      </c>
      <c r="H212" s="164"/>
      <c r="I212" s="109">
        <v>0</v>
      </c>
      <c r="J212" s="110">
        <v>0</v>
      </c>
      <c r="K212" s="165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64"/>
      <c r="F213" s="109">
        <v>1435.04</v>
      </c>
      <c r="G213" s="110">
        <v>1378.7800000000002</v>
      </c>
      <c r="H213" s="164"/>
      <c r="I213" s="109">
        <v>0</v>
      </c>
      <c r="J213" s="110">
        <v>0</v>
      </c>
      <c r="K213" s="165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64"/>
      <c r="F214" s="109">
        <v>1699.04</v>
      </c>
      <c r="G214" s="110">
        <v>1780.7799999999997</v>
      </c>
      <c r="H214" s="164"/>
      <c r="I214" s="109">
        <v>0</v>
      </c>
      <c r="J214" s="110">
        <v>0</v>
      </c>
      <c r="K214" s="165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64"/>
      <c r="F215" s="109">
        <v>1940.4</v>
      </c>
      <c r="G215" s="110">
        <v>1630.1600000000003</v>
      </c>
      <c r="H215" s="164"/>
      <c r="I215" s="109">
        <v>0</v>
      </c>
      <c r="J215" s="110">
        <v>0</v>
      </c>
      <c r="K215" s="165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64"/>
      <c r="F216" s="109">
        <v>1147.3699999999999</v>
      </c>
      <c r="G216" s="110">
        <v>773.12</v>
      </c>
      <c r="H216" s="164"/>
      <c r="I216" s="109"/>
      <c r="J216" s="110"/>
      <c r="K216" s="165"/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64"/>
      <c r="F217" s="109">
        <v>0</v>
      </c>
      <c r="G217" s="110">
        <v>0</v>
      </c>
      <c r="H217" s="164"/>
      <c r="I217" s="109"/>
      <c r="J217" s="110"/>
      <c r="K217" s="165"/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64"/>
      <c r="F218" s="109">
        <v>1778.08</v>
      </c>
      <c r="G218" s="110">
        <v>1380.9800000000002</v>
      </c>
      <c r="H218" s="164"/>
      <c r="I218" s="109"/>
      <c r="J218" s="110"/>
      <c r="K218" s="165"/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/>
      <c r="D219" s="110"/>
      <c r="E219" s="164">
        <v>1200</v>
      </c>
      <c r="F219" s="109"/>
      <c r="G219" s="110"/>
      <c r="H219" s="164">
        <v>1800</v>
      </c>
      <c r="I219" s="109"/>
      <c r="J219" s="110"/>
      <c r="K219" s="165">
        <v>0</v>
      </c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/>
      <c r="D220" s="110"/>
      <c r="E220" s="164">
        <v>1200</v>
      </c>
      <c r="F220" s="109"/>
      <c r="G220" s="110"/>
      <c r="H220" s="164">
        <v>1800</v>
      </c>
      <c r="I220" s="109"/>
      <c r="J220" s="110"/>
      <c r="K220" s="165">
        <v>0</v>
      </c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/>
      <c r="D221" s="110"/>
      <c r="E221" s="164">
        <v>1200</v>
      </c>
      <c r="F221" s="109"/>
      <c r="G221" s="110"/>
      <c r="H221" s="164">
        <v>1800</v>
      </c>
      <c r="I221" s="109"/>
      <c r="J221" s="110"/>
      <c r="K221" s="165">
        <v>0</v>
      </c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/>
      <c r="D222" s="110"/>
      <c r="E222" s="164">
        <v>1200</v>
      </c>
      <c r="F222" s="109"/>
      <c r="G222" s="110"/>
      <c r="H222" s="164">
        <v>1800</v>
      </c>
      <c r="I222" s="109"/>
      <c r="J222" s="110"/>
      <c r="K222" s="165">
        <v>0</v>
      </c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/>
      <c r="D223" s="110"/>
      <c r="E223" s="164">
        <v>1200</v>
      </c>
      <c r="F223" s="109"/>
      <c r="G223" s="110"/>
      <c r="H223" s="164">
        <v>1800</v>
      </c>
      <c r="I223" s="109"/>
      <c r="J223" s="110"/>
      <c r="K223" s="165">
        <v>0</v>
      </c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/>
      <c r="D224" s="110"/>
      <c r="E224" s="164">
        <v>0</v>
      </c>
      <c r="F224" s="109"/>
      <c r="G224" s="110"/>
      <c r="H224" s="164">
        <v>0</v>
      </c>
      <c r="I224" s="109"/>
      <c r="J224" s="110"/>
      <c r="K224" s="165">
        <v>0</v>
      </c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/>
      <c r="D225" s="110"/>
      <c r="E225" s="164">
        <v>1200</v>
      </c>
      <c r="F225" s="109"/>
      <c r="G225" s="110"/>
      <c r="H225" s="164">
        <v>1800</v>
      </c>
      <c r="I225" s="109"/>
      <c r="J225" s="110"/>
      <c r="K225" s="165">
        <v>789.47368421052636</v>
      </c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/>
      <c r="D226" s="110"/>
      <c r="E226" s="164">
        <v>1200</v>
      </c>
      <c r="F226" s="109"/>
      <c r="G226" s="110"/>
      <c r="H226" s="164">
        <v>1800</v>
      </c>
      <c r="I226" s="109"/>
      <c r="J226" s="110"/>
      <c r="K226" s="165">
        <v>789.47368421052636</v>
      </c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/>
      <c r="D227" s="110"/>
      <c r="E227" s="164">
        <v>1200</v>
      </c>
      <c r="F227" s="109"/>
      <c r="G227" s="110"/>
      <c r="H227" s="164">
        <v>1800</v>
      </c>
      <c r="I227" s="109"/>
      <c r="J227" s="110"/>
      <c r="K227" s="165">
        <v>789.47368421052636</v>
      </c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/>
      <c r="D228" s="110"/>
      <c r="E228" s="164">
        <v>1200</v>
      </c>
      <c r="F228" s="109"/>
      <c r="G228" s="110"/>
      <c r="H228" s="164">
        <v>1800</v>
      </c>
      <c r="I228" s="109"/>
      <c r="J228" s="110"/>
      <c r="K228" s="165">
        <v>789.47368421052636</v>
      </c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/>
      <c r="D229" s="110"/>
      <c r="E229" s="164">
        <v>1200</v>
      </c>
      <c r="F229" s="109"/>
      <c r="G229" s="110"/>
      <c r="H229" s="164">
        <v>1800</v>
      </c>
      <c r="I229" s="109"/>
      <c r="J229" s="110"/>
      <c r="K229" s="165">
        <v>789.47368421052636</v>
      </c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/>
      <c r="D230" s="110"/>
      <c r="E230" s="164">
        <v>1200</v>
      </c>
      <c r="F230" s="109"/>
      <c r="G230" s="110"/>
      <c r="H230" s="164">
        <v>1800</v>
      </c>
      <c r="I230" s="109"/>
      <c r="J230" s="110"/>
      <c r="K230" s="165">
        <v>789.47368421052636</v>
      </c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/>
      <c r="D231" s="110"/>
      <c r="E231" s="164">
        <v>0</v>
      </c>
      <c r="F231" s="109"/>
      <c r="G231" s="110"/>
      <c r="H231" s="164">
        <v>0</v>
      </c>
      <c r="I231" s="109"/>
      <c r="J231" s="110"/>
      <c r="K231" s="165">
        <v>0</v>
      </c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/>
      <c r="D232" s="110"/>
      <c r="E232" s="164">
        <v>1200</v>
      </c>
      <c r="F232" s="109"/>
      <c r="G232" s="110"/>
      <c r="H232" s="164">
        <v>1800</v>
      </c>
      <c r="I232" s="109"/>
      <c r="J232" s="110"/>
      <c r="K232" s="165">
        <v>789.47368421052636</v>
      </c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/>
      <c r="D233" s="110"/>
      <c r="E233" s="164">
        <v>1200</v>
      </c>
      <c r="F233" s="109"/>
      <c r="G233" s="110"/>
      <c r="H233" s="164">
        <v>1800</v>
      </c>
      <c r="I233" s="109"/>
      <c r="J233" s="110"/>
      <c r="K233" s="165">
        <v>789.47368421052636</v>
      </c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64">
        <v>1200</v>
      </c>
      <c r="F234" s="109"/>
      <c r="G234" s="110"/>
      <c r="H234" s="164">
        <v>1800</v>
      </c>
      <c r="I234" s="109"/>
      <c r="J234" s="110"/>
      <c r="K234" s="165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64">
        <v>1200</v>
      </c>
      <c r="F235" s="109"/>
      <c r="G235" s="110"/>
      <c r="H235" s="164">
        <v>1800</v>
      </c>
      <c r="I235" s="109"/>
      <c r="J235" s="110"/>
      <c r="K235" s="165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64">
        <v>1200</v>
      </c>
      <c r="F236" s="109"/>
      <c r="G236" s="110"/>
      <c r="H236" s="164">
        <v>1800</v>
      </c>
      <c r="I236" s="109"/>
      <c r="J236" s="110"/>
      <c r="K236" s="165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64">
        <v>1200</v>
      </c>
      <c r="F237" s="109"/>
      <c r="G237" s="110"/>
      <c r="H237" s="164">
        <v>1800</v>
      </c>
      <c r="I237" s="109"/>
      <c r="J237" s="110"/>
      <c r="K237" s="165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64">
        <v>0</v>
      </c>
      <c r="F238" s="109"/>
      <c r="G238" s="110"/>
      <c r="H238" s="164">
        <v>0</v>
      </c>
      <c r="I238" s="109"/>
      <c r="J238" s="110"/>
      <c r="K238" s="165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64">
        <v>1200</v>
      </c>
      <c r="F239" s="109"/>
      <c r="G239" s="110"/>
      <c r="H239" s="164">
        <v>1800</v>
      </c>
      <c r="I239" s="109"/>
      <c r="J239" s="110"/>
      <c r="K239" s="165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64">
        <v>1200</v>
      </c>
      <c r="F240" s="109"/>
      <c r="G240" s="110"/>
      <c r="H240" s="164">
        <v>1800</v>
      </c>
      <c r="I240" s="109"/>
      <c r="J240" s="110"/>
      <c r="K240" s="165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64">
        <v>1200</v>
      </c>
      <c r="F241" s="109"/>
      <c r="G241" s="110"/>
      <c r="H241" s="164">
        <v>1800</v>
      </c>
      <c r="I241" s="109"/>
      <c r="J241" s="110"/>
      <c r="K241" s="165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64">
        <v>1200</v>
      </c>
      <c r="F242" s="109"/>
      <c r="G242" s="110"/>
      <c r="H242" s="164">
        <v>1800</v>
      </c>
      <c r="I242" s="109"/>
      <c r="J242" s="110"/>
      <c r="K242" s="165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64">
        <v>1200</v>
      </c>
      <c r="F243" s="109"/>
      <c r="G243" s="110"/>
      <c r="H243" s="164">
        <v>1800</v>
      </c>
      <c r="I243" s="109"/>
      <c r="J243" s="110"/>
      <c r="K243" s="165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64">
        <v>1200</v>
      </c>
      <c r="F244" s="109"/>
      <c r="G244" s="110"/>
      <c r="H244" s="164">
        <v>1800</v>
      </c>
      <c r="I244" s="109"/>
      <c r="J244" s="110"/>
      <c r="K244" s="165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64">
        <v>0</v>
      </c>
      <c r="F245" s="109"/>
      <c r="G245" s="110"/>
      <c r="H245" s="164">
        <v>0</v>
      </c>
      <c r="I245" s="109"/>
      <c r="J245" s="110"/>
      <c r="K245" s="165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64">
        <v>1200</v>
      </c>
      <c r="F246" s="109"/>
      <c r="G246" s="110"/>
      <c r="H246" s="164">
        <v>1800</v>
      </c>
      <c r="I246" s="109"/>
      <c r="J246" s="110"/>
      <c r="K246" s="165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64">
        <v>1200</v>
      </c>
      <c r="F247" s="109"/>
      <c r="G247" s="110"/>
      <c r="H247" s="164">
        <v>1800</v>
      </c>
      <c r="I247" s="109"/>
      <c r="J247" s="110"/>
      <c r="K247" s="165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64">
        <v>1200</v>
      </c>
      <c r="F248" s="109"/>
      <c r="G248" s="110"/>
      <c r="H248" s="164">
        <v>1800</v>
      </c>
      <c r="I248" s="109"/>
      <c r="J248" s="110"/>
      <c r="K248" s="165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64">
        <v>1200</v>
      </c>
      <c r="F249" s="109"/>
      <c r="G249" s="110"/>
      <c r="H249" s="164">
        <v>1800</v>
      </c>
      <c r="I249" s="109"/>
      <c r="J249" s="110"/>
      <c r="K249" s="165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64">
        <v>1200</v>
      </c>
      <c r="F250" s="109"/>
      <c r="G250" s="110"/>
      <c r="H250" s="164">
        <v>1800</v>
      </c>
      <c r="I250" s="109"/>
      <c r="J250" s="110"/>
      <c r="K250" s="165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64">
        <v>1200</v>
      </c>
      <c r="F251" s="109"/>
      <c r="G251" s="110"/>
      <c r="H251" s="164">
        <v>1800</v>
      </c>
      <c r="I251" s="109"/>
      <c r="J251" s="110"/>
      <c r="K251" s="165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64">
        <v>0</v>
      </c>
      <c r="F252" s="109"/>
      <c r="G252" s="110"/>
      <c r="H252" s="164">
        <v>0</v>
      </c>
      <c r="I252" s="109"/>
      <c r="J252" s="110"/>
      <c r="K252" s="165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64">
        <v>1200</v>
      </c>
      <c r="F253" s="109"/>
      <c r="G253" s="110"/>
      <c r="H253" s="164">
        <v>1800</v>
      </c>
      <c r="I253" s="109"/>
      <c r="J253" s="110"/>
      <c r="K253" s="165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64">
        <v>1200</v>
      </c>
      <c r="F254" s="109"/>
      <c r="G254" s="110"/>
      <c r="H254" s="164">
        <v>1800</v>
      </c>
      <c r="I254" s="109"/>
      <c r="J254" s="110"/>
      <c r="K254" s="165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64">
        <v>1200</v>
      </c>
      <c r="F255" s="109"/>
      <c r="G255" s="110"/>
      <c r="H255" s="164">
        <v>1800</v>
      </c>
      <c r="I255" s="109"/>
      <c r="J255" s="110"/>
      <c r="K255" s="165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64">
        <v>1200</v>
      </c>
      <c r="F256" s="109"/>
      <c r="G256" s="110"/>
      <c r="H256" s="164">
        <v>1800</v>
      </c>
      <c r="I256" s="109"/>
      <c r="J256" s="110"/>
      <c r="K256" s="165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64">
        <v>1200</v>
      </c>
      <c r="F257" s="109"/>
      <c r="G257" s="110"/>
      <c r="H257" s="164">
        <v>1800</v>
      </c>
      <c r="I257" s="109"/>
      <c r="J257" s="110"/>
      <c r="K257" s="165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64">
        <v>1200</v>
      </c>
      <c r="F258" s="109"/>
      <c r="G258" s="110"/>
      <c r="H258" s="164">
        <v>1800</v>
      </c>
      <c r="I258" s="109"/>
      <c r="J258" s="110"/>
      <c r="K258" s="165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64">
        <v>0</v>
      </c>
      <c r="F259" s="109"/>
      <c r="G259" s="110"/>
      <c r="H259" s="164">
        <v>0</v>
      </c>
      <c r="I259" s="109"/>
      <c r="J259" s="110"/>
      <c r="K259" s="165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64">
        <v>1200</v>
      </c>
      <c r="F260" s="109"/>
      <c r="G260" s="110"/>
      <c r="H260" s="164">
        <v>1800</v>
      </c>
      <c r="I260" s="109"/>
      <c r="J260" s="110"/>
      <c r="K260" s="165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64">
        <v>1200</v>
      </c>
      <c r="F261" s="109"/>
      <c r="G261" s="110"/>
      <c r="H261" s="164">
        <v>1800</v>
      </c>
      <c r="I261" s="109"/>
      <c r="J261" s="110"/>
      <c r="K261" s="165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64">
        <v>1200</v>
      </c>
      <c r="F262" s="109"/>
      <c r="G262" s="110"/>
      <c r="H262" s="164">
        <v>1800</v>
      </c>
      <c r="I262" s="109"/>
      <c r="J262" s="110"/>
      <c r="K262" s="165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64">
        <v>1200</v>
      </c>
      <c r="F263" s="109"/>
      <c r="G263" s="110"/>
      <c r="H263" s="164">
        <v>1800</v>
      </c>
      <c r="I263" s="109"/>
      <c r="J263" s="110"/>
      <c r="K263" s="165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64">
        <v>1200</v>
      </c>
      <c r="F264" s="109"/>
      <c r="G264" s="110"/>
      <c r="H264" s="164">
        <v>1800</v>
      </c>
      <c r="I264" s="109"/>
      <c r="J264" s="110"/>
      <c r="K264" s="165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64">
        <v>1200</v>
      </c>
      <c r="F265" s="109"/>
      <c r="G265" s="110"/>
      <c r="H265" s="164">
        <v>1800</v>
      </c>
      <c r="I265" s="109"/>
      <c r="J265" s="110"/>
      <c r="K265" s="165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64">
        <v>0</v>
      </c>
      <c r="F266" s="109"/>
      <c r="G266" s="110"/>
      <c r="H266" s="164">
        <v>0</v>
      </c>
      <c r="I266" s="109"/>
      <c r="J266" s="110"/>
      <c r="K266" s="165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64">
        <v>1200</v>
      </c>
      <c r="F267" s="109"/>
      <c r="G267" s="110"/>
      <c r="H267" s="164">
        <v>0</v>
      </c>
      <c r="I267" s="109"/>
      <c r="J267" s="110"/>
      <c r="K267" s="165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64">
        <v>1200</v>
      </c>
      <c r="F268" s="109"/>
      <c r="G268" s="110"/>
      <c r="H268" s="164">
        <v>0</v>
      </c>
      <c r="I268" s="109"/>
      <c r="J268" s="110"/>
      <c r="K268" s="165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64">
        <v>1200</v>
      </c>
      <c r="F269" s="109"/>
      <c r="G269" s="110"/>
      <c r="H269" s="164">
        <v>0</v>
      </c>
      <c r="I269" s="109"/>
      <c r="J269" s="110"/>
      <c r="K269" s="165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64">
        <v>1200</v>
      </c>
      <c r="F270" s="109"/>
      <c r="G270" s="110"/>
      <c r="H270" s="164">
        <v>0</v>
      </c>
      <c r="I270" s="109"/>
      <c r="J270" s="110"/>
      <c r="K270" s="165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64">
        <v>1200</v>
      </c>
      <c r="F271" s="109"/>
      <c r="G271" s="110"/>
      <c r="H271" s="164">
        <v>0</v>
      </c>
      <c r="I271" s="109"/>
      <c r="J271" s="110"/>
      <c r="K271" s="165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64">
        <v>1200</v>
      </c>
      <c r="F272" s="109"/>
      <c r="G272" s="110"/>
      <c r="H272" s="164">
        <v>0</v>
      </c>
      <c r="I272" s="109"/>
      <c r="J272" s="110"/>
      <c r="K272" s="165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64">
        <v>0</v>
      </c>
      <c r="F273" s="109"/>
      <c r="G273" s="110"/>
      <c r="H273" s="164">
        <v>0</v>
      </c>
      <c r="I273" s="109"/>
      <c r="J273" s="110"/>
      <c r="K273" s="165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64">
        <v>1200</v>
      </c>
      <c r="F274" s="109"/>
      <c r="G274" s="110"/>
      <c r="H274" s="164">
        <v>0</v>
      </c>
      <c r="I274" s="109"/>
      <c r="J274" s="110"/>
      <c r="K274" s="165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64">
        <v>1200</v>
      </c>
      <c r="F275" s="109"/>
      <c r="G275" s="110"/>
      <c r="H275" s="164">
        <v>0</v>
      </c>
      <c r="I275" s="109"/>
      <c r="J275" s="110"/>
      <c r="K275" s="165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64">
        <v>1200</v>
      </c>
      <c r="F276" s="109"/>
      <c r="G276" s="110"/>
      <c r="H276" s="164">
        <v>0</v>
      </c>
      <c r="I276" s="109"/>
      <c r="J276" s="110"/>
      <c r="K276" s="165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64">
        <v>1200</v>
      </c>
      <c r="F277" s="109"/>
      <c r="G277" s="110"/>
      <c r="H277" s="164">
        <v>0</v>
      </c>
      <c r="I277" s="109"/>
      <c r="J277" s="110"/>
      <c r="K277" s="165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64">
        <v>1200</v>
      </c>
      <c r="F278" s="109"/>
      <c r="G278" s="110"/>
      <c r="H278" s="164">
        <v>0</v>
      </c>
      <c r="I278" s="109"/>
      <c r="J278" s="110"/>
      <c r="K278" s="165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64">
        <v>1200</v>
      </c>
      <c r="F279" s="109"/>
      <c r="G279" s="110"/>
      <c r="H279" s="164">
        <v>0</v>
      </c>
      <c r="I279" s="109"/>
      <c r="J279" s="110"/>
      <c r="K279" s="165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64">
        <v>0</v>
      </c>
      <c r="F280" s="109"/>
      <c r="G280" s="110"/>
      <c r="H280" s="164">
        <v>0</v>
      </c>
      <c r="I280" s="109"/>
      <c r="J280" s="110"/>
      <c r="K280" s="165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64">
        <v>1200</v>
      </c>
      <c r="F281" s="109"/>
      <c r="G281" s="110"/>
      <c r="H281" s="164">
        <v>0</v>
      </c>
      <c r="I281" s="109"/>
      <c r="J281" s="110"/>
      <c r="K281" s="165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64">
        <v>1200</v>
      </c>
      <c r="F282" s="109"/>
      <c r="G282" s="110"/>
      <c r="H282" s="164">
        <v>0</v>
      </c>
      <c r="I282" s="109"/>
      <c r="J282" s="110"/>
      <c r="K282" s="165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64">
        <v>1200</v>
      </c>
      <c r="F283" s="109"/>
      <c r="G283" s="110"/>
      <c r="H283" s="164">
        <v>0</v>
      </c>
      <c r="I283" s="109"/>
      <c r="J283" s="110"/>
      <c r="K283" s="165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64">
        <v>1200</v>
      </c>
      <c r="F284" s="109"/>
      <c r="G284" s="110"/>
      <c r="H284" s="164">
        <v>0</v>
      </c>
      <c r="I284" s="109"/>
      <c r="J284" s="110"/>
      <c r="K284" s="165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64">
        <v>1200</v>
      </c>
      <c r="F285" s="109"/>
      <c r="G285" s="110"/>
      <c r="H285" s="164">
        <v>0</v>
      </c>
      <c r="I285" s="109"/>
      <c r="J285" s="110"/>
      <c r="K285" s="165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64">
        <v>1200</v>
      </c>
      <c r="F286" s="109"/>
      <c r="G286" s="110"/>
      <c r="H286" s="164">
        <v>0</v>
      </c>
      <c r="I286" s="109"/>
      <c r="J286" s="110"/>
      <c r="K286" s="165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64">
        <v>0</v>
      </c>
      <c r="F287" s="109"/>
      <c r="G287" s="110"/>
      <c r="H287" s="164">
        <v>0</v>
      </c>
      <c r="I287" s="109"/>
      <c r="J287" s="110"/>
      <c r="K287" s="165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64">
        <v>1200</v>
      </c>
      <c r="F288" s="109"/>
      <c r="G288" s="110"/>
      <c r="H288" s="164">
        <v>0</v>
      </c>
      <c r="I288" s="109"/>
      <c r="J288" s="110"/>
      <c r="K288" s="165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64">
        <v>1200</v>
      </c>
      <c r="F289" s="109"/>
      <c r="G289" s="110"/>
      <c r="H289" s="164">
        <v>0</v>
      </c>
      <c r="I289" s="109"/>
      <c r="J289" s="110"/>
      <c r="K289" s="165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64">
        <v>1200</v>
      </c>
      <c r="F290" s="109"/>
      <c r="G290" s="110"/>
      <c r="H290" s="164">
        <v>0</v>
      </c>
      <c r="I290" s="109"/>
      <c r="J290" s="110"/>
      <c r="K290" s="165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64">
        <v>1200</v>
      </c>
      <c r="F291" s="109"/>
      <c r="G291" s="110"/>
      <c r="H291" s="164">
        <v>0</v>
      </c>
      <c r="I291" s="109"/>
      <c r="J291" s="110"/>
      <c r="K291" s="165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64">
        <v>1200</v>
      </c>
      <c r="F292" s="109"/>
      <c r="G292" s="110"/>
      <c r="H292" s="164">
        <v>0</v>
      </c>
      <c r="I292" s="109"/>
      <c r="J292" s="110"/>
      <c r="K292" s="165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64">
        <v>1200</v>
      </c>
      <c r="F293" s="109"/>
      <c r="G293" s="110"/>
      <c r="H293" s="164">
        <v>0</v>
      </c>
      <c r="I293" s="109"/>
      <c r="J293" s="110"/>
      <c r="K293" s="165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64">
        <v>0</v>
      </c>
      <c r="F294" s="109"/>
      <c r="G294" s="110"/>
      <c r="H294" s="164">
        <v>0</v>
      </c>
      <c r="I294" s="109"/>
      <c r="J294" s="110"/>
      <c r="K294" s="165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64">
        <v>1200</v>
      </c>
      <c r="F295" s="109"/>
      <c r="G295" s="110"/>
      <c r="H295" s="164">
        <v>0</v>
      </c>
      <c r="I295" s="109"/>
      <c r="J295" s="110"/>
      <c r="K295" s="165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64">
        <v>1200</v>
      </c>
      <c r="F296" s="109"/>
      <c r="G296" s="110"/>
      <c r="H296" s="164">
        <v>0</v>
      </c>
      <c r="I296" s="109"/>
      <c r="J296" s="110"/>
      <c r="K296" s="165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64">
        <v>1200</v>
      </c>
      <c r="F297" s="109"/>
      <c r="G297" s="110"/>
      <c r="H297" s="164">
        <v>0</v>
      </c>
      <c r="I297" s="109"/>
      <c r="J297" s="110"/>
      <c r="K297" s="165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64">
        <v>1200</v>
      </c>
      <c r="F298" s="109"/>
      <c r="G298" s="110"/>
      <c r="H298" s="164">
        <v>0</v>
      </c>
      <c r="I298" s="109"/>
      <c r="J298" s="110"/>
      <c r="K298" s="165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64">
        <v>1200</v>
      </c>
      <c r="F299" s="109"/>
      <c r="G299" s="110"/>
      <c r="H299" s="164">
        <v>0</v>
      </c>
      <c r="I299" s="109"/>
      <c r="J299" s="110"/>
      <c r="K299" s="165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64">
        <v>1200</v>
      </c>
      <c r="F300" s="109"/>
      <c r="G300" s="110"/>
      <c r="H300" s="164">
        <v>0</v>
      </c>
      <c r="I300" s="109"/>
      <c r="J300" s="110"/>
      <c r="K300" s="165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64">
        <v>0</v>
      </c>
      <c r="F301" s="109"/>
      <c r="G301" s="110"/>
      <c r="H301" s="164">
        <v>0</v>
      </c>
      <c r="I301" s="109"/>
      <c r="J301" s="110"/>
      <c r="K301" s="165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64">
        <v>1200</v>
      </c>
      <c r="F302" s="109"/>
      <c r="G302" s="110"/>
      <c r="H302" s="164">
        <v>0</v>
      </c>
      <c r="I302" s="109"/>
      <c r="J302" s="110"/>
      <c r="K302" s="165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64">
        <v>1200</v>
      </c>
      <c r="F303" s="109"/>
      <c r="G303" s="110"/>
      <c r="H303" s="164">
        <v>0</v>
      </c>
      <c r="I303" s="109"/>
      <c r="J303" s="110"/>
      <c r="K303" s="165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64">
        <v>1200</v>
      </c>
      <c r="F304" s="109"/>
      <c r="G304" s="110"/>
      <c r="H304" s="164">
        <v>0</v>
      </c>
      <c r="I304" s="109"/>
      <c r="J304" s="110"/>
      <c r="K304" s="165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64">
        <v>1200</v>
      </c>
      <c r="F305" s="109"/>
      <c r="G305" s="110"/>
      <c r="H305" s="164">
        <v>0</v>
      </c>
      <c r="I305" s="109"/>
      <c r="J305" s="110"/>
      <c r="K305" s="165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64">
        <v>1200</v>
      </c>
      <c r="F306" s="109"/>
      <c r="G306" s="110"/>
      <c r="H306" s="164">
        <v>0</v>
      </c>
      <c r="I306" s="109"/>
      <c r="J306" s="110"/>
      <c r="K306" s="165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64">
        <v>1200</v>
      </c>
      <c r="F307" s="109"/>
      <c r="G307" s="110"/>
      <c r="H307" s="164">
        <v>0</v>
      </c>
      <c r="I307" s="109"/>
      <c r="J307" s="110"/>
      <c r="K307" s="165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64">
        <v>0</v>
      </c>
      <c r="F308" s="109"/>
      <c r="G308" s="110"/>
      <c r="H308" s="164">
        <v>0</v>
      </c>
      <c r="I308" s="109"/>
      <c r="J308" s="110"/>
      <c r="K308" s="165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64">
        <v>1200</v>
      </c>
      <c r="F309" s="109"/>
      <c r="G309" s="110"/>
      <c r="H309" s="164">
        <v>0</v>
      </c>
      <c r="I309" s="109"/>
      <c r="J309" s="110"/>
      <c r="K309" s="165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64">
        <v>1200</v>
      </c>
      <c r="F310" s="109"/>
      <c r="G310" s="110"/>
      <c r="H310" s="164">
        <v>0</v>
      </c>
      <c r="I310" s="109"/>
      <c r="J310" s="110"/>
      <c r="K310" s="165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64">
        <v>1200</v>
      </c>
      <c r="F311" s="109"/>
      <c r="G311" s="110"/>
      <c r="H311" s="164">
        <v>0</v>
      </c>
      <c r="I311" s="109"/>
      <c r="J311" s="110"/>
      <c r="K311" s="165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64">
        <v>1200</v>
      </c>
      <c r="F312" s="109"/>
      <c r="G312" s="110"/>
      <c r="H312" s="164">
        <v>0</v>
      </c>
      <c r="I312" s="109"/>
      <c r="J312" s="110"/>
      <c r="K312" s="165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64">
        <v>1200</v>
      </c>
      <c r="F313" s="109"/>
      <c r="G313" s="110"/>
      <c r="H313" s="164">
        <v>0</v>
      </c>
      <c r="I313" s="109"/>
      <c r="J313" s="110"/>
      <c r="K313" s="165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64">
        <v>1200</v>
      </c>
      <c r="F314" s="109"/>
      <c r="G314" s="110"/>
      <c r="H314" s="164">
        <v>0</v>
      </c>
      <c r="I314" s="109"/>
      <c r="J314" s="110"/>
      <c r="K314" s="165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64">
        <v>0</v>
      </c>
      <c r="F315" s="109"/>
      <c r="G315" s="110"/>
      <c r="H315" s="164">
        <v>0</v>
      </c>
      <c r="I315" s="109"/>
      <c r="J315" s="110"/>
      <c r="K315" s="165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64">
        <v>1200</v>
      </c>
      <c r="F316" s="109"/>
      <c r="G316" s="110"/>
      <c r="H316" s="164">
        <v>0</v>
      </c>
      <c r="I316" s="109"/>
      <c r="J316" s="110"/>
      <c r="K316" s="165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64">
        <v>1200</v>
      </c>
      <c r="F317" s="109"/>
      <c r="G317" s="110"/>
      <c r="H317" s="164">
        <v>0</v>
      </c>
      <c r="I317" s="109"/>
      <c r="J317" s="110"/>
      <c r="K317" s="165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64">
        <v>1200</v>
      </c>
      <c r="F318" s="109"/>
      <c r="G318" s="110"/>
      <c r="H318" s="164">
        <v>0</v>
      </c>
      <c r="I318" s="109"/>
      <c r="J318" s="110"/>
      <c r="K318" s="165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64">
        <v>1200</v>
      </c>
      <c r="F319" s="109"/>
      <c r="G319" s="110"/>
      <c r="H319" s="164">
        <v>0</v>
      </c>
      <c r="I319" s="109"/>
      <c r="J319" s="110"/>
      <c r="K319" s="165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64">
        <v>1200</v>
      </c>
      <c r="F320" s="109"/>
      <c r="G320" s="110"/>
      <c r="H320" s="164">
        <v>0</v>
      </c>
      <c r="I320" s="109"/>
      <c r="J320" s="110"/>
      <c r="K320" s="165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64">
        <v>1200</v>
      </c>
      <c r="F321" s="109"/>
      <c r="G321" s="110"/>
      <c r="H321" s="164">
        <v>0</v>
      </c>
      <c r="I321" s="109"/>
      <c r="J321" s="110"/>
      <c r="K321" s="165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64">
        <v>0</v>
      </c>
      <c r="F322" s="109"/>
      <c r="G322" s="110"/>
      <c r="H322" s="164">
        <v>0</v>
      </c>
      <c r="I322" s="109"/>
      <c r="J322" s="110"/>
      <c r="K322" s="165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64">
        <v>377.90000000002328</v>
      </c>
      <c r="F323" s="109"/>
      <c r="G323" s="110"/>
      <c r="H323" s="164">
        <v>0</v>
      </c>
      <c r="I323" s="109"/>
      <c r="J323" s="110"/>
      <c r="K323" s="165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64">
        <v>0</v>
      </c>
      <c r="F324" s="109"/>
      <c r="G324" s="110"/>
      <c r="H324" s="164">
        <v>0</v>
      </c>
      <c r="I324" s="109"/>
      <c r="J324" s="110"/>
      <c r="K324" s="165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64">
        <v>0</v>
      </c>
      <c r="F325" s="109"/>
      <c r="G325" s="110"/>
      <c r="H325" s="164">
        <v>0</v>
      </c>
      <c r="I325" s="109"/>
      <c r="J325" s="110"/>
      <c r="K325" s="165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64">
        <v>0</v>
      </c>
      <c r="F326" s="109"/>
      <c r="G326" s="110"/>
      <c r="H326" s="164">
        <v>0</v>
      </c>
      <c r="I326" s="109"/>
      <c r="J326" s="110"/>
      <c r="K326" s="165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64">
        <v>0</v>
      </c>
      <c r="F327" s="109"/>
      <c r="G327" s="110"/>
      <c r="H327" s="164">
        <v>0</v>
      </c>
      <c r="I327" s="109"/>
      <c r="J327" s="110"/>
      <c r="K327" s="165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64">
        <v>0</v>
      </c>
      <c r="F328" s="109"/>
      <c r="G328" s="110"/>
      <c r="H328" s="164">
        <v>0</v>
      </c>
      <c r="I328" s="109"/>
      <c r="J328" s="110"/>
      <c r="K328" s="165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64">
        <v>0</v>
      </c>
      <c r="F329" s="109"/>
      <c r="G329" s="110"/>
      <c r="H329" s="164">
        <v>0</v>
      </c>
      <c r="I329" s="109"/>
      <c r="J329" s="110"/>
      <c r="K329" s="165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64">
        <v>0</v>
      </c>
      <c r="F330" s="109"/>
      <c r="G330" s="110"/>
      <c r="H330" s="164">
        <v>0</v>
      </c>
      <c r="I330" s="109"/>
      <c r="J330" s="110"/>
      <c r="K330" s="165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64">
        <v>0</v>
      </c>
      <c r="F331" s="109"/>
      <c r="G331" s="110"/>
      <c r="H331" s="164">
        <v>0</v>
      </c>
      <c r="I331" s="109"/>
      <c r="J331" s="110"/>
      <c r="K331" s="165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64">
        <v>0</v>
      </c>
      <c r="F332" s="109"/>
      <c r="G332" s="110"/>
      <c r="H332" s="164">
        <v>0</v>
      </c>
      <c r="I332" s="109"/>
      <c r="J332" s="110"/>
      <c r="K332" s="165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64">
        <v>0</v>
      </c>
      <c r="F333" s="109"/>
      <c r="G333" s="110"/>
      <c r="H333" s="164">
        <v>0</v>
      </c>
      <c r="I333" s="109"/>
      <c r="J333" s="110"/>
      <c r="K333" s="165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64">
        <v>0</v>
      </c>
      <c r="F334" s="109"/>
      <c r="G334" s="110"/>
      <c r="H334" s="164">
        <v>0</v>
      </c>
      <c r="I334" s="109"/>
      <c r="J334" s="110"/>
      <c r="K334" s="165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64">
        <v>0</v>
      </c>
      <c r="F335" s="109"/>
      <c r="G335" s="110"/>
      <c r="H335" s="164">
        <v>0</v>
      </c>
      <c r="I335" s="109"/>
      <c r="J335" s="110"/>
      <c r="K335" s="165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64">
        <v>0</v>
      </c>
      <c r="F336" s="109"/>
      <c r="G336" s="110"/>
      <c r="H336" s="164">
        <v>0</v>
      </c>
      <c r="I336" s="109"/>
      <c r="J336" s="110"/>
      <c r="K336" s="165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64">
        <v>0</v>
      </c>
      <c r="F337" s="109"/>
      <c r="G337" s="110"/>
      <c r="H337" s="164">
        <v>0</v>
      </c>
      <c r="I337" s="109"/>
      <c r="J337" s="110"/>
      <c r="K337" s="165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64">
        <v>0</v>
      </c>
      <c r="F338" s="109"/>
      <c r="G338" s="110"/>
      <c r="H338" s="164">
        <v>0</v>
      </c>
      <c r="I338" s="109"/>
      <c r="J338" s="110"/>
      <c r="K338" s="165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64">
        <v>0</v>
      </c>
      <c r="F339" s="109"/>
      <c r="G339" s="110"/>
      <c r="H339" s="164">
        <v>0</v>
      </c>
      <c r="I339" s="109"/>
      <c r="J339" s="110"/>
      <c r="K339" s="165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64">
        <v>0</v>
      </c>
      <c r="F340" s="109"/>
      <c r="G340" s="110"/>
      <c r="H340" s="164">
        <v>0</v>
      </c>
      <c r="I340" s="109"/>
      <c r="J340" s="110"/>
      <c r="K340" s="165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64">
        <v>0</v>
      </c>
      <c r="F341" s="109"/>
      <c r="G341" s="110"/>
      <c r="H341" s="164">
        <v>0</v>
      </c>
      <c r="I341" s="109"/>
      <c r="J341" s="110"/>
      <c r="K341" s="165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64">
        <v>0</v>
      </c>
      <c r="F342" s="109"/>
      <c r="G342" s="110"/>
      <c r="H342" s="164">
        <v>0</v>
      </c>
      <c r="I342" s="109"/>
      <c r="J342" s="110"/>
      <c r="K342" s="165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64">
        <v>0</v>
      </c>
      <c r="F343" s="109"/>
      <c r="G343" s="110"/>
      <c r="H343" s="164">
        <v>0</v>
      </c>
      <c r="I343" s="109"/>
      <c r="J343" s="110"/>
      <c r="K343" s="165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64">
        <v>0</v>
      </c>
      <c r="F344" s="109"/>
      <c r="G344" s="110"/>
      <c r="H344" s="164">
        <v>0</v>
      </c>
      <c r="I344" s="109"/>
      <c r="J344" s="110"/>
      <c r="K344" s="165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64">
        <v>0</v>
      </c>
      <c r="F345" s="109"/>
      <c r="G345" s="110"/>
      <c r="H345" s="164">
        <v>0</v>
      </c>
      <c r="I345" s="109"/>
      <c r="J345" s="110"/>
      <c r="K345" s="165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64">
        <v>0</v>
      </c>
      <c r="F346" s="109"/>
      <c r="G346" s="110"/>
      <c r="H346" s="164">
        <v>0</v>
      </c>
      <c r="I346" s="109"/>
      <c r="J346" s="110"/>
      <c r="K346" s="165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64">
        <v>0</v>
      </c>
      <c r="F347" s="109"/>
      <c r="G347" s="110"/>
      <c r="H347" s="164">
        <v>0</v>
      </c>
      <c r="I347" s="109"/>
      <c r="J347" s="110"/>
      <c r="K347" s="165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64">
        <v>0</v>
      </c>
      <c r="F348" s="109"/>
      <c r="G348" s="110"/>
      <c r="H348" s="164">
        <v>0</v>
      </c>
      <c r="I348" s="109"/>
      <c r="J348" s="110"/>
      <c r="K348" s="165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64">
        <v>0</v>
      </c>
      <c r="F349" s="109"/>
      <c r="G349" s="110"/>
      <c r="H349" s="164">
        <v>0</v>
      </c>
      <c r="I349" s="109"/>
      <c r="J349" s="110"/>
      <c r="K349" s="165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64">
        <v>0</v>
      </c>
      <c r="F350" s="109"/>
      <c r="G350" s="110"/>
      <c r="H350" s="164">
        <v>0</v>
      </c>
      <c r="I350" s="109"/>
      <c r="J350" s="110"/>
      <c r="K350" s="165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64">
        <v>0</v>
      </c>
      <c r="F351" s="109"/>
      <c r="G351" s="110"/>
      <c r="H351" s="164">
        <v>0</v>
      </c>
      <c r="I351" s="109"/>
      <c r="J351" s="110"/>
      <c r="K351" s="165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64">
        <v>0</v>
      </c>
      <c r="F352" s="109"/>
      <c r="G352" s="110"/>
      <c r="H352" s="164">
        <v>0</v>
      </c>
      <c r="I352" s="109"/>
      <c r="J352" s="110"/>
      <c r="K352" s="165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64">
        <v>0</v>
      </c>
      <c r="F353" s="109"/>
      <c r="G353" s="110"/>
      <c r="H353" s="164">
        <v>0</v>
      </c>
      <c r="I353" s="109"/>
      <c r="J353" s="110"/>
      <c r="K353" s="165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64">
        <v>0</v>
      </c>
      <c r="F354" s="109"/>
      <c r="G354" s="110"/>
      <c r="H354" s="164">
        <v>0</v>
      </c>
      <c r="I354" s="109"/>
      <c r="J354" s="110"/>
      <c r="K354" s="165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64">
        <v>0</v>
      </c>
      <c r="F355" s="109"/>
      <c r="G355" s="110"/>
      <c r="H355" s="164">
        <v>0</v>
      </c>
      <c r="I355" s="109"/>
      <c r="J355" s="110"/>
      <c r="K355" s="165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64">
        <v>0</v>
      </c>
      <c r="F356" s="109"/>
      <c r="G356" s="110"/>
      <c r="H356" s="164">
        <v>0</v>
      </c>
      <c r="I356" s="109"/>
      <c r="J356" s="110"/>
      <c r="K356" s="165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64">
        <v>0</v>
      </c>
      <c r="F357" s="109"/>
      <c r="G357" s="110"/>
      <c r="H357" s="164">
        <v>0</v>
      </c>
      <c r="I357" s="109"/>
      <c r="J357" s="110"/>
      <c r="K357" s="165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64">
        <v>0</v>
      </c>
      <c r="F358" s="109"/>
      <c r="G358" s="110"/>
      <c r="H358" s="164">
        <v>0</v>
      </c>
      <c r="I358" s="109"/>
      <c r="J358" s="110"/>
      <c r="K358" s="165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64">
        <v>0</v>
      </c>
      <c r="F359" s="109"/>
      <c r="G359" s="110"/>
      <c r="H359" s="164">
        <v>0</v>
      </c>
      <c r="I359" s="109"/>
      <c r="J359" s="110"/>
      <c r="K359" s="165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64">
        <v>0</v>
      </c>
      <c r="F360" s="109"/>
      <c r="G360" s="110"/>
      <c r="H360" s="164">
        <v>0</v>
      </c>
      <c r="I360" s="109"/>
      <c r="J360" s="110"/>
      <c r="K360" s="165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64">
        <v>0</v>
      </c>
      <c r="F361" s="109"/>
      <c r="G361" s="110"/>
      <c r="H361" s="164">
        <v>0</v>
      </c>
      <c r="I361" s="109"/>
      <c r="J361" s="110"/>
      <c r="K361" s="165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64">
        <v>0</v>
      </c>
      <c r="F362" s="109"/>
      <c r="G362" s="110"/>
      <c r="H362" s="164">
        <v>0</v>
      </c>
      <c r="I362" s="109"/>
      <c r="J362" s="110"/>
      <c r="K362" s="165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64">
        <v>0</v>
      </c>
      <c r="F363" s="109"/>
      <c r="G363" s="110"/>
      <c r="H363" s="164">
        <v>0</v>
      </c>
      <c r="I363" s="109"/>
      <c r="J363" s="110"/>
      <c r="K363" s="165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64">
        <v>0</v>
      </c>
      <c r="F364" s="109"/>
      <c r="G364" s="110"/>
      <c r="H364" s="164">
        <v>0</v>
      </c>
      <c r="I364" s="109"/>
      <c r="J364" s="110"/>
      <c r="K364" s="165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64">
        <v>0</v>
      </c>
      <c r="F365" s="109"/>
      <c r="G365" s="110"/>
      <c r="H365" s="164">
        <v>0</v>
      </c>
      <c r="I365" s="109"/>
      <c r="J365" s="110"/>
      <c r="K365" s="165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64">
        <v>0</v>
      </c>
      <c r="F366" s="109"/>
      <c r="G366" s="110"/>
      <c r="H366" s="164">
        <v>0</v>
      </c>
      <c r="I366" s="109"/>
      <c r="J366" s="110"/>
      <c r="K366" s="165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64">
        <v>0</v>
      </c>
      <c r="F367" s="109"/>
      <c r="G367" s="110"/>
      <c r="H367" s="164">
        <v>0</v>
      </c>
      <c r="I367" s="109"/>
      <c r="J367" s="110"/>
      <c r="K367" s="165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64">
        <v>0</v>
      </c>
      <c r="F368" s="109"/>
      <c r="G368" s="110"/>
      <c r="H368" s="164">
        <v>0</v>
      </c>
      <c r="I368" s="109"/>
      <c r="J368" s="110"/>
      <c r="K368" s="165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64">
        <v>0</v>
      </c>
      <c r="F369" s="109"/>
      <c r="G369" s="110"/>
      <c r="H369" s="164">
        <v>0</v>
      </c>
      <c r="I369" s="109"/>
      <c r="J369" s="110"/>
      <c r="K369" s="165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64">
        <v>0</v>
      </c>
      <c r="F370" s="109"/>
      <c r="G370" s="110"/>
      <c r="H370" s="164">
        <v>0</v>
      </c>
      <c r="I370" s="109"/>
      <c r="J370" s="110"/>
      <c r="K370" s="165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64">
        <v>0</v>
      </c>
      <c r="F371" s="109"/>
      <c r="G371" s="110"/>
      <c r="H371" s="164">
        <v>0</v>
      </c>
      <c r="I371" s="109"/>
      <c r="J371" s="110"/>
      <c r="K371" s="165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64">
        <v>0</v>
      </c>
      <c r="F372" s="109"/>
      <c r="G372" s="110"/>
      <c r="H372" s="164">
        <v>0</v>
      </c>
      <c r="I372" s="109"/>
      <c r="J372" s="110"/>
      <c r="K372" s="165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64">
        <v>0</v>
      </c>
      <c r="F373" s="109"/>
      <c r="G373" s="110"/>
      <c r="H373" s="164">
        <v>0</v>
      </c>
      <c r="I373" s="109"/>
      <c r="J373" s="110"/>
      <c r="K373" s="165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64">
        <v>0</v>
      </c>
      <c r="F374" s="109"/>
      <c r="G374" s="110"/>
      <c r="H374" s="164">
        <v>0</v>
      </c>
      <c r="I374" s="109"/>
      <c r="J374" s="110"/>
      <c r="K374" s="165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64">
        <v>0</v>
      </c>
      <c r="F375" s="109"/>
      <c r="G375" s="110"/>
      <c r="H375" s="164">
        <v>0</v>
      </c>
      <c r="I375" s="109"/>
      <c r="J375" s="110"/>
      <c r="K375" s="165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64">
        <v>0</v>
      </c>
      <c r="F376" s="109"/>
      <c r="G376" s="110"/>
      <c r="H376" s="164">
        <v>0</v>
      </c>
      <c r="I376" s="109"/>
      <c r="J376" s="110"/>
      <c r="K376" s="165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64">
        <v>0</v>
      </c>
      <c r="F377" s="109"/>
      <c r="G377" s="110"/>
      <c r="H377" s="164">
        <v>0</v>
      </c>
      <c r="I377" s="109"/>
      <c r="J377" s="110"/>
      <c r="K377" s="165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64">
        <v>0</v>
      </c>
      <c r="F378" s="109"/>
      <c r="G378" s="110"/>
      <c r="H378" s="164">
        <v>0</v>
      </c>
      <c r="I378" s="109"/>
      <c r="J378" s="110"/>
      <c r="K378" s="165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64">
        <v>0</v>
      </c>
      <c r="F379" s="109"/>
      <c r="G379" s="110"/>
      <c r="H379" s="164">
        <v>0</v>
      </c>
      <c r="I379" s="109"/>
      <c r="J379" s="110"/>
      <c r="K379" s="165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64">
        <v>0</v>
      </c>
      <c r="F380" s="109"/>
      <c r="G380" s="110"/>
      <c r="H380" s="164">
        <v>0</v>
      </c>
      <c r="I380" s="109"/>
      <c r="J380" s="110"/>
      <c r="K380" s="165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64">
        <v>0</v>
      </c>
      <c r="F381" s="109"/>
      <c r="G381" s="110"/>
      <c r="H381" s="164">
        <v>0</v>
      </c>
      <c r="I381" s="109"/>
      <c r="J381" s="110"/>
      <c r="K381" s="165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64">
        <v>0</v>
      </c>
      <c r="F382" s="109"/>
      <c r="G382" s="110"/>
      <c r="H382" s="164">
        <v>0</v>
      </c>
      <c r="I382" s="109"/>
      <c r="J382" s="110"/>
      <c r="K382" s="165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64">
        <v>0</v>
      </c>
      <c r="F383" s="109"/>
      <c r="G383" s="110"/>
      <c r="H383" s="164">
        <v>0</v>
      </c>
      <c r="I383" s="109"/>
      <c r="J383" s="110"/>
      <c r="K383" s="165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64">
        <v>0</v>
      </c>
      <c r="F384" s="109"/>
      <c r="G384" s="110"/>
      <c r="H384" s="164">
        <v>0</v>
      </c>
      <c r="I384" s="109"/>
      <c r="J384" s="110"/>
      <c r="K384" s="165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64">
        <v>0</v>
      </c>
      <c r="F385" s="109"/>
      <c r="G385" s="110"/>
      <c r="H385" s="164">
        <v>0</v>
      </c>
      <c r="I385" s="109"/>
      <c r="J385" s="110"/>
      <c r="K385" s="165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64">
        <v>0</v>
      </c>
      <c r="F386" s="109"/>
      <c r="G386" s="110"/>
      <c r="H386" s="164">
        <v>0</v>
      </c>
      <c r="I386" s="109"/>
      <c r="J386" s="110"/>
      <c r="K386" s="165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64">
        <v>0</v>
      </c>
      <c r="F387" s="109"/>
      <c r="G387" s="110"/>
      <c r="H387" s="164">
        <v>0</v>
      </c>
      <c r="I387" s="109"/>
      <c r="J387" s="110"/>
      <c r="K387" s="165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64">
        <v>0</v>
      </c>
      <c r="F388" s="109"/>
      <c r="G388" s="110"/>
      <c r="H388" s="164">
        <v>0</v>
      </c>
      <c r="I388" s="109"/>
      <c r="J388" s="110"/>
      <c r="K388" s="165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64">
        <v>0</v>
      </c>
      <c r="F389" s="109"/>
      <c r="G389" s="110"/>
      <c r="H389" s="164">
        <v>0</v>
      </c>
      <c r="I389" s="109"/>
      <c r="J389" s="110"/>
      <c r="K389" s="165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64">
        <v>0</v>
      </c>
      <c r="F390" s="109"/>
      <c r="G390" s="110"/>
      <c r="H390" s="164">
        <v>0</v>
      </c>
      <c r="I390" s="109"/>
      <c r="J390" s="110"/>
      <c r="K390" s="165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64">
        <v>0</v>
      </c>
      <c r="F391" s="109"/>
      <c r="G391" s="110"/>
      <c r="H391" s="164">
        <v>0</v>
      </c>
      <c r="I391" s="109"/>
      <c r="J391" s="110"/>
      <c r="K391" s="165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64">
        <v>0</v>
      </c>
      <c r="F392" s="109"/>
      <c r="G392" s="110"/>
      <c r="H392" s="164">
        <v>0</v>
      </c>
      <c r="I392" s="109"/>
      <c r="J392" s="110"/>
      <c r="K392" s="165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64">
        <v>0</v>
      </c>
      <c r="F393" s="109"/>
      <c r="G393" s="110"/>
      <c r="H393" s="164">
        <v>0</v>
      </c>
      <c r="I393" s="109"/>
      <c r="J393" s="110"/>
      <c r="K393" s="165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64">
        <v>0</v>
      </c>
      <c r="F394" s="109"/>
      <c r="G394" s="110"/>
      <c r="H394" s="164">
        <v>0</v>
      </c>
      <c r="I394" s="109"/>
      <c r="J394" s="110"/>
      <c r="K394" s="165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64">
        <v>0</v>
      </c>
      <c r="F395" s="109"/>
      <c r="G395" s="110"/>
      <c r="H395" s="164">
        <v>0</v>
      </c>
      <c r="I395" s="109"/>
      <c r="J395" s="110"/>
      <c r="K395" s="165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64">
        <v>0</v>
      </c>
      <c r="F396" s="109"/>
      <c r="G396" s="110"/>
      <c r="H396" s="164">
        <v>0</v>
      </c>
      <c r="I396" s="109"/>
      <c r="J396" s="110"/>
      <c r="K396" s="165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64">
        <v>0</v>
      </c>
      <c r="F397" s="109"/>
      <c r="G397" s="110"/>
      <c r="H397" s="164">
        <v>0</v>
      </c>
      <c r="I397" s="109"/>
      <c r="J397" s="110"/>
      <c r="K397" s="165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64">
        <v>0</v>
      </c>
      <c r="F398" s="109"/>
      <c r="G398" s="110"/>
      <c r="H398" s="164">
        <v>0</v>
      </c>
      <c r="I398" s="109"/>
      <c r="J398" s="110"/>
      <c r="K398" s="165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64">
        <v>0</v>
      </c>
      <c r="F399" s="109"/>
      <c r="G399" s="110"/>
      <c r="H399" s="164">
        <v>0</v>
      </c>
      <c r="I399" s="109"/>
      <c r="J399" s="110"/>
      <c r="K399" s="165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64">
        <v>0</v>
      </c>
      <c r="F400" s="109"/>
      <c r="G400" s="110"/>
      <c r="H400" s="164">
        <v>0</v>
      </c>
      <c r="I400" s="109"/>
      <c r="J400" s="110"/>
      <c r="K400" s="165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64">
        <v>0</v>
      </c>
      <c r="F401" s="109"/>
      <c r="G401" s="110"/>
      <c r="H401" s="164">
        <v>0</v>
      </c>
      <c r="I401" s="109"/>
      <c r="J401" s="110"/>
      <c r="K401" s="165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64">
        <v>0</v>
      </c>
      <c r="F402" s="109"/>
      <c r="G402" s="110"/>
      <c r="H402" s="164">
        <v>0</v>
      </c>
      <c r="I402" s="109"/>
      <c r="J402" s="110"/>
      <c r="K402" s="165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64">
        <v>0</v>
      </c>
      <c r="F403" s="109"/>
      <c r="G403" s="110"/>
      <c r="H403" s="164">
        <v>0</v>
      </c>
      <c r="I403" s="109"/>
      <c r="J403" s="110"/>
      <c r="K403" s="165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64">
        <v>0</v>
      </c>
      <c r="F404" s="109"/>
      <c r="G404" s="110"/>
      <c r="H404" s="164">
        <v>0</v>
      </c>
      <c r="I404" s="109"/>
      <c r="J404" s="110"/>
      <c r="K404" s="165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64">
        <v>0</v>
      </c>
      <c r="F405" s="109"/>
      <c r="G405" s="110"/>
      <c r="H405" s="164">
        <v>0</v>
      </c>
      <c r="I405" s="109"/>
      <c r="J405" s="110"/>
      <c r="K405" s="165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64">
        <v>0</v>
      </c>
      <c r="F406" s="109"/>
      <c r="G406" s="110"/>
      <c r="H406" s="164">
        <v>0</v>
      </c>
      <c r="I406" s="109"/>
      <c r="J406" s="110"/>
      <c r="K406" s="165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64">
        <v>0</v>
      </c>
      <c r="F407" s="109"/>
      <c r="G407" s="110"/>
      <c r="H407" s="164">
        <v>0</v>
      </c>
      <c r="I407" s="109"/>
      <c r="J407" s="110"/>
      <c r="K407" s="165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64">
        <v>0</v>
      </c>
      <c r="F408" s="109"/>
      <c r="G408" s="110"/>
      <c r="H408" s="164">
        <v>0</v>
      </c>
      <c r="I408" s="109"/>
      <c r="J408" s="110"/>
      <c r="K408" s="165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64">
        <v>0</v>
      </c>
      <c r="F409" s="109"/>
      <c r="G409" s="110"/>
      <c r="H409" s="164">
        <v>0</v>
      </c>
      <c r="I409" s="109"/>
      <c r="J409" s="110"/>
      <c r="K409" s="165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64">
        <v>0</v>
      </c>
      <c r="F410" s="109"/>
      <c r="G410" s="110"/>
      <c r="H410" s="164">
        <v>0</v>
      </c>
      <c r="I410" s="109"/>
      <c r="J410" s="110"/>
      <c r="K410" s="165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64">
        <v>0</v>
      </c>
      <c r="F411" s="109"/>
      <c r="G411" s="110"/>
      <c r="H411" s="164">
        <v>0</v>
      </c>
      <c r="I411" s="109"/>
      <c r="J411" s="110"/>
      <c r="K411" s="165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64">
        <v>0</v>
      </c>
      <c r="F412" s="109"/>
      <c r="G412" s="110"/>
      <c r="H412" s="164">
        <v>0</v>
      </c>
      <c r="I412" s="109"/>
      <c r="J412" s="110"/>
      <c r="K412" s="165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64">
        <v>0</v>
      </c>
      <c r="F413" s="109"/>
      <c r="G413" s="110"/>
      <c r="H413" s="164">
        <v>0</v>
      </c>
      <c r="I413" s="109"/>
      <c r="J413" s="110"/>
      <c r="K413" s="165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64">
        <v>0</v>
      </c>
      <c r="F414" s="109"/>
      <c r="G414" s="110"/>
      <c r="H414" s="164">
        <v>0</v>
      </c>
      <c r="I414" s="109"/>
      <c r="J414" s="110"/>
      <c r="K414" s="165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64">
        <v>0</v>
      </c>
      <c r="F415" s="109"/>
      <c r="G415" s="110"/>
      <c r="H415" s="164">
        <v>0</v>
      </c>
      <c r="I415" s="109"/>
      <c r="J415" s="110"/>
      <c r="K415" s="165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64">
        <v>0</v>
      </c>
      <c r="F416" s="109"/>
      <c r="G416" s="110"/>
      <c r="H416" s="164">
        <v>0</v>
      </c>
      <c r="I416" s="109"/>
      <c r="J416" s="110"/>
      <c r="K416" s="165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64">
        <v>0</v>
      </c>
      <c r="F417" s="109"/>
      <c r="G417" s="110"/>
      <c r="H417" s="164">
        <v>0</v>
      </c>
      <c r="I417" s="109"/>
      <c r="J417" s="110"/>
      <c r="K417" s="165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64">
        <v>0</v>
      </c>
      <c r="F418" s="109"/>
      <c r="G418" s="110"/>
      <c r="H418" s="164">
        <v>0</v>
      </c>
      <c r="I418" s="109"/>
      <c r="J418" s="110"/>
      <c r="K418" s="165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64">
        <v>0</v>
      </c>
      <c r="F419" s="109"/>
      <c r="G419" s="110"/>
      <c r="H419" s="164">
        <v>0</v>
      </c>
      <c r="I419" s="109"/>
      <c r="J419" s="110"/>
      <c r="K419" s="165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64">
        <v>0</v>
      </c>
      <c r="F420" s="109"/>
      <c r="G420" s="110"/>
      <c r="H420" s="164">
        <v>0</v>
      </c>
      <c r="I420" s="109"/>
      <c r="J420" s="110"/>
      <c r="K420" s="165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64">
        <v>0</v>
      </c>
      <c r="F421" s="109"/>
      <c r="G421" s="110"/>
      <c r="H421" s="164">
        <v>0</v>
      </c>
      <c r="I421" s="109"/>
      <c r="J421" s="110"/>
      <c r="K421" s="165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64">
        <v>0</v>
      </c>
      <c r="F422" s="109"/>
      <c r="G422" s="110"/>
      <c r="H422" s="164">
        <v>0</v>
      </c>
      <c r="I422" s="109"/>
      <c r="J422" s="110"/>
      <c r="K422" s="165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64">
        <v>0</v>
      </c>
      <c r="F423" s="109"/>
      <c r="G423" s="110"/>
      <c r="H423" s="164">
        <v>0</v>
      </c>
      <c r="I423" s="109"/>
      <c r="J423" s="110"/>
      <c r="K423" s="165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64">
        <v>0</v>
      </c>
      <c r="F424" s="109"/>
      <c r="G424" s="110"/>
      <c r="H424" s="164">
        <v>0</v>
      </c>
      <c r="I424" s="109"/>
      <c r="J424" s="110"/>
      <c r="K424" s="165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64">
        <v>0</v>
      </c>
      <c r="F425" s="109"/>
      <c r="G425" s="110"/>
      <c r="H425" s="164">
        <v>0</v>
      </c>
      <c r="I425" s="109"/>
      <c r="J425" s="110"/>
      <c r="K425" s="165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64">
        <v>0</v>
      </c>
      <c r="F426" s="109"/>
      <c r="G426" s="110"/>
      <c r="H426" s="164">
        <v>0</v>
      </c>
      <c r="I426" s="109"/>
      <c r="J426" s="110"/>
      <c r="K426" s="165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64">
        <v>0</v>
      </c>
      <c r="F427" s="109"/>
      <c r="G427" s="110"/>
      <c r="H427" s="164">
        <v>0</v>
      </c>
      <c r="I427" s="109"/>
      <c r="J427" s="110"/>
      <c r="K427" s="165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64">
        <v>0</v>
      </c>
      <c r="F428" s="109"/>
      <c r="G428" s="110"/>
      <c r="H428" s="164">
        <v>0</v>
      </c>
      <c r="I428" s="109"/>
      <c r="J428" s="110"/>
      <c r="K428" s="165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64">
        <v>0</v>
      </c>
      <c r="F429" s="109"/>
      <c r="G429" s="110"/>
      <c r="H429" s="164">
        <v>0</v>
      </c>
      <c r="I429" s="109"/>
      <c r="J429" s="110"/>
      <c r="K429" s="165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64">
        <v>0</v>
      </c>
      <c r="F430" s="109"/>
      <c r="G430" s="110"/>
      <c r="H430" s="164">
        <v>0</v>
      </c>
      <c r="I430" s="109"/>
      <c r="J430" s="110"/>
      <c r="K430" s="165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64">
        <v>0</v>
      </c>
      <c r="F431" s="109"/>
      <c r="G431" s="110"/>
      <c r="H431" s="164">
        <v>0</v>
      </c>
      <c r="I431" s="109"/>
      <c r="J431" s="110"/>
      <c r="K431" s="165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64">
        <v>0</v>
      </c>
      <c r="F432" s="109"/>
      <c r="G432" s="110"/>
      <c r="H432" s="164">
        <v>0</v>
      </c>
      <c r="I432" s="109"/>
      <c r="J432" s="110"/>
      <c r="K432" s="165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64">
        <v>0</v>
      </c>
      <c r="F433" s="109"/>
      <c r="G433" s="110"/>
      <c r="H433" s="164">
        <v>0</v>
      </c>
      <c r="I433" s="109"/>
      <c r="J433" s="110"/>
      <c r="K433" s="165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64">
        <v>0</v>
      </c>
      <c r="F434" s="109"/>
      <c r="G434" s="110"/>
      <c r="H434" s="164">
        <v>0</v>
      </c>
      <c r="I434" s="109"/>
      <c r="J434" s="110"/>
      <c r="K434" s="165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64">
        <v>0</v>
      </c>
      <c r="F435" s="109"/>
      <c r="G435" s="110"/>
      <c r="H435" s="164">
        <v>0</v>
      </c>
      <c r="I435" s="109"/>
      <c r="J435" s="110"/>
      <c r="K435" s="165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64">
        <v>0</v>
      </c>
      <c r="F436" s="109"/>
      <c r="G436" s="110"/>
      <c r="H436" s="164">
        <v>0</v>
      </c>
      <c r="I436" s="109"/>
      <c r="J436" s="110"/>
      <c r="K436" s="165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64">
        <v>0</v>
      </c>
      <c r="F437" s="109"/>
      <c r="G437" s="110"/>
      <c r="H437" s="164">
        <v>0</v>
      </c>
      <c r="I437" s="109"/>
      <c r="J437" s="110"/>
      <c r="K437" s="165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64">
        <v>0</v>
      </c>
      <c r="F438" s="109"/>
      <c r="G438" s="110"/>
      <c r="H438" s="164">
        <v>0</v>
      </c>
      <c r="I438" s="109"/>
      <c r="J438" s="110"/>
      <c r="K438" s="165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64">
        <v>0</v>
      </c>
      <c r="F439" s="109"/>
      <c r="G439" s="110"/>
      <c r="H439" s="164">
        <v>0</v>
      </c>
      <c r="I439" s="109"/>
      <c r="J439" s="110"/>
      <c r="K439" s="165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64">
        <v>0</v>
      </c>
      <c r="F440" s="109"/>
      <c r="G440" s="110"/>
      <c r="H440" s="164">
        <v>0</v>
      </c>
      <c r="I440" s="109"/>
      <c r="J440" s="110"/>
      <c r="K440" s="165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64">
        <v>0</v>
      </c>
      <c r="F441" s="109"/>
      <c r="G441" s="110"/>
      <c r="H441" s="164">
        <v>0</v>
      </c>
      <c r="I441" s="109"/>
      <c r="J441" s="110"/>
      <c r="K441" s="165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64">
        <v>0</v>
      </c>
      <c r="F442" s="109"/>
      <c r="G442" s="110"/>
      <c r="H442" s="164">
        <v>0</v>
      </c>
      <c r="I442" s="109"/>
      <c r="J442" s="110"/>
      <c r="K442" s="165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64">
        <v>0</v>
      </c>
      <c r="F443" s="109"/>
      <c r="G443" s="110"/>
      <c r="H443" s="164">
        <v>0</v>
      </c>
      <c r="I443" s="109"/>
      <c r="J443" s="110"/>
      <c r="K443" s="165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64">
        <v>0</v>
      </c>
      <c r="F444" s="109"/>
      <c r="G444" s="110"/>
      <c r="H444" s="164">
        <v>0</v>
      </c>
      <c r="I444" s="109"/>
      <c r="J444" s="110"/>
      <c r="K444" s="165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64">
        <v>0</v>
      </c>
      <c r="F445" s="109"/>
      <c r="G445" s="110"/>
      <c r="H445" s="164">
        <v>0</v>
      </c>
      <c r="I445" s="109"/>
      <c r="J445" s="110"/>
      <c r="K445" s="165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64">
        <v>0</v>
      </c>
      <c r="F446" s="109"/>
      <c r="G446" s="110"/>
      <c r="H446" s="164">
        <v>0</v>
      </c>
      <c r="I446" s="109"/>
      <c r="J446" s="110"/>
      <c r="K446" s="165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64">
        <v>0</v>
      </c>
      <c r="F447" s="109"/>
      <c r="G447" s="110"/>
      <c r="H447" s="164">
        <v>0</v>
      </c>
      <c r="I447" s="109"/>
      <c r="J447" s="110"/>
      <c r="K447" s="165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64">
        <v>0</v>
      </c>
      <c r="F448" s="109"/>
      <c r="G448" s="110"/>
      <c r="H448" s="164">
        <v>0</v>
      </c>
      <c r="I448" s="109"/>
      <c r="J448" s="110"/>
      <c r="K448" s="165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64">
        <v>0</v>
      </c>
      <c r="F449" s="109"/>
      <c r="G449" s="110"/>
      <c r="H449" s="164">
        <v>0</v>
      </c>
      <c r="I449" s="109"/>
      <c r="J449" s="110"/>
      <c r="K449" s="165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64">
        <v>0</v>
      </c>
      <c r="F450" s="109"/>
      <c r="G450" s="110"/>
      <c r="H450" s="164">
        <v>0</v>
      </c>
      <c r="I450" s="109"/>
      <c r="J450" s="110"/>
      <c r="K450" s="165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64">
        <v>0</v>
      </c>
      <c r="F451" s="109"/>
      <c r="G451" s="110"/>
      <c r="H451" s="164">
        <v>0</v>
      </c>
      <c r="I451" s="109"/>
      <c r="J451" s="110"/>
      <c r="K451" s="165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64">
        <v>0</v>
      </c>
      <c r="F452" s="109"/>
      <c r="G452" s="110"/>
      <c r="H452" s="164">
        <v>0</v>
      </c>
      <c r="I452" s="109"/>
      <c r="J452" s="110"/>
      <c r="K452" s="165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64">
        <v>0</v>
      </c>
      <c r="F453" s="109"/>
      <c r="G453" s="110"/>
      <c r="H453" s="164">
        <v>0</v>
      </c>
      <c r="I453" s="109"/>
      <c r="J453" s="110"/>
      <c r="K453" s="165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64">
        <v>0</v>
      </c>
      <c r="F454" s="109"/>
      <c r="G454" s="110"/>
      <c r="H454" s="164">
        <v>0</v>
      </c>
      <c r="I454" s="109"/>
      <c r="J454" s="110"/>
      <c r="K454" s="165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64">
        <v>0</v>
      </c>
      <c r="F455" s="109"/>
      <c r="G455" s="110"/>
      <c r="H455" s="164">
        <v>0</v>
      </c>
      <c r="I455" s="109"/>
      <c r="J455" s="110"/>
      <c r="K455" s="165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64">
        <v>0</v>
      </c>
      <c r="F456" s="109"/>
      <c r="G456" s="110"/>
      <c r="H456" s="164">
        <v>0</v>
      </c>
      <c r="I456" s="109"/>
      <c r="J456" s="110"/>
      <c r="K456" s="165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64">
        <v>0</v>
      </c>
      <c r="F457" s="109"/>
      <c r="G457" s="110"/>
      <c r="H457" s="164">
        <v>0</v>
      </c>
      <c r="I457" s="109"/>
      <c r="J457" s="110"/>
      <c r="K457" s="165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64">
        <v>0</v>
      </c>
      <c r="F458" s="109"/>
      <c r="G458" s="110"/>
      <c r="H458" s="164">
        <v>0</v>
      </c>
      <c r="I458" s="109"/>
      <c r="J458" s="110"/>
      <c r="K458" s="165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64">
        <v>0</v>
      </c>
      <c r="F459" s="109"/>
      <c r="G459" s="110"/>
      <c r="H459" s="164">
        <v>0</v>
      </c>
      <c r="I459" s="109"/>
      <c r="J459" s="110"/>
      <c r="K459" s="165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64">
        <v>0</v>
      </c>
      <c r="F460" s="109"/>
      <c r="G460" s="110"/>
      <c r="H460" s="164">
        <v>0</v>
      </c>
      <c r="I460" s="109"/>
      <c r="J460" s="110"/>
      <c r="K460" s="165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64">
        <v>0</v>
      </c>
      <c r="F461" s="109"/>
      <c r="G461" s="110"/>
      <c r="H461" s="164">
        <v>0</v>
      </c>
      <c r="I461" s="109"/>
      <c r="J461" s="110"/>
      <c r="K461" s="165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64">
        <v>0</v>
      </c>
      <c r="F462" s="109"/>
      <c r="G462" s="110"/>
      <c r="H462" s="164">
        <v>0</v>
      </c>
      <c r="I462" s="109"/>
      <c r="J462" s="110"/>
      <c r="K462" s="165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64">
        <v>0</v>
      </c>
      <c r="F463" s="109"/>
      <c r="G463" s="110"/>
      <c r="H463" s="164">
        <v>0</v>
      </c>
      <c r="I463" s="109"/>
      <c r="J463" s="110"/>
      <c r="K463" s="165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64">
        <v>0</v>
      </c>
      <c r="F464" s="109"/>
      <c r="G464" s="110"/>
      <c r="H464" s="164">
        <v>0</v>
      </c>
      <c r="I464" s="109"/>
      <c r="J464" s="110"/>
      <c r="K464" s="165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64">
        <v>0</v>
      </c>
      <c r="F465" s="109"/>
      <c r="G465" s="110"/>
      <c r="H465" s="164">
        <v>0</v>
      </c>
      <c r="I465" s="109"/>
      <c r="J465" s="110"/>
      <c r="K465" s="165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64">
        <v>0</v>
      </c>
      <c r="F466" s="109"/>
      <c r="G466" s="110"/>
      <c r="H466" s="164">
        <v>0</v>
      </c>
      <c r="I466" s="109"/>
      <c r="J466" s="110"/>
      <c r="K466" s="165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64">
        <v>0</v>
      </c>
      <c r="F467" s="109"/>
      <c r="G467" s="110"/>
      <c r="H467" s="164">
        <v>0</v>
      </c>
      <c r="I467" s="109"/>
      <c r="J467" s="110"/>
      <c r="K467" s="165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64">
        <v>0</v>
      </c>
      <c r="F468" s="109"/>
      <c r="G468" s="110"/>
      <c r="H468" s="164">
        <v>0</v>
      </c>
      <c r="I468" s="109"/>
      <c r="J468" s="110"/>
      <c r="K468" s="165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64">
        <v>0</v>
      </c>
      <c r="F469" s="109"/>
      <c r="G469" s="110"/>
      <c r="H469" s="164">
        <v>0</v>
      </c>
      <c r="I469" s="109"/>
      <c r="J469" s="110"/>
      <c r="K469" s="165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64">
        <v>0</v>
      </c>
      <c r="F470" s="109"/>
      <c r="G470" s="110"/>
      <c r="H470" s="164">
        <v>0</v>
      </c>
      <c r="I470" s="109"/>
      <c r="J470" s="110"/>
      <c r="K470" s="165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64">
        <v>0</v>
      </c>
      <c r="F471" s="109"/>
      <c r="G471" s="110"/>
      <c r="H471" s="164">
        <v>0</v>
      </c>
      <c r="I471" s="109"/>
      <c r="J471" s="110"/>
      <c r="K471" s="165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64">
        <v>0</v>
      </c>
      <c r="F472" s="109"/>
      <c r="G472" s="110"/>
      <c r="H472" s="164">
        <v>0</v>
      </c>
      <c r="I472" s="109"/>
      <c r="J472" s="110"/>
      <c r="K472" s="165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64">
        <v>0</v>
      </c>
      <c r="F473" s="109"/>
      <c r="G473" s="110"/>
      <c r="H473" s="164">
        <v>0</v>
      </c>
      <c r="I473" s="109"/>
      <c r="J473" s="110"/>
      <c r="K473" s="165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64">
        <v>0</v>
      </c>
      <c r="F474" s="109"/>
      <c r="G474" s="110"/>
      <c r="H474" s="164">
        <v>0</v>
      </c>
      <c r="I474" s="109"/>
      <c r="J474" s="110"/>
      <c r="K474" s="165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64">
        <v>0</v>
      </c>
      <c r="F475" s="109"/>
      <c r="G475" s="110"/>
      <c r="H475" s="164">
        <v>0</v>
      </c>
      <c r="I475" s="109"/>
      <c r="J475" s="110"/>
      <c r="K475" s="165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64">
        <v>0</v>
      </c>
      <c r="F476" s="109"/>
      <c r="G476" s="110"/>
      <c r="H476" s="164">
        <v>0</v>
      </c>
      <c r="I476" s="109"/>
      <c r="J476" s="110"/>
      <c r="K476" s="165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64">
        <v>0</v>
      </c>
      <c r="F477" s="109"/>
      <c r="G477" s="110"/>
      <c r="H477" s="164">
        <v>0</v>
      </c>
      <c r="I477" s="109"/>
      <c r="J477" s="110"/>
      <c r="K477" s="165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64">
        <v>0</v>
      </c>
      <c r="F478" s="109"/>
      <c r="G478" s="110"/>
      <c r="H478" s="164">
        <v>0</v>
      </c>
      <c r="I478" s="109"/>
      <c r="J478" s="110"/>
      <c r="K478" s="165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64">
        <v>0</v>
      </c>
      <c r="F479" s="109"/>
      <c r="G479" s="110"/>
      <c r="H479" s="164">
        <v>0</v>
      </c>
      <c r="I479" s="109"/>
      <c r="J479" s="110"/>
      <c r="K479" s="165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64">
        <v>0</v>
      </c>
      <c r="F480" s="109"/>
      <c r="G480" s="110"/>
      <c r="H480" s="164">
        <v>0</v>
      </c>
      <c r="I480" s="109"/>
      <c r="J480" s="110"/>
      <c r="K480" s="165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64">
        <v>0</v>
      </c>
      <c r="F481" s="109"/>
      <c r="G481" s="110"/>
      <c r="H481" s="164">
        <v>0</v>
      </c>
      <c r="I481" s="109"/>
      <c r="J481" s="110"/>
      <c r="K481" s="165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64">
        <v>0</v>
      </c>
      <c r="F482" s="109"/>
      <c r="G482" s="110"/>
      <c r="H482" s="164">
        <v>0</v>
      </c>
      <c r="I482" s="109"/>
      <c r="J482" s="110"/>
      <c r="K482" s="165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64">
        <v>0</v>
      </c>
      <c r="F483" s="109"/>
      <c r="G483" s="110"/>
      <c r="H483" s="164">
        <v>0</v>
      </c>
      <c r="I483" s="109"/>
      <c r="J483" s="110"/>
      <c r="K483" s="165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64">
        <v>0</v>
      </c>
      <c r="F484" s="109"/>
      <c r="G484" s="110"/>
      <c r="H484" s="164">
        <v>0</v>
      </c>
      <c r="I484" s="109"/>
      <c r="J484" s="110"/>
      <c r="K484" s="165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64">
        <v>0</v>
      </c>
      <c r="F485" s="109"/>
      <c r="G485" s="110"/>
      <c r="H485" s="164">
        <v>0</v>
      </c>
      <c r="I485" s="109"/>
      <c r="J485" s="110"/>
      <c r="K485" s="165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64">
        <v>0</v>
      </c>
      <c r="F486" s="109"/>
      <c r="G486" s="110"/>
      <c r="H486" s="164">
        <v>0</v>
      </c>
      <c r="I486" s="109"/>
      <c r="J486" s="110"/>
      <c r="K486" s="165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64">
        <v>0</v>
      </c>
      <c r="F487" s="109"/>
      <c r="G487" s="110"/>
      <c r="H487" s="164">
        <v>0</v>
      </c>
      <c r="I487" s="109"/>
      <c r="J487" s="110"/>
      <c r="K487" s="165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64">
        <v>0</v>
      </c>
      <c r="F488" s="109"/>
      <c r="G488" s="110"/>
      <c r="H488" s="164">
        <v>0</v>
      </c>
      <c r="I488" s="109"/>
      <c r="J488" s="110"/>
      <c r="K488" s="165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64">
        <v>0</v>
      </c>
      <c r="F489" s="109"/>
      <c r="G489" s="110"/>
      <c r="H489" s="164">
        <v>0</v>
      </c>
      <c r="I489" s="109"/>
      <c r="J489" s="110"/>
      <c r="K489" s="165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64">
        <v>0</v>
      </c>
      <c r="F490" s="109"/>
      <c r="G490" s="110"/>
      <c r="H490" s="164">
        <v>0</v>
      </c>
      <c r="I490" s="109"/>
      <c r="J490" s="110"/>
      <c r="K490" s="165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64">
        <v>0</v>
      </c>
      <c r="F491" s="109"/>
      <c r="G491" s="110"/>
      <c r="H491" s="164">
        <v>0</v>
      </c>
      <c r="I491" s="109"/>
      <c r="J491" s="110"/>
      <c r="K491" s="165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64">
        <v>0</v>
      </c>
      <c r="F492" s="109"/>
      <c r="G492" s="110"/>
      <c r="H492" s="164">
        <v>0</v>
      </c>
      <c r="I492" s="109"/>
      <c r="J492" s="110"/>
      <c r="K492" s="165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64">
        <v>0</v>
      </c>
      <c r="F493" s="109"/>
      <c r="G493" s="110"/>
      <c r="H493" s="164">
        <v>0</v>
      </c>
      <c r="I493" s="109"/>
      <c r="J493" s="110"/>
      <c r="K493" s="165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64">
        <v>0</v>
      </c>
      <c r="F494" s="109"/>
      <c r="G494" s="110"/>
      <c r="H494" s="164">
        <v>0</v>
      </c>
      <c r="I494" s="109"/>
      <c r="J494" s="110"/>
      <c r="K494" s="165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64">
        <v>0</v>
      </c>
      <c r="F495" s="109"/>
      <c r="G495" s="110"/>
      <c r="H495" s="164">
        <v>0</v>
      </c>
      <c r="I495" s="109"/>
      <c r="J495" s="110"/>
      <c r="K495" s="165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64">
        <v>0</v>
      </c>
      <c r="F496" s="109"/>
      <c r="G496" s="110"/>
      <c r="H496" s="164">
        <v>0</v>
      </c>
      <c r="I496" s="109"/>
      <c r="J496" s="110"/>
      <c r="K496" s="165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64">
        <v>0</v>
      </c>
      <c r="F497" s="109"/>
      <c r="G497" s="110"/>
      <c r="H497" s="164">
        <v>0</v>
      </c>
      <c r="I497" s="109"/>
      <c r="J497" s="110"/>
      <c r="K497" s="165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64">
        <v>0</v>
      </c>
      <c r="F498" s="109"/>
      <c r="G498" s="110"/>
      <c r="H498" s="164">
        <v>0</v>
      </c>
      <c r="I498" s="109"/>
      <c r="J498" s="110"/>
      <c r="K498" s="165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64">
        <v>0</v>
      </c>
      <c r="F499" s="109"/>
      <c r="G499" s="110"/>
      <c r="H499" s="164">
        <v>0</v>
      </c>
      <c r="I499" s="109"/>
      <c r="J499" s="110"/>
      <c r="K499" s="165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64">
        <v>0</v>
      </c>
      <c r="F500" s="109"/>
      <c r="G500" s="110"/>
      <c r="H500" s="164">
        <v>0</v>
      </c>
      <c r="I500" s="109"/>
      <c r="J500" s="110"/>
      <c r="K500" s="165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64">
        <v>0</v>
      </c>
      <c r="F501" s="109"/>
      <c r="G501" s="110"/>
      <c r="H501" s="164">
        <v>0</v>
      </c>
      <c r="I501" s="109"/>
      <c r="J501" s="110"/>
      <c r="K501" s="165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64">
        <v>0</v>
      </c>
      <c r="F502" s="109"/>
      <c r="G502" s="110"/>
      <c r="H502" s="164">
        <v>0</v>
      </c>
      <c r="I502" s="109"/>
      <c r="J502" s="110"/>
      <c r="K502" s="165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64">
        <v>0</v>
      </c>
      <c r="F503" s="109"/>
      <c r="G503" s="110"/>
      <c r="H503" s="164">
        <v>0</v>
      </c>
      <c r="I503" s="109"/>
      <c r="J503" s="110"/>
      <c r="K503" s="165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64">
        <v>0</v>
      </c>
      <c r="F504" s="109"/>
      <c r="G504" s="110"/>
      <c r="H504" s="164">
        <v>0</v>
      </c>
      <c r="I504" s="109"/>
      <c r="J504" s="110"/>
      <c r="K504" s="165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64">
        <v>0</v>
      </c>
      <c r="F505" s="109"/>
      <c r="G505" s="110"/>
      <c r="H505" s="164">
        <v>0</v>
      </c>
      <c r="I505" s="109"/>
      <c r="J505" s="110"/>
      <c r="K505" s="165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64">
        <v>0</v>
      </c>
      <c r="F506" s="109"/>
      <c r="G506" s="110"/>
      <c r="H506" s="164">
        <v>0</v>
      </c>
      <c r="I506" s="109"/>
      <c r="J506" s="110"/>
      <c r="K506" s="165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64">
        <v>0</v>
      </c>
      <c r="F507" s="109"/>
      <c r="G507" s="110"/>
      <c r="H507" s="164">
        <v>0</v>
      </c>
      <c r="I507" s="109"/>
      <c r="J507" s="110"/>
      <c r="K507" s="165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64">
        <v>0</v>
      </c>
      <c r="F508" s="109"/>
      <c r="G508" s="110"/>
      <c r="H508" s="164">
        <v>0</v>
      </c>
      <c r="I508" s="109"/>
      <c r="J508" s="110"/>
      <c r="K508" s="165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64">
        <v>0</v>
      </c>
      <c r="F509" s="109"/>
      <c r="G509" s="110"/>
      <c r="H509" s="164">
        <v>0</v>
      </c>
      <c r="I509" s="109"/>
      <c r="J509" s="110"/>
      <c r="K509" s="165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64">
        <v>0</v>
      </c>
      <c r="F510" s="109"/>
      <c r="G510" s="110"/>
      <c r="H510" s="164">
        <v>0</v>
      </c>
      <c r="I510" s="109"/>
      <c r="J510" s="110"/>
      <c r="K510" s="165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64">
        <v>0</v>
      </c>
      <c r="F511" s="109"/>
      <c r="G511" s="110"/>
      <c r="H511" s="164">
        <v>0</v>
      </c>
      <c r="I511" s="109"/>
      <c r="J511" s="110"/>
      <c r="K511" s="165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64">
        <v>0</v>
      </c>
      <c r="F512" s="109"/>
      <c r="G512" s="110"/>
      <c r="H512" s="164">
        <v>0</v>
      </c>
      <c r="I512" s="109"/>
      <c r="J512" s="110"/>
      <c r="K512" s="165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64">
        <v>0</v>
      </c>
      <c r="F513" s="109"/>
      <c r="G513" s="110"/>
      <c r="H513" s="164">
        <v>0</v>
      </c>
      <c r="I513" s="109"/>
      <c r="J513" s="110"/>
      <c r="K513" s="165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64">
        <v>0</v>
      </c>
      <c r="F514" s="109"/>
      <c r="G514" s="110"/>
      <c r="H514" s="164">
        <v>0</v>
      </c>
      <c r="I514" s="109"/>
      <c r="J514" s="110"/>
      <c r="K514" s="165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64">
        <v>0</v>
      </c>
      <c r="F515" s="109"/>
      <c r="G515" s="110"/>
      <c r="H515" s="164">
        <v>0</v>
      </c>
      <c r="I515" s="109"/>
      <c r="J515" s="110"/>
      <c r="K515" s="165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64">
        <v>0</v>
      </c>
      <c r="F516" s="109"/>
      <c r="G516" s="110"/>
      <c r="H516" s="164">
        <v>0</v>
      </c>
      <c r="I516" s="109"/>
      <c r="J516" s="110"/>
      <c r="K516" s="165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64">
        <v>0</v>
      </c>
      <c r="F517" s="109"/>
      <c r="G517" s="110"/>
      <c r="H517" s="164">
        <v>0</v>
      </c>
      <c r="I517" s="109"/>
      <c r="J517" s="110"/>
      <c r="K517" s="165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64">
        <v>0</v>
      </c>
      <c r="F518" s="109"/>
      <c r="G518" s="110"/>
      <c r="H518" s="164">
        <v>0</v>
      </c>
      <c r="I518" s="109"/>
      <c r="J518" s="110"/>
      <c r="K518" s="165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64">
        <v>0</v>
      </c>
      <c r="F519" s="109"/>
      <c r="G519" s="110"/>
      <c r="H519" s="164">
        <v>0</v>
      </c>
      <c r="I519" s="109"/>
      <c r="J519" s="110"/>
      <c r="K519" s="165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64">
        <v>0</v>
      </c>
      <c r="F520" s="109"/>
      <c r="G520" s="110"/>
      <c r="H520" s="164">
        <v>0</v>
      </c>
      <c r="I520" s="109"/>
      <c r="J520" s="110"/>
      <c r="K520" s="165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64">
        <v>0</v>
      </c>
      <c r="F521" s="109"/>
      <c r="G521" s="110"/>
      <c r="H521" s="164">
        <v>0</v>
      </c>
      <c r="I521" s="109"/>
      <c r="J521" s="110"/>
      <c r="K521" s="165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64">
        <v>0</v>
      </c>
      <c r="F522" s="109"/>
      <c r="G522" s="110"/>
      <c r="H522" s="164">
        <v>0</v>
      </c>
      <c r="I522" s="109"/>
      <c r="J522" s="110"/>
      <c r="K522" s="165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64">
        <v>0</v>
      </c>
      <c r="F523" s="109"/>
      <c r="G523" s="110"/>
      <c r="H523" s="164">
        <v>0</v>
      </c>
      <c r="I523" s="109"/>
      <c r="J523" s="110"/>
      <c r="K523" s="165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64">
        <v>0</v>
      </c>
      <c r="F524" s="109"/>
      <c r="G524" s="110"/>
      <c r="H524" s="164">
        <v>0</v>
      </c>
      <c r="I524" s="109"/>
      <c r="J524" s="110"/>
      <c r="K524" s="165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64">
        <v>0</v>
      </c>
      <c r="F525" s="109"/>
      <c r="G525" s="110"/>
      <c r="H525" s="164">
        <v>0</v>
      </c>
      <c r="I525" s="109"/>
      <c r="J525" s="110"/>
      <c r="K525" s="165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64">
        <v>0</v>
      </c>
      <c r="F526" s="109"/>
      <c r="G526" s="110"/>
      <c r="H526" s="164">
        <v>0</v>
      </c>
      <c r="I526" s="109"/>
      <c r="J526" s="110"/>
      <c r="K526" s="165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64">
        <v>0</v>
      </c>
      <c r="F527" s="109"/>
      <c r="G527" s="110"/>
      <c r="H527" s="164">
        <v>0</v>
      </c>
      <c r="I527" s="109"/>
      <c r="J527" s="110"/>
      <c r="K527" s="165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64">
        <v>0</v>
      </c>
      <c r="F528" s="109"/>
      <c r="G528" s="110"/>
      <c r="H528" s="164">
        <v>0</v>
      </c>
      <c r="I528" s="109"/>
      <c r="J528" s="110"/>
      <c r="K528" s="165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64">
        <v>0</v>
      </c>
      <c r="F529" s="109"/>
      <c r="G529" s="110"/>
      <c r="H529" s="164">
        <v>0</v>
      </c>
      <c r="I529" s="109"/>
      <c r="J529" s="110"/>
      <c r="K529" s="165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64">
        <v>0</v>
      </c>
      <c r="F530" s="109"/>
      <c r="G530" s="110"/>
      <c r="H530" s="164">
        <v>0</v>
      </c>
      <c r="I530" s="109"/>
      <c r="J530" s="110"/>
      <c r="K530" s="165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64">
        <v>0</v>
      </c>
      <c r="F531" s="109"/>
      <c r="G531" s="110"/>
      <c r="H531" s="164">
        <v>0</v>
      </c>
      <c r="I531" s="109"/>
      <c r="J531" s="110"/>
      <c r="K531" s="165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64">
        <v>0</v>
      </c>
      <c r="F532" s="109"/>
      <c r="G532" s="110"/>
      <c r="H532" s="164">
        <v>0</v>
      </c>
      <c r="I532" s="109"/>
      <c r="J532" s="110"/>
      <c r="K532" s="165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64">
        <v>0</v>
      </c>
      <c r="F533" s="109"/>
      <c r="G533" s="110"/>
      <c r="H533" s="164">
        <v>0</v>
      </c>
      <c r="I533" s="109"/>
      <c r="J533" s="110"/>
      <c r="K533" s="165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64">
        <v>0</v>
      </c>
      <c r="F534" s="109"/>
      <c r="G534" s="110"/>
      <c r="H534" s="164">
        <v>0</v>
      </c>
      <c r="I534" s="109"/>
      <c r="J534" s="110"/>
      <c r="K534" s="165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64">
        <v>0</v>
      </c>
      <c r="F535" s="109"/>
      <c r="G535" s="110"/>
      <c r="H535" s="164">
        <v>0</v>
      </c>
      <c r="I535" s="109"/>
      <c r="J535" s="110"/>
      <c r="K535" s="165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64">
        <v>0</v>
      </c>
      <c r="F536" s="109"/>
      <c r="G536" s="110"/>
      <c r="H536" s="164">
        <v>0</v>
      </c>
      <c r="I536" s="109"/>
      <c r="J536" s="110"/>
      <c r="K536" s="165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64">
        <v>0</v>
      </c>
      <c r="F537" s="109"/>
      <c r="G537" s="110"/>
      <c r="H537" s="164">
        <v>0</v>
      </c>
      <c r="I537" s="109"/>
      <c r="J537" s="110"/>
      <c r="K537" s="165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64">
        <v>0</v>
      </c>
      <c r="F538" s="109"/>
      <c r="G538" s="110"/>
      <c r="H538" s="164">
        <v>0</v>
      </c>
      <c r="I538" s="109"/>
      <c r="J538" s="110"/>
      <c r="K538" s="165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64">
        <v>0</v>
      </c>
      <c r="F539" s="109"/>
      <c r="G539" s="110"/>
      <c r="H539" s="164">
        <v>0</v>
      </c>
      <c r="I539" s="109"/>
      <c r="J539" s="110"/>
      <c r="K539" s="165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64">
        <v>0</v>
      </c>
      <c r="F540" s="109"/>
      <c r="G540" s="110"/>
      <c r="H540" s="164">
        <v>0</v>
      </c>
      <c r="I540" s="109"/>
      <c r="J540" s="110"/>
      <c r="K540" s="165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64">
        <v>0</v>
      </c>
      <c r="F541" s="109"/>
      <c r="G541" s="110"/>
      <c r="H541" s="164">
        <v>0</v>
      </c>
      <c r="I541" s="109"/>
      <c r="J541" s="110"/>
      <c r="K541" s="165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64">
        <v>0</v>
      </c>
      <c r="F542" s="109"/>
      <c r="G542" s="110"/>
      <c r="H542" s="164">
        <v>0</v>
      </c>
      <c r="I542" s="109"/>
      <c r="J542" s="110"/>
      <c r="K542" s="165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64">
        <v>0</v>
      </c>
      <c r="F543" s="109"/>
      <c r="G543" s="110"/>
      <c r="H543" s="164">
        <v>0</v>
      </c>
      <c r="I543" s="109"/>
      <c r="J543" s="110"/>
      <c r="K543" s="165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64">
        <v>0</v>
      </c>
      <c r="F544" s="109"/>
      <c r="G544" s="110"/>
      <c r="H544" s="164">
        <v>0</v>
      </c>
      <c r="I544" s="109"/>
      <c r="J544" s="110"/>
      <c r="K544" s="165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64">
        <v>0</v>
      </c>
      <c r="F545" s="109"/>
      <c r="G545" s="110"/>
      <c r="H545" s="164">
        <v>0</v>
      </c>
      <c r="I545" s="109"/>
      <c r="J545" s="110"/>
      <c r="K545" s="165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64">
        <v>0</v>
      </c>
      <c r="F546" s="109"/>
      <c r="G546" s="110"/>
      <c r="H546" s="164">
        <v>0</v>
      </c>
      <c r="I546" s="109"/>
      <c r="J546" s="110"/>
      <c r="K546" s="165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64">
        <v>0</v>
      </c>
      <c r="F547" s="109"/>
      <c r="G547" s="110"/>
      <c r="H547" s="164">
        <v>0</v>
      </c>
      <c r="I547" s="109"/>
      <c r="J547" s="110"/>
      <c r="K547" s="165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64">
        <v>0</v>
      </c>
      <c r="F548" s="109"/>
      <c r="G548" s="110"/>
      <c r="H548" s="164">
        <v>0</v>
      </c>
      <c r="I548" s="109"/>
      <c r="J548" s="110"/>
      <c r="K548" s="165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64">
        <v>0</v>
      </c>
      <c r="F549" s="109"/>
      <c r="G549" s="110"/>
      <c r="H549" s="164">
        <v>0</v>
      </c>
      <c r="I549" s="109"/>
      <c r="J549" s="110"/>
      <c r="K549" s="165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64">
        <v>0</v>
      </c>
      <c r="F550" s="109"/>
      <c r="G550" s="110"/>
      <c r="H550" s="164">
        <v>0</v>
      </c>
      <c r="I550" s="109"/>
      <c r="J550" s="110"/>
      <c r="K550" s="165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64">
        <v>0</v>
      </c>
      <c r="F551" s="109"/>
      <c r="G551" s="110"/>
      <c r="H551" s="164">
        <v>0</v>
      </c>
      <c r="I551" s="109"/>
      <c r="J551" s="110"/>
      <c r="K551" s="165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64">
        <v>0</v>
      </c>
      <c r="F552" s="109"/>
      <c r="G552" s="110"/>
      <c r="H552" s="164">
        <v>0</v>
      </c>
      <c r="I552" s="109"/>
      <c r="J552" s="110"/>
      <c r="K552" s="165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64">
        <v>0</v>
      </c>
      <c r="F553" s="109"/>
      <c r="G553" s="110"/>
      <c r="H553" s="164">
        <v>0</v>
      </c>
      <c r="I553" s="109"/>
      <c r="J553" s="110"/>
      <c r="K553" s="165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64">
        <v>0</v>
      </c>
      <c r="F554" s="109"/>
      <c r="G554" s="110"/>
      <c r="H554" s="164">
        <v>0</v>
      </c>
      <c r="I554" s="109"/>
      <c r="J554" s="110"/>
      <c r="K554" s="165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64">
        <v>0</v>
      </c>
      <c r="F555" s="109"/>
      <c r="G555" s="110"/>
      <c r="H555" s="164">
        <v>0</v>
      </c>
      <c r="I555" s="109"/>
      <c r="J555" s="110"/>
      <c r="K555" s="165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64">
        <v>0</v>
      </c>
      <c r="F556" s="109"/>
      <c r="G556" s="110"/>
      <c r="H556" s="164">
        <v>0</v>
      </c>
      <c r="I556" s="109"/>
      <c r="J556" s="110"/>
      <c r="K556" s="165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64">
        <v>0</v>
      </c>
      <c r="F557" s="109"/>
      <c r="G557" s="110"/>
      <c r="H557" s="164">
        <v>0</v>
      </c>
      <c r="I557" s="109"/>
      <c r="J557" s="110"/>
      <c r="K557" s="165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64">
        <v>0</v>
      </c>
      <c r="F558" s="109"/>
      <c r="G558" s="110"/>
      <c r="H558" s="164">
        <v>0</v>
      </c>
      <c r="I558" s="109"/>
      <c r="J558" s="110"/>
      <c r="K558" s="165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64">
        <v>0</v>
      </c>
      <c r="F559" s="109"/>
      <c r="G559" s="110"/>
      <c r="H559" s="164">
        <v>0</v>
      </c>
      <c r="I559" s="109"/>
      <c r="J559" s="110"/>
      <c r="K559" s="165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64">
        <v>0</v>
      </c>
      <c r="F560" s="109"/>
      <c r="G560" s="110"/>
      <c r="H560" s="164">
        <v>0</v>
      </c>
      <c r="I560" s="109"/>
      <c r="J560" s="110"/>
      <c r="K560" s="165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64">
        <v>0</v>
      </c>
      <c r="F561" s="109"/>
      <c r="G561" s="110"/>
      <c r="H561" s="164">
        <v>0</v>
      </c>
      <c r="I561" s="109"/>
      <c r="J561" s="110"/>
      <c r="K561" s="165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64">
        <v>0</v>
      </c>
      <c r="F562" s="109"/>
      <c r="G562" s="110"/>
      <c r="H562" s="164">
        <v>0</v>
      </c>
      <c r="I562" s="109"/>
      <c r="J562" s="110"/>
      <c r="K562" s="165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64">
        <v>0</v>
      </c>
      <c r="F563" s="109"/>
      <c r="G563" s="110"/>
      <c r="H563" s="164">
        <v>0</v>
      </c>
      <c r="I563" s="109"/>
      <c r="J563" s="110"/>
      <c r="K563" s="165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64">
        <v>0</v>
      </c>
      <c r="F564" s="109"/>
      <c r="G564" s="110"/>
      <c r="H564" s="164">
        <v>0</v>
      </c>
      <c r="I564" s="109"/>
      <c r="J564" s="110"/>
      <c r="K564" s="165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64">
        <v>0</v>
      </c>
      <c r="F565" s="109"/>
      <c r="G565" s="110"/>
      <c r="H565" s="164">
        <v>0</v>
      </c>
      <c r="I565" s="109"/>
      <c r="J565" s="110"/>
      <c r="K565" s="165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64">
        <v>0</v>
      </c>
      <c r="F566" s="109"/>
      <c r="G566" s="110"/>
      <c r="H566" s="164">
        <v>0</v>
      </c>
      <c r="I566" s="109"/>
      <c r="J566" s="110"/>
      <c r="K566" s="165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64">
        <v>0</v>
      </c>
      <c r="F567" s="109"/>
      <c r="G567" s="110"/>
      <c r="H567" s="164">
        <v>0</v>
      </c>
      <c r="I567" s="109"/>
      <c r="J567" s="110"/>
      <c r="K567" s="165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64">
        <v>0</v>
      </c>
      <c r="F568" s="109"/>
      <c r="G568" s="110"/>
      <c r="H568" s="164">
        <v>0</v>
      </c>
      <c r="I568" s="109"/>
      <c r="J568" s="110"/>
      <c r="K568" s="165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64">
        <v>0</v>
      </c>
      <c r="F569" s="109"/>
      <c r="G569" s="110"/>
      <c r="H569" s="164">
        <v>0</v>
      </c>
      <c r="I569" s="109"/>
      <c r="J569" s="110"/>
      <c r="K569" s="165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64">
        <v>0</v>
      </c>
      <c r="F570" s="109"/>
      <c r="G570" s="110"/>
      <c r="H570" s="164">
        <v>0</v>
      </c>
      <c r="I570" s="109"/>
      <c r="J570" s="110"/>
      <c r="K570" s="165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64">
        <v>0</v>
      </c>
      <c r="F571" s="109"/>
      <c r="G571" s="110"/>
      <c r="H571" s="164">
        <v>0</v>
      </c>
      <c r="I571" s="109"/>
      <c r="J571" s="110"/>
      <c r="K571" s="165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64">
        <v>0</v>
      </c>
      <c r="F572" s="109"/>
      <c r="G572" s="110"/>
      <c r="H572" s="164">
        <v>0</v>
      </c>
      <c r="I572" s="109"/>
      <c r="J572" s="110"/>
      <c r="K572" s="165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64">
        <v>0</v>
      </c>
      <c r="F573" s="109"/>
      <c r="G573" s="110"/>
      <c r="H573" s="164">
        <v>0</v>
      </c>
      <c r="I573" s="109"/>
      <c r="J573" s="110"/>
      <c r="K573" s="165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64">
        <v>0</v>
      </c>
      <c r="F574" s="109"/>
      <c r="G574" s="110"/>
      <c r="H574" s="164">
        <v>0</v>
      </c>
      <c r="I574" s="109"/>
      <c r="J574" s="110"/>
      <c r="K574" s="165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64">
        <v>0</v>
      </c>
      <c r="F575" s="109"/>
      <c r="G575" s="110"/>
      <c r="H575" s="164">
        <v>0</v>
      </c>
      <c r="I575" s="109"/>
      <c r="J575" s="110"/>
      <c r="K575" s="165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64">
        <v>0</v>
      </c>
      <c r="F576" s="109"/>
      <c r="G576" s="110"/>
      <c r="H576" s="164">
        <v>0</v>
      </c>
      <c r="I576" s="109"/>
      <c r="J576" s="110"/>
      <c r="K576" s="165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64">
        <v>0</v>
      </c>
      <c r="F577" s="109"/>
      <c r="G577" s="110"/>
      <c r="H577" s="164">
        <v>0</v>
      </c>
      <c r="I577" s="109"/>
      <c r="J577" s="110"/>
      <c r="K577" s="165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64">
        <v>0</v>
      </c>
      <c r="F578" s="109"/>
      <c r="G578" s="110"/>
      <c r="H578" s="164">
        <v>0</v>
      </c>
      <c r="I578" s="109"/>
      <c r="J578" s="110"/>
      <c r="K578" s="165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64">
        <v>0</v>
      </c>
      <c r="F579" s="109"/>
      <c r="G579" s="110"/>
      <c r="H579" s="164">
        <v>0</v>
      </c>
      <c r="I579" s="109"/>
      <c r="J579" s="110"/>
      <c r="K579" s="165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64">
        <v>0</v>
      </c>
      <c r="F580" s="109"/>
      <c r="G580" s="110"/>
      <c r="H580" s="164">
        <v>0</v>
      </c>
      <c r="I580" s="109"/>
      <c r="J580" s="110"/>
      <c r="K580" s="165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64">
        <v>0</v>
      </c>
      <c r="F581" s="109"/>
      <c r="G581" s="110"/>
      <c r="H581" s="164">
        <v>0</v>
      </c>
      <c r="I581" s="109"/>
      <c r="J581" s="110"/>
      <c r="K581" s="165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64">
        <v>0</v>
      </c>
      <c r="F582" s="109"/>
      <c r="G582" s="110"/>
      <c r="H582" s="164">
        <v>0</v>
      </c>
      <c r="I582" s="109"/>
      <c r="J582" s="110"/>
      <c r="K582" s="165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64">
        <v>0</v>
      </c>
      <c r="F583" s="109"/>
      <c r="G583" s="110"/>
      <c r="H583" s="164">
        <v>0</v>
      </c>
      <c r="I583" s="109"/>
      <c r="J583" s="110"/>
      <c r="K583" s="165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64">
        <v>0</v>
      </c>
      <c r="F584" s="109"/>
      <c r="G584" s="110"/>
      <c r="H584" s="164">
        <v>0</v>
      </c>
      <c r="I584" s="109"/>
      <c r="J584" s="110"/>
      <c r="K584" s="165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64">
        <v>0</v>
      </c>
      <c r="F585" s="109"/>
      <c r="G585" s="110"/>
      <c r="H585" s="164">
        <v>0</v>
      </c>
      <c r="I585" s="109"/>
      <c r="J585" s="110"/>
      <c r="K585" s="165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64">
        <v>0</v>
      </c>
      <c r="F586" s="109"/>
      <c r="G586" s="110"/>
      <c r="H586" s="164">
        <v>0</v>
      </c>
      <c r="I586" s="109"/>
      <c r="J586" s="110"/>
      <c r="K586" s="165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64">
        <v>0</v>
      </c>
      <c r="F587" s="109"/>
      <c r="G587" s="110"/>
      <c r="H587" s="164">
        <v>0</v>
      </c>
      <c r="I587" s="109"/>
      <c r="J587" s="110"/>
      <c r="K587" s="165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64">
        <v>0</v>
      </c>
      <c r="F588" s="109"/>
      <c r="G588" s="110"/>
      <c r="H588" s="164">
        <v>0</v>
      </c>
      <c r="I588" s="109"/>
      <c r="J588" s="110"/>
      <c r="K588" s="165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64">
        <v>0</v>
      </c>
      <c r="F589" s="109"/>
      <c r="G589" s="110"/>
      <c r="H589" s="164">
        <v>0</v>
      </c>
      <c r="I589" s="109"/>
      <c r="J589" s="110"/>
      <c r="K589" s="165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64">
        <v>0</v>
      </c>
      <c r="F590" s="109"/>
      <c r="G590" s="110"/>
      <c r="H590" s="164">
        <v>0</v>
      </c>
      <c r="I590" s="109"/>
      <c r="J590" s="110"/>
      <c r="K590" s="165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64">
        <v>0</v>
      </c>
      <c r="F591" s="109"/>
      <c r="G591" s="110"/>
      <c r="H591" s="164">
        <v>0</v>
      </c>
      <c r="I591" s="109"/>
      <c r="J591" s="110"/>
      <c r="K591" s="165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64">
        <v>0</v>
      </c>
      <c r="F592" s="109"/>
      <c r="G592" s="110"/>
      <c r="H592" s="164">
        <v>0</v>
      </c>
      <c r="I592" s="109"/>
      <c r="J592" s="110"/>
      <c r="K592" s="165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64">
        <v>0</v>
      </c>
      <c r="F593" s="109"/>
      <c r="G593" s="110"/>
      <c r="H593" s="164">
        <v>0</v>
      </c>
      <c r="I593" s="109"/>
      <c r="J593" s="110"/>
      <c r="K593" s="165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64">
        <v>0</v>
      </c>
      <c r="F594" s="109"/>
      <c r="G594" s="110"/>
      <c r="H594" s="164">
        <v>0</v>
      </c>
      <c r="I594" s="109"/>
      <c r="J594" s="110"/>
      <c r="K594" s="165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64">
        <v>0</v>
      </c>
      <c r="F595" s="109"/>
      <c r="G595" s="110"/>
      <c r="H595" s="164">
        <v>0</v>
      </c>
      <c r="I595" s="109"/>
      <c r="J595" s="110"/>
      <c r="K595" s="165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64">
        <v>0</v>
      </c>
      <c r="F596" s="109"/>
      <c r="G596" s="110"/>
      <c r="H596" s="164">
        <v>0</v>
      </c>
      <c r="I596" s="109"/>
      <c r="J596" s="110"/>
      <c r="K596" s="165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64">
        <v>0</v>
      </c>
      <c r="F597" s="109"/>
      <c r="G597" s="110"/>
      <c r="H597" s="164">
        <v>0</v>
      </c>
      <c r="I597" s="109"/>
      <c r="J597" s="110"/>
      <c r="K597" s="165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64">
        <v>0</v>
      </c>
      <c r="F598" s="109"/>
      <c r="G598" s="110"/>
      <c r="H598" s="164">
        <v>0</v>
      </c>
      <c r="I598" s="109"/>
      <c r="J598" s="110"/>
      <c r="K598" s="165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64">
        <v>0</v>
      </c>
      <c r="F599" s="109"/>
      <c r="G599" s="110"/>
      <c r="H599" s="164">
        <v>0</v>
      </c>
      <c r="I599" s="109"/>
      <c r="J599" s="110"/>
      <c r="K599" s="165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64">
        <v>0</v>
      </c>
      <c r="F600" s="109"/>
      <c r="G600" s="110"/>
      <c r="H600" s="164">
        <v>0</v>
      </c>
      <c r="I600" s="109"/>
      <c r="J600" s="110"/>
      <c r="K600" s="165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64">
        <v>0</v>
      </c>
      <c r="F601" s="109"/>
      <c r="G601" s="110"/>
      <c r="H601" s="164">
        <v>0</v>
      </c>
      <c r="I601" s="109"/>
      <c r="J601" s="110"/>
      <c r="K601" s="165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64">
        <v>0</v>
      </c>
      <c r="F602" s="109"/>
      <c r="G602" s="110"/>
      <c r="H602" s="164">
        <v>0</v>
      </c>
      <c r="I602" s="109"/>
      <c r="J602" s="110"/>
      <c r="K602" s="165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64">
        <v>0</v>
      </c>
      <c r="F603" s="109"/>
      <c r="G603" s="110"/>
      <c r="H603" s="164">
        <v>0</v>
      </c>
      <c r="I603" s="109"/>
      <c r="J603" s="110"/>
      <c r="K603" s="165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64">
        <v>0</v>
      </c>
      <c r="F604" s="109"/>
      <c r="G604" s="110"/>
      <c r="H604" s="164">
        <v>0</v>
      </c>
      <c r="I604" s="109"/>
      <c r="J604" s="110"/>
      <c r="K604" s="165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64">
        <v>0</v>
      </c>
      <c r="F605" s="109"/>
      <c r="G605" s="110"/>
      <c r="H605" s="164">
        <v>0</v>
      </c>
      <c r="I605" s="109"/>
      <c r="J605" s="110"/>
      <c r="K605" s="165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64">
        <v>0</v>
      </c>
      <c r="F606" s="109"/>
      <c r="G606" s="110"/>
      <c r="H606" s="164">
        <v>0</v>
      </c>
      <c r="I606" s="109"/>
      <c r="J606" s="110"/>
      <c r="K606" s="165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64">
        <v>0</v>
      </c>
      <c r="F607" s="109"/>
      <c r="G607" s="110"/>
      <c r="H607" s="164">
        <v>0</v>
      </c>
      <c r="I607" s="109"/>
      <c r="J607" s="110"/>
      <c r="K607" s="165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64">
        <v>0</v>
      </c>
      <c r="F608" s="109"/>
      <c r="G608" s="110"/>
      <c r="H608" s="164">
        <v>0</v>
      </c>
      <c r="I608" s="109"/>
      <c r="J608" s="110"/>
      <c r="K608" s="165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64">
        <v>0</v>
      </c>
      <c r="F609" s="109"/>
      <c r="G609" s="110"/>
      <c r="H609" s="164">
        <v>0</v>
      </c>
      <c r="I609" s="109"/>
      <c r="J609" s="110"/>
      <c r="K609" s="165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64">
        <v>0</v>
      </c>
      <c r="F610" s="109"/>
      <c r="G610" s="110"/>
      <c r="H610" s="164">
        <v>0</v>
      </c>
      <c r="I610" s="109"/>
      <c r="J610" s="110"/>
      <c r="K610" s="165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64">
        <v>0</v>
      </c>
      <c r="F611" s="109"/>
      <c r="G611" s="110"/>
      <c r="H611" s="164">
        <v>0</v>
      </c>
      <c r="I611" s="109"/>
      <c r="J611" s="110"/>
      <c r="K611" s="165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64">
        <v>0</v>
      </c>
      <c r="F612" s="109"/>
      <c r="G612" s="110"/>
      <c r="H612" s="164">
        <v>0</v>
      </c>
      <c r="I612" s="109"/>
      <c r="J612" s="110"/>
      <c r="K612" s="165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64">
        <v>0</v>
      </c>
      <c r="F613" s="109"/>
      <c r="G613" s="110"/>
      <c r="H613" s="164">
        <v>0</v>
      </c>
      <c r="I613" s="109"/>
      <c r="J613" s="110"/>
      <c r="K613" s="165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64">
        <v>0</v>
      </c>
      <c r="F614" s="109"/>
      <c r="G614" s="110"/>
      <c r="H614" s="164">
        <v>0</v>
      </c>
      <c r="I614" s="109"/>
      <c r="J614" s="110"/>
      <c r="K614" s="165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64">
        <v>0</v>
      </c>
      <c r="F615" s="109"/>
      <c r="G615" s="110"/>
      <c r="H615" s="164">
        <v>0</v>
      </c>
      <c r="I615" s="109"/>
      <c r="J615" s="110"/>
      <c r="K615" s="165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64">
        <v>0</v>
      </c>
      <c r="F616" s="109"/>
      <c r="G616" s="110"/>
      <c r="H616" s="164">
        <v>0</v>
      </c>
      <c r="I616" s="109"/>
      <c r="J616" s="110"/>
      <c r="K616" s="165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64">
        <v>0</v>
      </c>
      <c r="F617" s="109"/>
      <c r="G617" s="110"/>
      <c r="H617" s="164">
        <v>0</v>
      </c>
      <c r="I617" s="109"/>
      <c r="J617" s="110"/>
      <c r="K617" s="165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64">
        <v>0</v>
      </c>
      <c r="F618" s="109"/>
      <c r="G618" s="110"/>
      <c r="H618" s="164">
        <v>0</v>
      </c>
      <c r="I618" s="109"/>
      <c r="J618" s="110"/>
      <c r="K618" s="165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64">
        <v>0</v>
      </c>
      <c r="F619" s="109"/>
      <c r="G619" s="110"/>
      <c r="H619" s="164">
        <v>0</v>
      </c>
      <c r="I619" s="109"/>
      <c r="J619" s="110"/>
      <c r="K619" s="165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64">
        <v>0</v>
      </c>
      <c r="F620" s="109"/>
      <c r="G620" s="110"/>
      <c r="H620" s="164">
        <v>0</v>
      </c>
      <c r="I620" s="109"/>
      <c r="J620" s="110"/>
      <c r="K620" s="165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64">
        <v>0</v>
      </c>
      <c r="F621" s="109"/>
      <c r="G621" s="110"/>
      <c r="H621" s="164">
        <v>0</v>
      </c>
      <c r="I621" s="109"/>
      <c r="J621" s="110"/>
      <c r="K621" s="165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64">
        <v>0</v>
      </c>
      <c r="F622" s="109"/>
      <c r="G622" s="110"/>
      <c r="H622" s="164">
        <v>0</v>
      </c>
      <c r="I622" s="109"/>
      <c r="J622" s="110"/>
      <c r="K622" s="165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64">
        <v>0</v>
      </c>
      <c r="F623" s="109"/>
      <c r="G623" s="110"/>
      <c r="H623" s="164">
        <v>0</v>
      </c>
      <c r="I623" s="109"/>
      <c r="J623" s="110"/>
      <c r="K623" s="165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64">
        <v>0</v>
      </c>
      <c r="F624" s="109"/>
      <c r="G624" s="110"/>
      <c r="H624" s="164">
        <v>0</v>
      </c>
      <c r="I624" s="109"/>
      <c r="J624" s="110"/>
      <c r="K624" s="165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64">
        <v>0</v>
      </c>
      <c r="F625" s="109"/>
      <c r="G625" s="110"/>
      <c r="H625" s="164">
        <v>0</v>
      </c>
      <c r="I625" s="109"/>
      <c r="J625" s="110"/>
      <c r="K625" s="165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64">
        <v>0</v>
      </c>
      <c r="F626" s="109"/>
      <c r="G626" s="110"/>
      <c r="H626" s="164">
        <v>0</v>
      </c>
      <c r="I626" s="109"/>
      <c r="J626" s="110"/>
      <c r="K626" s="165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64">
        <v>0</v>
      </c>
      <c r="F627" s="109"/>
      <c r="G627" s="110"/>
      <c r="H627" s="164">
        <v>0</v>
      </c>
      <c r="I627" s="109"/>
      <c r="J627" s="110"/>
      <c r="K627" s="165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64">
        <v>0</v>
      </c>
      <c r="F628" s="109"/>
      <c r="G628" s="110"/>
      <c r="H628" s="164">
        <v>0</v>
      </c>
      <c r="I628" s="109"/>
      <c r="J628" s="110"/>
      <c r="K628" s="165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64">
        <v>0</v>
      </c>
      <c r="F629" s="109"/>
      <c r="G629" s="110"/>
      <c r="H629" s="164">
        <v>0</v>
      </c>
      <c r="I629" s="109"/>
      <c r="J629" s="110"/>
      <c r="K629" s="165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64">
        <v>0</v>
      </c>
      <c r="F630" s="109"/>
      <c r="G630" s="110"/>
      <c r="H630" s="164">
        <v>0</v>
      </c>
      <c r="I630" s="109"/>
      <c r="J630" s="110"/>
      <c r="K630" s="165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64">
        <v>0</v>
      </c>
      <c r="F631" s="109"/>
      <c r="G631" s="110"/>
      <c r="H631" s="164">
        <v>0</v>
      </c>
      <c r="I631" s="109"/>
      <c r="J631" s="110"/>
      <c r="K631" s="165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64">
        <v>0</v>
      </c>
      <c r="F632" s="109"/>
      <c r="G632" s="110"/>
      <c r="H632" s="164">
        <v>0</v>
      </c>
      <c r="I632" s="109"/>
      <c r="J632" s="110"/>
      <c r="K632" s="165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64">
        <v>0</v>
      </c>
      <c r="F633" s="109"/>
      <c r="G633" s="110"/>
      <c r="H633" s="164">
        <v>0</v>
      </c>
      <c r="I633" s="109"/>
      <c r="J633" s="110"/>
      <c r="K633" s="165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64">
        <v>0</v>
      </c>
      <c r="F634" s="109"/>
      <c r="G634" s="110"/>
      <c r="H634" s="164">
        <v>0</v>
      </c>
      <c r="I634" s="109"/>
      <c r="J634" s="110"/>
      <c r="K634" s="165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64">
        <v>0</v>
      </c>
      <c r="F635" s="109"/>
      <c r="G635" s="110"/>
      <c r="H635" s="164">
        <v>0</v>
      </c>
      <c r="I635" s="109"/>
      <c r="J635" s="110"/>
      <c r="K635" s="165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64">
        <v>0</v>
      </c>
      <c r="F636" s="109"/>
      <c r="G636" s="110"/>
      <c r="H636" s="164">
        <v>0</v>
      </c>
      <c r="I636" s="109"/>
      <c r="J636" s="110"/>
      <c r="K636" s="165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64">
        <v>0</v>
      </c>
      <c r="F637" s="109"/>
      <c r="G637" s="110"/>
      <c r="H637" s="164">
        <v>0</v>
      </c>
      <c r="I637" s="109"/>
      <c r="J637" s="110"/>
      <c r="K637" s="165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64">
        <v>0</v>
      </c>
      <c r="F638" s="109"/>
      <c r="G638" s="110"/>
      <c r="H638" s="164">
        <v>0</v>
      </c>
      <c r="I638" s="109"/>
      <c r="J638" s="110"/>
      <c r="K638" s="165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64">
        <v>0</v>
      </c>
      <c r="F639" s="109"/>
      <c r="G639" s="110"/>
      <c r="H639" s="164">
        <v>0</v>
      </c>
      <c r="I639" s="109"/>
      <c r="J639" s="110"/>
      <c r="K639" s="165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64">
        <v>0</v>
      </c>
      <c r="F640" s="109"/>
      <c r="G640" s="110"/>
      <c r="H640" s="164">
        <v>0</v>
      </c>
      <c r="I640" s="109"/>
      <c r="J640" s="110"/>
      <c r="K640" s="165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64">
        <v>0</v>
      </c>
      <c r="F641" s="109"/>
      <c r="G641" s="110"/>
      <c r="H641" s="164">
        <v>0</v>
      </c>
      <c r="I641" s="109"/>
      <c r="J641" s="110"/>
      <c r="K641" s="165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64">
        <v>0</v>
      </c>
      <c r="F642" s="109"/>
      <c r="G642" s="110"/>
      <c r="H642" s="164">
        <v>0</v>
      </c>
      <c r="I642" s="109"/>
      <c r="J642" s="110"/>
      <c r="K642" s="165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64">
        <v>0</v>
      </c>
      <c r="F643" s="109"/>
      <c r="G643" s="110"/>
      <c r="H643" s="164">
        <v>0</v>
      </c>
      <c r="I643" s="109"/>
      <c r="J643" s="110"/>
      <c r="K643" s="165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64">
        <v>0</v>
      </c>
      <c r="F644" s="109"/>
      <c r="G644" s="110"/>
      <c r="H644" s="164">
        <v>0</v>
      </c>
      <c r="I644" s="109"/>
      <c r="J644" s="110"/>
      <c r="K644" s="165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64">
        <v>0</v>
      </c>
      <c r="F645" s="109"/>
      <c r="G645" s="110"/>
      <c r="H645" s="164">
        <v>0</v>
      </c>
      <c r="I645" s="109"/>
      <c r="J645" s="110"/>
      <c r="K645" s="165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64">
        <v>0</v>
      </c>
      <c r="F646" s="109"/>
      <c r="G646" s="110"/>
      <c r="H646" s="164">
        <v>0</v>
      </c>
      <c r="I646" s="109"/>
      <c r="J646" s="110"/>
      <c r="K646" s="165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64">
        <v>0</v>
      </c>
      <c r="F647" s="109"/>
      <c r="G647" s="110"/>
      <c r="H647" s="164">
        <v>0</v>
      </c>
      <c r="I647" s="109"/>
      <c r="J647" s="110"/>
      <c r="K647" s="165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64">
        <v>0</v>
      </c>
      <c r="F648" s="109"/>
      <c r="G648" s="110"/>
      <c r="H648" s="164">
        <v>0</v>
      </c>
      <c r="I648" s="109"/>
      <c r="J648" s="110"/>
      <c r="K648" s="165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64">
        <v>0</v>
      </c>
      <c r="F649" s="109"/>
      <c r="G649" s="110"/>
      <c r="H649" s="164">
        <v>0</v>
      </c>
      <c r="I649" s="109"/>
      <c r="J649" s="110"/>
      <c r="K649" s="165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64">
        <v>0</v>
      </c>
      <c r="F650" s="109"/>
      <c r="G650" s="110"/>
      <c r="H650" s="164">
        <v>0</v>
      </c>
      <c r="I650" s="109"/>
      <c r="J650" s="110"/>
      <c r="K650" s="165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64">
        <v>0</v>
      </c>
      <c r="F651" s="109"/>
      <c r="G651" s="110"/>
      <c r="H651" s="164">
        <v>0</v>
      </c>
      <c r="I651" s="109"/>
      <c r="J651" s="110"/>
      <c r="K651" s="165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64">
        <v>0</v>
      </c>
      <c r="F652" s="109"/>
      <c r="G652" s="110"/>
      <c r="H652" s="164">
        <v>0</v>
      </c>
      <c r="I652" s="109"/>
      <c r="J652" s="110"/>
      <c r="K652" s="165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64">
        <v>0</v>
      </c>
      <c r="F653" s="109"/>
      <c r="G653" s="110"/>
      <c r="H653" s="164">
        <v>0</v>
      </c>
      <c r="I653" s="109"/>
      <c r="J653" s="110"/>
      <c r="K653" s="165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64">
        <v>0</v>
      </c>
      <c r="F654" s="109"/>
      <c r="G654" s="110"/>
      <c r="H654" s="164">
        <v>0</v>
      </c>
      <c r="I654" s="109"/>
      <c r="J654" s="110"/>
      <c r="K654" s="165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64">
        <v>0</v>
      </c>
      <c r="F655" s="109"/>
      <c r="G655" s="110"/>
      <c r="H655" s="164">
        <v>0</v>
      </c>
      <c r="I655" s="109"/>
      <c r="J655" s="110"/>
      <c r="K655" s="165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64">
        <v>0</v>
      </c>
      <c r="F656" s="109"/>
      <c r="G656" s="110"/>
      <c r="H656" s="164">
        <v>0</v>
      </c>
      <c r="I656" s="109"/>
      <c r="J656" s="110"/>
      <c r="K656" s="165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64">
        <v>0</v>
      </c>
      <c r="F657" s="109"/>
      <c r="G657" s="110"/>
      <c r="H657" s="164">
        <v>0</v>
      </c>
      <c r="I657" s="109"/>
      <c r="J657" s="110"/>
      <c r="K657" s="165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64">
        <v>0</v>
      </c>
      <c r="F658" s="109"/>
      <c r="G658" s="110"/>
      <c r="H658" s="164">
        <v>0</v>
      </c>
      <c r="I658" s="109"/>
      <c r="J658" s="110"/>
      <c r="K658" s="165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64">
        <v>0</v>
      </c>
      <c r="F659" s="109"/>
      <c r="G659" s="110"/>
      <c r="H659" s="164">
        <v>0</v>
      </c>
      <c r="I659" s="109"/>
      <c r="J659" s="110"/>
      <c r="K659" s="165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64">
        <v>0</v>
      </c>
      <c r="F660" s="109"/>
      <c r="G660" s="110"/>
      <c r="H660" s="164">
        <v>0</v>
      </c>
      <c r="I660" s="109"/>
      <c r="J660" s="110"/>
      <c r="K660" s="165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64">
        <v>0</v>
      </c>
      <c r="F661" s="109"/>
      <c r="G661" s="110"/>
      <c r="H661" s="164">
        <v>0</v>
      </c>
      <c r="I661" s="109"/>
      <c r="J661" s="110"/>
      <c r="K661" s="165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64">
        <v>0</v>
      </c>
      <c r="F662" s="109"/>
      <c r="G662" s="110"/>
      <c r="H662" s="164">
        <v>0</v>
      </c>
      <c r="I662" s="109"/>
      <c r="J662" s="110"/>
      <c r="K662" s="165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64">
        <v>0</v>
      </c>
      <c r="F663" s="109"/>
      <c r="G663" s="110"/>
      <c r="H663" s="164">
        <v>0</v>
      </c>
      <c r="I663" s="109"/>
      <c r="J663" s="110"/>
      <c r="K663" s="165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64">
        <v>0</v>
      </c>
      <c r="F664" s="109"/>
      <c r="G664" s="110"/>
      <c r="H664" s="164">
        <v>0</v>
      </c>
      <c r="I664" s="109"/>
      <c r="J664" s="110"/>
      <c r="K664" s="165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64">
        <v>0</v>
      </c>
      <c r="F665" s="109"/>
      <c r="G665" s="110"/>
      <c r="H665" s="164">
        <v>0</v>
      </c>
      <c r="I665" s="109"/>
      <c r="J665" s="110"/>
      <c r="K665" s="165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64">
        <v>0</v>
      </c>
      <c r="F666" s="109"/>
      <c r="G666" s="110"/>
      <c r="H666" s="164">
        <v>0</v>
      </c>
      <c r="I666" s="109"/>
      <c r="J666" s="110"/>
      <c r="K666" s="165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64">
        <v>0</v>
      </c>
      <c r="F667" s="109"/>
      <c r="G667" s="110"/>
      <c r="H667" s="164">
        <v>0</v>
      </c>
      <c r="I667" s="109"/>
      <c r="J667" s="110"/>
      <c r="K667" s="165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64">
        <v>0</v>
      </c>
      <c r="F668" s="109"/>
      <c r="G668" s="110"/>
      <c r="H668" s="164">
        <v>0</v>
      </c>
      <c r="I668" s="109"/>
      <c r="J668" s="110"/>
      <c r="K668" s="165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64">
        <v>0</v>
      </c>
      <c r="F669" s="109"/>
      <c r="G669" s="110"/>
      <c r="H669" s="164">
        <v>0</v>
      </c>
      <c r="I669" s="109"/>
      <c r="J669" s="110"/>
      <c r="K669" s="165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64">
        <v>0</v>
      </c>
      <c r="F670" s="109"/>
      <c r="G670" s="110"/>
      <c r="H670" s="164">
        <v>0</v>
      </c>
      <c r="I670" s="109"/>
      <c r="J670" s="110"/>
      <c r="K670" s="165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64">
        <v>0</v>
      </c>
      <c r="F671" s="109"/>
      <c r="G671" s="110"/>
      <c r="H671" s="164">
        <v>0</v>
      </c>
      <c r="I671" s="109"/>
      <c r="J671" s="110"/>
      <c r="K671" s="165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64">
        <v>0</v>
      </c>
      <c r="F672" s="109"/>
      <c r="G672" s="110"/>
      <c r="H672" s="164">
        <v>0</v>
      </c>
      <c r="I672" s="109"/>
      <c r="J672" s="110"/>
      <c r="K672" s="165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64">
        <v>0</v>
      </c>
      <c r="F673" s="109"/>
      <c r="G673" s="110"/>
      <c r="H673" s="164">
        <v>0</v>
      </c>
      <c r="I673" s="109"/>
      <c r="J673" s="110"/>
      <c r="K673" s="165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64">
        <v>0</v>
      </c>
      <c r="F674" s="109"/>
      <c r="G674" s="110"/>
      <c r="H674" s="164">
        <v>0</v>
      </c>
      <c r="I674" s="109"/>
      <c r="J674" s="110"/>
      <c r="K674" s="165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64">
        <v>0</v>
      </c>
      <c r="F675" s="109"/>
      <c r="G675" s="110"/>
      <c r="H675" s="164">
        <v>0</v>
      </c>
      <c r="I675" s="109"/>
      <c r="J675" s="110"/>
      <c r="K675" s="165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64">
        <v>0</v>
      </c>
      <c r="F676" s="109"/>
      <c r="G676" s="110"/>
      <c r="H676" s="164">
        <v>0</v>
      </c>
      <c r="I676" s="109"/>
      <c r="J676" s="110"/>
      <c r="K676" s="165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64">
        <v>0</v>
      </c>
      <c r="F677" s="109"/>
      <c r="G677" s="110"/>
      <c r="H677" s="164">
        <v>0</v>
      </c>
      <c r="I677" s="109"/>
      <c r="J677" s="110"/>
      <c r="K677" s="165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64">
        <v>0</v>
      </c>
      <c r="F678" s="109"/>
      <c r="G678" s="110"/>
      <c r="H678" s="164">
        <v>0</v>
      </c>
      <c r="I678" s="109"/>
      <c r="J678" s="110"/>
      <c r="K678" s="165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64">
        <v>0</v>
      </c>
      <c r="F679" s="109"/>
      <c r="G679" s="110"/>
      <c r="H679" s="164">
        <v>0</v>
      </c>
      <c r="I679" s="109"/>
      <c r="J679" s="110"/>
      <c r="K679" s="165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64">
        <v>0</v>
      </c>
      <c r="F680" s="109"/>
      <c r="G680" s="110"/>
      <c r="H680" s="164">
        <v>0</v>
      </c>
      <c r="I680" s="109"/>
      <c r="J680" s="110"/>
      <c r="K680" s="165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64">
        <v>0</v>
      </c>
      <c r="F681" s="109"/>
      <c r="G681" s="110"/>
      <c r="H681" s="164">
        <v>0</v>
      </c>
      <c r="I681" s="109"/>
      <c r="J681" s="110"/>
      <c r="K681" s="165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64">
        <v>0</v>
      </c>
      <c r="F682" s="109"/>
      <c r="G682" s="110"/>
      <c r="H682" s="164">
        <v>0</v>
      </c>
      <c r="I682" s="109"/>
      <c r="J682" s="110"/>
      <c r="K682" s="165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64">
        <v>0</v>
      </c>
      <c r="F683" s="109"/>
      <c r="G683" s="110"/>
      <c r="H683" s="164">
        <v>0</v>
      </c>
      <c r="I683" s="109"/>
      <c r="J683" s="110"/>
      <c r="K683" s="165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64">
        <v>0</v>
      </c>
      <c r="F684" s="109"/>
      <c r="G684" s="110"/>
      <c r="H684" s="164">
        <v>0</v>
      </c>
      <c r="I684" s="109"/>
      <c r="J684" s="110"/>
      <c r="K684" s="165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64">
        <v>0</v>
      </c>
      <c r="F685" s="109"/>
      <c r="G685" s="110"/>
      <c r="H685" s="164">
        <v>0</v>
      </c>
      <c r="I685" s="109"/>
      <c r="J685" s="110"/>
      <c r="K685" s="165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64">
        <v>0</v>
      </c>
      <c r="F686" s="109"/>
      <c r="G686" s="110"/>
      <c r="H686" s="164">
        <v>0</v>
      </c>
      <c r="I686" s="109"/>
      <c r="J686" s="110"/>
      <c r="K686" s="165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64">
        <v>0</v>
      </c>
      <c r="F687" s="109"/>
      <c r="G687" s="110"/>
      <c r="H687" s="164">
        <v>0</v>
      </c>
      <c r="I687" s="109"/>
      <c r="J687" s="110"/>
      <c r="K687" s="165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64">
        <v>0</v>
      </c>
      <c r="F688" s="109"/>
      <c r="G688" s="110"/>
      <c r="H688" s="164">
        <v>0</v>
      </c>
      <c r="I688" s="109"/>
      <c r="J688" s="110"/>
      <c r="K688" s="165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64">
        <v>0</v>
      </c>
      <c r="F689" s="109"/>
      <c r="G689" s="110"/>
      <c r="H689" s="164">
        <v>0</v>
      </c>
      <c r="I689" s="109"/>
      <c r="J689" s="110"/>
      <c r="K689" s="165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64">
        <v>0</v>
      </c>
      <c r="F690" s="109"/>
      <c r="G690" s="110"/>
      <c r="H690" s="164">
        <v>0</v>
      </c>
      <c r="I690" s="109"/>
      <c r="J690" s="110"/>
      <c r="K690" s="165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64">
        <v>0</v>
      </c>
      <c r="F691" s="109"/>
      <c r="G691" s="110"/>
      <c r="H691" s="164">
        <v>0</v>
      </c>
      <c r="I691" s="109"/>
      <c r="J691" s="110"/>
      <c r="K691" s="165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64">
        <v>0</v>
      </c>
      <c r="F692" s="109"/>
      <c r="G692" s="110"/>
      <c r="H692" s="164">
        <v>0</v>
      </c>
      <c r="I692" s="109"/>
      <c r="J692" s="110"/>
      <c r="K692" s="165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64">
        <v>0</v>
      </c>
      <c r="F693" s="109"/>
      <c r="G693" s="110"/>
      <c r="H693" s="164">
        <v>0</v>
      </c>
      <c r="I693" s="109"/>
      <c r="J693" s="110"/>
      <c r="K693" s="165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64">
        <v>0</v>
      </c>
      <c r="F694" s="109"/>
      <c r="G694" s="110"/>
      <c r="H694" s="164">
        <v>0</v>
      </c>
      <c r="I694" s="109"/>
      <c r="J694" s="110"/>
      <c r="K694" s="165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64">
        <v>0</v>
      </c>
      <c r="F695" s="109"/>
      <c r="G695" s="110"/>
      <c r="H695" s="164">
        <v>0</v>
      </c>
      <c r="I695" s="109"/>
      <c r="J695" s="110"/>
      <c r="K695" s="165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64">
        <v>0</v>
      </c>
      <c r="F696" s="109"/>
      <c r="G696" s="110"/>
      <c r="H696" s="164">
        <v>0</v>
      </c>
      <c r="I696" s="109"/>
      <c r="J696" s="110"/>
      <c r="K696" s="165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64">
        <v>0</v>
      </c>
      <c r="F697" s="109"/>
      <c r="G697" s="110"/>
      <c r="H697" s="164">
        <v>0</v>
      </c>
      <c r="I697" s="109"/>
      <c r="J697" s="110"/>
      <c r="K697" s="165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64">
        <v>0</v>
      </c>
      <c r="F698" s="109"/>
      <c r="G698" s="110"/>
      <c r="H698" s="164">
        <v>0</v>
      </c>
      <c r="I698" s="109"/>
      <c r="J698" s="110"/>
      <c r="K698" s="165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64">
        <v>0</v>
      </c>
      <c r="F699" s="109"/>
      <c r="G699" s="110"/>
      <c r="H699" s="164">
        <v>0</v>
      </c>
      <c r="I699" s="109"/>
      <c r="J699" s="110"/>
      <c r="K699" s="165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64">
        <v>0</v>
      </c>
      <c r="F700" s="109"/>
      <c r="G700" s="110"/>
      <c r="H700" s="164">
        <v>0</v>
      </c>
      <c r="I700" s="109"/>
      <c r="J700" s="110"/>
      <c r="K700" s="165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64">
        <v>0</v>
      </c>
      <c r="F701" s="109"/>
      <c r="G701" s="110"/>
      <c r="H701" s="164">
        <v>0</v>
      </c>
      <c r="I701" s="109"/>
      <c r="J701" s="110"/>
      <c r="K701" s="165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64">
        <v>0</v>
      </c>
      <c r="F702" s="109"/>
      <c r="G702" s="110"/>
      <c r="H702" s="164">
        <v>0</v>
      </c>
      <c r="I702" s="109"/>
      <c r="J702" s="110"/>
      <c r="K702" s="165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64">
        <v>0</v>
      </c>
      <c r="F703" s="109"/>
      <c r="G703" s="110"/>
      <c r="H703" s="164">
        <v>0</v>
      </c>
      <c r="I703" s="109"/>
      <c r="J703" s="110"/>
      <c r="K703" s="165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64">
        <v>0</v>
      </c>
      <c r="F704" s="109"/>
      <c r="G704" s="110"/>
      <c r="H704" s="164">
        <v>0</v>
      </c>
      <c r="I704" s="109"/>
      <c r="J704" s="110"/>
      <c r="K704" s="165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64">
        <v>0</v>
      </c>
      <c r="F705" s="109"/>
      <c r="G705" s="110"/>
      <c r="H705" s="164">
        <v>0</v>
      </c>
      <c r="I705" s="109"/>
      <c r="J705" s="110"/>
      <c r="K705" s="165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64">
        <v>0</v>
      </c>
      <c r="F706" s="109"/>
      <c r="G706" s="110"/>
      <c r="H706" s="164">
        <v>0</v>
      </c>
      <c r="I706" s="109"/>
      <c r="J706" s="110"/>
      <c r="K706" s="165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64">
        <v>0</v>
      </c>
      <c r="F707" s="109"/>
      <c r="G707" s="110"/>
      <c r="H707" s="164">
        <v>0</v>
      </c>
      <c r="I707" s="109"/>
      <c r="J707" s="110"/>
      <c r="K707" s="165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64">
        <v>0</v>
      </c>
      <c r="F708" s="109"/>
      <c r="G708" s="110"/>
      <c r="H708" s="164">
        <v>0</v>
      </c>
      <c r="I708" s="109"/>
      <c r="J708" s="110"/>
      <c r="K708" s="165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64">
        <v>0</v>
      </c>
      <c r="F709" s="109"/>
      <c r="G709" s="110"/>
      <c r="H709" s="164">
        <v>0</v>
      </c>
      <c r="I709" s="109"/>
      <c r="J709" s="110"/>
      <c r="K709" s="165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64">
        <v>0</v>
      </c>
      <c r="F710" s="109"/>
      <c r="G710" s="110"/>
      <c r="H710" s="164">
        <v>0</v>
      </c>
      <c r="I710" s="109"/>
      <c r="J710" s="110"/>
      <c r="K710" s="165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64">
        <v>0</v>
      </c>
      <c r="F711" s="109"/>
      <c r="G711" s="110"/>
      <c r="H711" s="164">
        <v>0</v>
      </c>
      <c r="I711" s="109"/>
      <c r="J711" s="110"/>
      <c r="K711" s="165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64">
        <v>0</v>
      </c>
      <c r="F712" s="109"/>
      <c r="G712" s="110"/>
      <c r="H712" s="164">
        <v>0</v>
      </c>
      <c r="I712" s="109"/>
      <c r="J712" s="110"/>
      <c r="K712" s="165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64">
        <v>0</v>
      </c>
      <c r="F713" s="109"/>
      <c r="G713" s="110"/>
      <c r="H713" s="164">
        <v>0</v>
      </c>
      <c r="I713" s="109"/>
      <c r="J713" s="110"/>
      <c r="K713" s="165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64">
        <v>0</v>
      </c>
      <c r="F714" s="109"/>
      <c r="G714" s="110"/>
      <c r="H714" s="164">
        <v>0</v>
      </c>
      <c r="I714" s="109"/>
      <c r="J714" s="110"/>
      <c r="K714" s="165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64">
        <v>0</v>
      </c>
      <c r="F715" s="109"/>
      <c r="G715" s="110"/>
      <c r="H715" s="164">
        <v>0</v>
      </c>
      <c r="I715" s="109"/>
      <c r="J715" s="110"/>
      <c r="K715" s="165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64">
        <v>0</v>
      </c>
      <c r="F716" s="109"/>
      <c r="G716" s="110"/>
      <c r="H716" s="164">
        <v>0</v>
      </c>
      <c r="I716" s="109"/>
      <c r="J716" s="110"/>
      <c r="K716" s="165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64">
        <v>0</v>
      </c>
      <c r="F717" s="109"/>
      <c r="G717" s="110"/>
      <c r="H717" s="164">
        <v>0</v>
      </c>
      <c r="I717" s="109"/>
      <c r="J717" s="110"/>
      <c r="K717" s="165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64">
        <v>0</v>
      </c>
      <c r="F718" s="109"/>
      <c r="G718" s="110"/>
      <c r="H718" s="164">
        <v>0</v>
      </c>
      <c r="I718" s="109"/>
      <c r="J718" s="110"/>
      <c r="K718" s="165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64">
        <v>0</v>
      </c>
      <c r="F719" s="109"/>
      <c r="G719" s="110"/>
      <c r="H719" s="164">
        <v>0</v>
      </c>
      <c r="I719" s="109"/>
      <c r="J719" s="110"/>
      <c r="K719" s="165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64">
        <v>0</v>
      </c>
      <c r="F720" s="109"/>
      <c r="G720" s="110"/>
      <c r="H720" s="164">
        <v>0</v>
      </c>
      <c r="I720" s="109"/>
      <c r="J720" s="110"/>
      <c r="K720" s="165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64">
        <v>0</v>
      </c>
      <c r="F721" s="109"/>
      <c r="G721" s="110"/>
      <c r="H721" s="164">
        <v>0</v>
      </c>
      <c r="I721" s="109"/>
      <c r="J721" s="110"/>
      <c r="K721" s="165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64">
        <v>0</v>
      </c>
      <c r="F722" s="109"/>
      <c r="G722" s="110"/>
      <c r="H722" s="164">
        <v>0</v>
      </c>
      <c r="I722" s="109"/>
      <c r="J722" s="110"/>
      <c r="K722" s="165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64">
        <v>0</v>
      </c>
      <c r="F723" s="109"/>
      <c r="G723" s="110"/>
      <c r="H723" s="164">
        <v>0</v>
      </c>
      <c r="I723" s="109"/>
      <c r="J723" s="110"/>
      <c r="K723" s="165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64">
        <v>0</v>
      </c>
      <c r="F724" s="109"/>
      <c r="G724" s="110"/>
      <c r="H724" s="164">
        <v>0</v>
      </c>
      <c r="I724" s="109"/>
      <c r="J724" s="110"/>
      <c r="K724" s="165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64">
        <v>0</v>
      </c>
      <c r="F725" s="109"/>
      <c r="G725" s="110"/>
      <c r="H725" s="164">
        <v>0</v>
      </c>
      <c r="I725" s="109"/>
      <c r="J725" s="110"/>
      <c r="K725" s="165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64">
        <v>0</v>
      </c>
      <c r="F726" s="109"/>
      <c r="G726" s="110"/>
      <c r="H726" s="164">
        <v>0</v>
      </c>
      <c r="I726" s="109"/>
      <c r="J726" s="110"/>
      <c r="K726" s="165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64">
        <v>0</v>
      </c>
      <c r="F727" s="109"/>
      <c r="G727" s="110"/>
      <c r="H727" s="164">
        <v>0</v>
      </c>
      <c r="I727" s="109"/>
      <c r="J727" s="110"/>
      <c r="K727" s="165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64">
        <v>0</v>
      </c>
      <c r="F728" s="109"/>
      <c r="G728" s="110"/>
      <c r="H728" s="164">
        <v>0</v>
      </c>
      <c r="I728" s="109"/>
      <c r="J728" s="110"/>
      <c r="K728" s="165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64">
        <v>0</v>
      </c>
      <c r="F729" s="109"/>
      <c r="G729" s="110"/>
      <c r="H729" s="164">
        <v>0</v>
      </c>
      <c r="I729" s="109"/>
      <c r="J729" s="110"/>
      <c r="K729" s="165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64">
        <v>0</v>
      </c>
      <c r="F730" s="109"/>
      <c r="G730" s="110"/>
      <c r="H730" s="164">
        <v>0</v>
      </c>
      <c r="I730" s="109"/>
      <c r="J730" s="110"/>
      <c r="K730" s="165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64">
        <v>0</v>
      </c>
      <c r="F731" s="109"/>
      <c r="G731" s="110"/>
      <c r="H731" s="164">
        <v>0</v>
      </c>
      <c r="I731" s="109"/>
      <c r="J731" s="110"/>
      <c r="K731" s="165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64">
        <v>0</v>
      </c>
      <c r="F732" s="109"/>
      <c r="G732" s="110"/>
      <c r="H732" s="164">
        <v>0</v>
      </c>
      <c r="I732" s="109"/>
      <c r="J732" s="110"/>
      <c r="K732" s="165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66">
        <v>0</v>
      </c>
      <c r="F733" s="130"/>
      <c r="G733" s="131"/>
      <c r="H733" s="166">
        <v>0</v>
      </c>
      <c r="I733" s="130"/>
      <c r="J733" s="131"/>
      <c r="K733" s="166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F13" sqref="F13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  <c r="P1" s="10"/>
    </row>
    <row r="2" spans="1:16" x14ac:dyDescent="0.35">
      <c r="A2" s="171" t="s">
        <v>220</v>
      </c>
      <c r="B2" s="135" t="s">
        <v>221</v>
      </c>
      <c r="C2" s="136">
        <v>965.57</v>
      </c>
      <c r="D2" s="136">
        <v>3095.56</v>
      </c>
      <c r="E2" s="136">
        <v>4304.07</v>
      </c>
      <c r="F2" s="136">
        <v>4331.22</v>
      </c>
      <c r="G2" s="136">
        <v>3487.24</v>
      </c>
      <c r="H2" s="136">
        <v>4599.99</v>
      </c>
      <c r="I2" s="136">
        <v>7716.24</v>
      </c>
      <c r="J2" s="136">
        <v>2066.23</v>
      </c>
      <c r="K2" s="136">
        <v>6521.77</v>
      </c>
      <c r="L2" s="136">
        <v>37087.89</v>
      </c>
      <c r="M2" s="167">
        <v>13557.49</v>
      </c>
      <c r="N2" s="167">
        <v>9469.44</v>
      </c>
      <c r="P2" s="173"/>
    </row>
    <row r="3" spans="1:16" x14ac:dyDescent="0.35">
      <c r="A3" s="171" t="s">
        <v>222</v>
      </c>
      <c r="B3" s="135" t="s">
        <v>223</v>
      </c>
      <c r="C3" s="136">
        <v>13164</v>
      </c>
      <c r="D3" s="136">
        <v>42444</v>
      </c>
      <c r="E3" s="136">
        <v>59170</v>
      </c>
      <c r="F3" s="136">
        <v>59546</v>
      </c>
      <c r="G3" s="136">
        <v>47865</v>
      </c>
      <c r="H3" s="136">
        <v>63266</v>
      </c>
      <c r="I3" s="136">
        <v>105516</v>
      </c>
      <c r="J3" s="136">
        <v>28198</v>
      </c>
      <c r="K3" s="136">
        <v>89864</v>
      </c>
      <c r="L3" s="136">
        <v>509033</v>
      </c>
      <c r="M3" s="167">
        <v>222235</v>
      </c>
      <c r="N3" s="167">
        <v>131214</v>
      </c>
      <c r="O3" s="10"/>
      <c r="P3" s="172" t="s">
        <v>345</v>
      </c>
    </row>
    <row r="4" spans="1:16" x14ac:dyDescent="0.35">
      <c r="A4" s="171" t="s">
        <v>224</v>
      </c>
      <c r="B4" s="135" t="s">
        <v>223</v>
      </c>
      <c r="C4" s="136">
        <v>52656</v>
      </c>
      <c r="D4" s="136">
        <v>169776</v>
      </c>
      <c r="E4" s="136">
        <v>236680</v>
      </c>
      <c r="F4" s="136">
        <v>238184</v>
      </c>
      <c r="G4" s="136">
        <v>191460</v>
      </c>
      <c r="H4" s="136">
        <v>253064</v>
      </c>
      <c r="I4" s="136">
        <v>422064</v>
      </c>
      <c r="J4" s="136">
        <v>112792</v>
      </c>
      <c r="K4" s="136">
        <v>359456</v>
      </c>
      <c r="L4" s="136">
        <v>2036132</v>
      </c>
      <c r="M4" s="167">
        <v>1076658</v>
      </c>
      <c r="N4" s="167">
        <f>M3*4</f>
        <v>888940</v>
      </c>
      <c r="P4" s="173" t="s">
        <v>345</v>
      </c>
    </row>
    <row r="5" spans="1:16" x14ac:dyDescent="0.35">
      <c r="A5" s="171" t="s">
        <v>225</v>
      </c>
      <c r="B5" s="135" t="s">
        <v>223</v>
      </c>
      <c r="C5" s="136">
        <v>26328</v>
      </c>
      <c r="D5" s="136">
        <v>84888</v>
      </c>
      <c r="E5" s="136">
        <v>118340</v>
      </c>
      <c r="F5" s="136">
        <v>119092</v>
      </c>
      <c r="G5" s="136">
        <v>95730</v>
      </c>
      <c r="H5" s="136">
        <v>126532</v>
      </c>
      <c r="I5" s="136">
        <v>211032</v>
      </c>
      <c r="J5" s="136">
        <v>56396</v>
      </c>
      <c r="K5" s="136">
        <v>179728</v>
      </c>
      <c r="L5" s="136">
        <v>1018066</v>
      </c>
      <c r="M5" s="167">
        <v>309535</v>
      </c>
      <c r="N5" s="167">
        <v>262428</v>
      </c>
      <c r="P5" s="173" t="s">
        <v>345</v>
      </c>
    </row>
    <row r="6" spans="1:16" x14ac:dyDescent="0.35">
      <c r="A6" s="171" t="s">
        <v>226</v>
      </c>
      <c r="B6" s="135" t="s">
        <v>223</v>
      </c>
      <c r="C6" s="136">
        <v>52656</v>
      </c>
      <c r="D6" s="136">
        <v>169776</v>
      </c>
      <c r="E6" s="136">
        <v>236680</v>
      </c>
      <c r="F6" s="136">
        <v>238184</v>
      </c>
      <c r="G6" s="136">
        <v>191460</v>
      </c>
      <c r="H6" s="136">
        <v>253064</v>
      </c>
      <c r="I6" s="136">
        <v>422064</v>
      </c>
      <c r="J6" s="136">
        <v>112792</v>
      </c>
      <c r="K6" s="136">
        <v>359456</v>
      </c>
      <c r="L6" s="136">
        <v>2036132</v>
      </c>
      <c r="M6" s="167">
        <v>622250</v>
      </c>
      <c r="N6" s="167">
        <v>525756</v>
      </c>
      <c r="P6" s="173" t="s">
        <v>345</v>
      </c>
    </row>
    <row r="7" spans="1:16" x14ac:dyDescent="0.35">
      <c r="A7" s="171" t="s">
        <v>227</v>
      </c>
      <c r="B7" s="135" t="s">
        <v>223</v>
      </c>
      <c r="C7" s="136">
        <v>53388</v>
      </c>
      <c r="D7" s="136">
        <v>171240</v>
      </c>
      <c r="E7" s="136">
        <v>238144</v>
      </c>
      <c r="F7" s="136">
        <v>239648</v>
      </c>
      <c r="G7" s="136">
        <v>192924</v>
      </c>
      <c r="H7" s="136">
        <v>254528</v>
      </c>
      <c r="I7" s="136">
        <v>426384</v>
      </c>
      <c r="J7" s="136">
        <v>114256</v>
      </c>
      <c r="K7" s="136">
        <v>360920</v>
      </c>
      <c r="L7" s="136">
        <v>2051432</v>
      </c>
      <c r="M7" s="167">
        <v>690000</v>
      </c>
      <c r="N7" s="167">
        <v>524856</v>
      </c>
      <c r="P7" s="173" t="s">
        <v>345</v>
      </c>
    </row>
    <row r="8" spans="1:16" x14ac:dyDescent="0.35">
      <c r="A8" s="171" t="s">
        <v>228</v>
      </c>
      <c r="B8" s="135" t="s">
        <v>223</v>
      </c>
      <c r="C8" s="136">
        <v>924</v>
      </c>
      <c r="D8" s="136">
        <v>82</v>
      </c>
      <c r="E8" s="136">
        <v>92</v>
      </c>
      <c r="F8" s="136">
        <v>92</v>
      </c>
      <c r="G8" s="136">
        <v>85</v>
      </c>
      <c r="H8" s="136">
        <v>38</v>
      </c>
      <c r="I8" s="136">
        <v>65</v>
      </c>
      <c r="J8" s="136">
        <v>17</v>
      </c>
      <c r="K8" s="136"/>
      <c r="L8" s="136">
        <v>1395</v>
      </c>
      <c r="M8" s="167">
        <v>1694</v>
      </c>
      <c r="N8" s="167">
        <v>818</v>
      </c>
      <c r="P8" s="173" t="s">
        <v>345</v>
      </c>
    </row>
    <row r="9" spans="1:16" x14ac:dyDescent="0.35">
      <c r="A9" s="171" t="s">
        <v>229</v>
      </c>
      <c r="B9" s="135" t="s">
        <v>230</v>
      </c>
      <c r="C9" s="136">
        <v>1959</v>
      </c>
      <c r="D9" s="136">
        <v>487</v>
      </c>
      <c r="E9" s="136">
        <v>613</v>
      </c>
      <c r="F9" s="136">
        <v>616</v>
      </c>
      <c r="G9" s="136">
        <v>528</v>
      </c>
      <c r="H9" s="136">
        <v>643</v>
      </c>
      <c r="I9" s="136">
        <v>1419</v>
      </c>
      <c r="J9" s="136">
        <v>380</v>
      </c>
      <c r="K9" s="136">
        <v>168</v>
      </c>
      <c r="L9" s="136">
        <v>6813</v>
      </c>
      <c r="M9" s="167">
        <v>7151</v>
      </c>
      <c r="N9" s="167">
        <v>3272</v>
      </c>
      <c r="P9" s="173" t="s">
        <v>345</v>
      </c>
    </row>
    <row r="10" spans="1:16" x14ac:dyDescent="0.35">
      <c r="A10" s="171" t="s">
        <v>231</v>
      </c>
      <c r="B10" s="135" t="s">
        <v>230</v>
      </c>
      <c r="C10" s="137">
        <v>1</v>
      </c>
      <c r="D10" s="137">
        <v>2</v>
      </c>
      <c r="E10" s="137">
        <v>2</v>
      </c>
      <c r="F10" s="137">
        <v>2</v>
      </c>
      <c r="G10" s="137">
        <v>2</v>
      </c>
      <c r="H10" s="137">
        <v>2</v>
      </c>
      <c r="I10" s="137">
        <v>4</v>
      </c>
      <c r="J10" s="137">
        <v>2</v>
      </c>
      <c r="K10" s="137">
        <v>2</v>
      </c>
      <c r="L10" s="136">
        <v>19</v>
      </c>
      <c r="M10" s="167">
        <v>13</v>
      </c>
      <c r="N10" s="167">
        <v>7</v>
      </c>
      <c r="P10" s="173" t="s">
        <v>345</v>
      </c>
    </row>
    <row r="11" spans="1:16" x14ac:dyDescent="0.35">
      <c r="A11" s="171" t="s">
        <v>232</v>
      </c>
      <c r="B11" s="135" t="s">
        <v>230</v>
      </c>
      <c r="C11" s="137">
        <v>0</v>
      </c>
      <c r="D11" s="137">
        <v>0</v>
      </c>
      <c r="E11" s="137">
        <v>0</v>
      </c>
      <c r="F11" s="137">
        <v>0</v>
      </c>
      <c r="G11" s="137">
        <v>0</v>
      </c>
      <c r="H11" s="137">
        <v>0</v>
      </c>
      <c r="I11" s="137">
        <v>4</v>
      </c>
      <c r="J11" s="137">
        <v>0</v>
      </c>
      <c r="K11" s="137">
        <v>0</v>
      </c>
      <c r="L11" s="136">
        <v>4</v>
      </c>
      <c r="M11" s="167">
        <v>0</v>
      </c>
      <c r="N11" s="167">
        <v>0</v>
      </c>
      <c r="P11" s="173" t="s">
        <v>345</v>
      </c>
    </row>
    <row r="12" spans="1:16" x14ac:dyDescent="0.35">
      <c r="A12" s="171" t="s">
        <v>233</v>
      </c>
      <c r="B12" s="135" t="s">
        <v>234</v>
      </c>
      <c r="C12" s="136">
        <v>1</v>
      </c>
      <c r="D12" s="136">
        <v>2</v>
      </c>
      <c r="E12" s="136">
        <v>2</v>
      </c>
      <c r="F12" s="136">
        <v>2</v>
      </c>
      <c r="G12" s="136">
        <v>2</v>
      </c>
      <c r="H12" s="136">
        <v>2</v>
      </c>
      <c r="I12" s="136">
        <v>4</v>
      </c>
      <c r="J12" s="136">
        <v>2</v>
      </c>
      <c r="K12" s="136">
        <v>2</v>
      </c>
      <c r="L12" s="136">
        <v>19</v>
      </c>
      <c r="M12" s="167">
        <v>7</v>
      </c>
      <c r="N12" s="167">
        <v>6</v>
      </c>
      <c r="P12" s="173" t="s">
        <v>345</v>
      </c>
    </row>
    <row r="13" spans="1:16" x14ac:dyDescent="0.35">
      <c r="A13" s="171" t="s">
        <v>235</v>
      </c>
      <c r="B13" s="135" t="s">
        <v>234</v>
      </c>
      <c r="C13" s="137">
        <v>0</v>
      </c>
      <c r="D13" s="137">
        <v>0</v>
      </c>
      <c r="E13" s="137">
        <v>0</v>
      </c>
      <c r="F13" s="137">
        <v>0</v>
      </c>
      <c r="G13" s="137">
        <v>0</v>
      </c>
      <c r="H13" s="137">
        <v>0</v>
      </c>
      <c r="I13" s="137">
        <v>4</v>
      </c>
      <c r="J13" s="137">
        <v>0</v>
      </c>
      <c r="K13" s="137">
        <v>0</v>
      </c>
      <c r="L13" s="136">
        <v>4</v>
      </c>
      <c r="M13" s="167">
        <v>0</v>
      </c>
      <c r="N13" s="167">
        <v>0</v>
      </c>
      <c r="P13" s="173" t="s">
        <v>345</v>
      </c>
    </row>
    <row r="14" spans="1:16" x14ac:dyDescent="0.35">
      <c r="A14" s="171" t="s">
        <v>236</v>
      </c>
      <c r="B14" s="135" t="s">
        <v>237</v>
      </c>
      <c r="C14" s="136">
        <v>155</v>
      </c>
      <c r="D14" s="136">
        <v>279</v>
      </c>
      <c r="E14" s="136">
        <v>384</v>
      </c>
      <c r="F14" s="136">
        <v>386</v>
      </c>
      <c r="G14" s="136">
        <v>313</v>
      </c>
      <c r="H14" s="136">
        <v>409</v>
      </c>
      <c r="I14" s="136">
        <v>712</v>
      </c>
      <c r="J14" s="136">
        <v>190</v>
      </c>
      <c r="K14" s="136">
        <v>575</v>
      </c>
      <c r="L14" s="136">
        <v>3403</v>
      </c>
      <c r="M14" s="167">
        <v>416</v>
      </c>
      <c r="N14" s="167">
        <v>386</v>
      </c>
      <c r="P14" s="173" t="s">
        <v>345</v>
      </c>
    </row>
    <row r="15" spans="1:16" x14ac:dyDescent="0.35">
      <c r="A15" s="171" t="s">
        <v>238</v>
      </c>
      <c r="B15" s="135" t="s">
        <v>239</v>
      </c>
      <c r="C15" s="136">
        <v>18029.528704</v>
      </c>
      <c r="D15" s="136">
        <v>60526.263893999996</v>
      </c>
      <c r="E15" s="136">
        <v>83599.324625999972</v>
      </c>
      <c r="F15" s="136">
        <v>83466.22335999996</v>
      </c>
      <c r="G15" s="136">
        <v>67666.073100000009</v>
      </c>
      <c r="H15" s="136">
        <v>88569.56</v>
      </c>
      <c r="I15" s="136">
        <v>150758.29536000016</v>
      </c>
      <c r="J15" s="136">
        <v>40440.949999999997</v>
      </c>
      <c r="K15" s="136">
        <v>125180.54999999994</v>
      </c>
      <c r="L15" s="136">
        <v>718236.76904399996</v>
      </c>
      <c r="M15" s="167">
        <v>176600.96402877758</v>
      </c>
      <c r="N15" s="167">
        <v>170759.97446043167</v>
      </c>
      <c r="P15" s="172" t="s">
        <v>345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90" t="s">
        <v>240</v>
      </c>
      <c r="B1" s="190" t="s">
        <v>240</v>
      </c>
      <c r="C1" s="190" t="s">
        <v>240</v>
      </c>
      <c r="D1" s="190" t="s">
        <v>240</v>
      </c>
      <c r="E1" s="190" t="s">
        <v>240</v>
      </c>
      <c r="F1" s="190" t="s">
        <v>240</v>
      </c>
      <c r="G1" s="190" t="s">
        <v>240</v>
      </c>
    </row>
    <row r="2" spans="1:7" x14ac:dyDescent="0.35">
      <c r="A2" s="141" t="s">
        <v>241</v>
      </c>
      <c r="B2" s="142">
        <v>46237</v>
      </c>
    </row>
    <row r="4" spans="1:7" ht="24" customHeight="1" x14ac:dyDescent="0.35">
      <c r="A4" s="143" t="s">
        <v>242</v>
      </c>
      <c r="B4" s="143" t="s">
        <v>243</v>
      </c>
      <c r="C4" s="143" t="s">
        <v>244</v>
      </c>
      <c r="D4" s="143" t="s">
        <v>245</v>
      </c>
      <c r="E4" s="143" t="s">
        <v>246</v>
      </c>
      <c r="F4" s="143" t="s">
        <v>247</v>
      </c>
      <c r="G4" s="143" t="s">
        <v>248</v>
      </c>
    </row>
    <row r="5" spans="1:7" ht="39.65" customHeight="1" x14ac:dyDescent="0.35">
      <c r="A5" s="144" t="s">
        <v>160</v>
      </c>
      <c r="B5" s="144" t="s">
        <v>249</v>
      </c>
      <c r="C5" s="144" t="s">
        <v>250</v>
      </c>
      <c r="D5" s="144" t="s">
        <v>251</v>
      </c>
      <c r="E5" s="145">
        <v>46231</v>
      </c>
      <c r="F5" s="144" t="s">
        <v>299</v>
      </c>
      <c r="G5" s="144" t="s">
        <v>253</v>
      </c>
    </row>
    <row r="6" spans="1:7" ht="26.5" customHeight="1" x14ac:dyDescent="0.35">
      <c r="A6" s="144" t="s">
        <v>254</v>
      </c>
      <c r="B6" s="144" t="s">
        <v>255</v>
      </c>
      <c r="C6" s="144" t="s">
        <v>256</v>
      </c>
      <c r="D6" s="144" t="s">
        <v>251</v>
      </c>
      <c r="E6" s="145">
        <v>46231</v>
      </c>
      <c r="F6" s="144" t="s">
        <v>299</v>
      </c>
      <c r="G6" s="144" t="s">
        <v>253</v>
      </c>
    </row>
    <row r="7" spans="1:7" ht="39.65" customHeight="1" x14ac:dyDescent="0.35">
      <c r="A7" s="144" t="s">
        <v>9</v>
      </c>
      <c r="B7" s="144" t="s">
        <v>257</v>
      </c>
      <c r="C7" s="144" t="s">
        <v>258</v>
      </c>
      <c r="D7" s="144" t="s">
        <v>251</v>
      </c>
      <c r="E7" s="145">
        <v>46287</v>
      </c>
      <c r="F7" s="144" t="s">
        <v>299</v>
      </c>
      <c r="G7" s="144" t="s">
        <v>317</v>
      </c>
    </row>
    <row r="8" spans="1:7" ht="52.75" customHeight="1" x14ac:dyDescent="0.35">
      <c r="A8" s="144" t="s">
        <v>190</v>
      </c>
      <c r="B8" s="144" t="s">
        <v>259</v>
      </c>
      <c r="C8" s="144" t="s">
        <v>260</v>
      </c>
      <c r="D8" s="144" t="s">
        <v>261</v>
      </c>
      <c r="E8" s="145">
        <v>46244</v>
      </c>
      <c r="F8" s="144" t="s">
        <v>299</v>
      </c>
      <c r="G8" s="144" t="s">
        <v>318</v>
      </c>
    </row>
    <row r="9" spans="1:7" ht="39.65" customHeight="1" x14ac:dyDescent="0.35">
      <c r="A9" s="144" t="s">
        <v>262</v>
      </c>
      <c r="B9" s="144" t="s">
        <v>263</v>
      </c>
      <c r="C9" s="144" t="s">
        <v>264</v>
      </c>
      <c r="D9" s="144" t="s">
        <v>261</v>
      </c>
      <c r="E9" s="145">
        <v>46242</v>
      </c>
      <c r="F9" s="144" t="s">
        <v>252</v>
      </c>
      <c r="G9" s="144" t="s">
        <v>319</v>
      </c>
    </row>
    <row r="10" spans="1:7" ht="26.5" customHeight="1" x14ac:dyDescent="0.35">
      <c r="A10" s="144" t="s">
        <v>17</v>
      </c>
      <c r="B10" s="144" t="s">
        <v>265</v>
      </c>
      <c r="C10" s="144" t="s">
        <v>266</v>
      </c>
      <c r="D10" s="144" t="s">
        <v>261</v>
      </c>
      <c r="E10" s="145">
        <v>46232</v>
      </c>
      <c r="F10" s="144" t="s">
        <v>299</v>
      </c>
      <c r="G10" s="144" t="s">
        <v>320</v>
      </c>
    </row>
    <row r="11" spans="1:7" ht="39.65" customHeight="1" x14ac:dyDescent="0.35">
      <c r="A11" s="144" t="s">
        <v>267</v>
      </c>
      <c r="B11" s="144" t="s">
        <v>268</v>
      </c>
      <c r="C11" s="144" t="s">
        <v>269</v>
      </c>
      <c r="D11" s="144" t="s">
        <v>261</v>
      </c>
      <c r="E11" s="145">
        <v>46239</v>
      </c>
      <c r="F11" s="144" t="s">
        <v>252</v>
      </c>
      <c r="G11" s="144" t="s">
        <v>321</v>
      </c>
    </row>
    <row r="12" spans="1:7" ht="39.65" customHeight="1" x14ac:dyDescent="0.35">
      <c r="A12" s="168" t="s">
        <v>254</v>
      </c>
      <c r="B12" s="168" t="s">
        <v>322</v>
      </c>
      <c r="C12" s="168" t="s">
        <v>323</v>
      </c>
      <c r="D12" s="168" t="s">
        <v>261</v>
      </c>
      <c r="E12" s="169">
        <v>46239</v>
      </c>
      <c r="F12" s="168" t="s">
        <v>252</v>
      </c>
      <c r="G12" s="168"/>
    </row>
    <row r="13" spans="1:7" ht="39.65" customHeight="1" x14ac:dyDescent="0.35">
      <c r="A13" s="168" t="s">
        <v>9</v>
      </c>
      <c r="B13" s="168" t="s">
        <v>324</v>
      </c>
      <c r="C13" s="168" t="s">
        <v>325</v>
      </c>
      <c r="D13" s="168" t="s">
        <v>261</v>
      </c>
      <c r="E13" s="169">
        <v>46239</v>
      </c>
      <c r="F13" s="168" t="s">
        <v>252</v>
      </c>
      <c r="G13" s="168"/>
    </row>
    <row r="14" spans="1:7" ht="39.65" customHeight="1" x14ac:dyDescent="0.35">
      <c r="A14" s="168" t="s">
        <v>18</v>
      </c>
      <c r="B14" s="168" t="s">
        <v>326</v>
      </c>
      <c r="C14" s="168" t="s">
        <v>327</v>
      </c>
      <c r="D14" s="168" t="s">
        <v>328</v>
      </c>
      <c r="E14" s="169">
        <v>46241</v>
      </c>
      <c r="F14" s="168" t="s">
        <v>252</v>
      </c>
      <c r="G14" s="168"/>
    </row>
    <row r="15" spans="1:7" ht="39.65" customHeight="1" x14ac:dyDescent="0.35">
      <c r="A15" s="168" t="s">
        <v>329</v>
      </c>
      <c r="B15" s="168" t="s">
        <v>330</v>
      </c>
      <c r="C15" s="168" t="s">
        <v>331</v>
      </c>
      <c r="D15" s="168" t="s">
        <v>251</v>
      </c>
      <c r="E15" s="169">
        <v>46241</v>
      </c>
      <c r="F15" s="168" t="s">
        <v>252</v>
      </c>
      <c r="G15" s="168"/>
    </row>
    <row r="16" spans="1:7" ht="39.65" customHeight="1" x14ac:dyDescent="0.35">
      <c r="A16" s="168"/>
      <c r="B16" s="168"/>
      <c r="C16" s="168"/>
      <c r="D16" s="168"/>
      <c r="E16" s="169"/>
      <c r="F16" s="168"/>
      <c r="G16" s="168"/>
    </row>
  </sheetData>
  <mergeCells count="1">
    <mergeCell ref="A1:G1"/>
  </mergeCells>
  <conditionalFormatting sqref="A5:G15">
    <cfRule type="expression" dxfId="6" priority="6">
      <formula>AND($F5&lt;&gt;"Concluído",$E5&lt;&gt;"",$E5&lt;TODAY())</formula>
    </cfRule>
  </conditionalFormatting>
  <conditionalFormatting sqref="A14:G16">
    <cfRule type="expression" dxfId="5" priority="3">
      <formula>AND($F14&lt;&gt;"Concluído",$E14&lt;&gt;"",$E14&lt;TODAY())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B29"/>
  <sheetViews>
    <sheetView showGridLines="0" workbookViewId="0">
      <selection activeCell="B5" sqref="B5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91" t="s">
        <v>270</v>
      </c>
      <c r="B1" s="191" t="s">
        <v>270</v>
      </c>
      <c r="C1" s="191" t="s">
        <v>270</v>
      </c>
      <c r="D1" s="191" t="s">
        <v>270</v>
      </c>
      <c r="E1" s="191" t="s">
        <v>270</v>
      </c>
      <c r="F1" s="191" t="s">
        <v>270</v>
      </c>
      <c r="G1" s="191" t="s">
        <v>270</v>
      </c>
      <c r="H1" s="191" t="s">
        <v>270</v>
      </c>
      <c r="J1" s="192" t="s">
        <v>271</v>
      </c>
      <c r="K1" s="192" t="s">
        <v>271</v>
      </c>
      <c r="L1" s="192" t="s">
        <v>271</v>
      </c>
      <c r="M1" s="192" t="s">
        <v>271</v>
      </c>
      <c r="N1" s="192" t="s">
        <v>271</v>
      </c>
    </row>
    <row r="2" spans="1:14" x14ac:dyDescent="0.35">
      <c r="A2" s="146" t="s">
        <v>241</v>
      </c>
      <c r="B2" s="147">
        <v>46251</v>
      </c>
      <c r="J2" s="149" t="s">
        <v>272</v>
      </c>
      <c r="K2" s="170">
        <f>COUNTIF($D$5:$D$29,"&lt;&gt;Concluído")</f>
        <v>12</v>
      </c>
      <c r="L2" s="149" t="s">
        <v>273</v>
      </c>
      <c r="M2" s="170">
        <f ca="1">COUNTIFS($D$5:$D$29,"&lt;&gt;Concluído",$F$5:$F$29,"&lt;&gt;",$F$5:$F$29,"&lt;"&amp;TODAY())</f>
        <v>11</v>
      </c>
    </row>
    <row r="3" spans="1:14" x14ac:dyDescent="0.35">
      <c r="J3" s="149" t="s">
        <v>274</v>
      </c>
      <c r="K3" s="170">
        <f>COUNTIF($D$5:$D$29,"Concluído")</f>
        <v>13</v>
      </c>
      <c r="L3" s="149" t="s">
        <v>275</v>
      </c>
      <c r="M3" s="170">
        <f>COUNTIF($D$5:$D$29,"Impedido")</f>
        <v>3</v>
      </c>
    </row>
    <row r="4" spans="1:14" ht="24" customHeight="1" x14ac:dyDescent="0.35">
      <c r="A4" s="148" t="s">
        <v>242</v>
      </c>
      <c r="B4" s="148" t="s">
        <v>276</v>
      </c>
      <c r="C4" s="148" t="s">
        <v>277</v>
      </c>
      <c r="D4" s="148" t="s">
        <v>247</v>
      </c>
      <c r="E4" s="148" t="s">
        <v>278</v>
      </c>
      <c r="F4" s="148" t="s">
        <v>279</v>
      </c>
      <c r="G4" s="148" t="s">
        <v>245</v>
      </c>
      <c r="H4" s="148" t="s">
        <v>248</v>
      </c>
    </row>
    <row r="5" spans="1:14" ht="136" customHeight="1" x14ac:dyDescent="0.35">
      <c r="A5" s="144" t="s">
        <v>280</v>
      </c>
      <c r="B5" s="144" t="s">
        <v>281</v>
      </c>
      <c r="C5" s="144" t="s">
        <v>347</v>
      </c>
      <c r="D5" s="144" t="s">
        <v>299</v>
      </c>
      <c r="E5" s="145">
        <v>46251</v>
      </c>
      <c r="F5" s="145">
        <v>46234</v>
      </c>
      <c r="G5" s="144" t="s">
        <v>282</v>
      </c>
      <c r="H5" s="144"/>
    </row>
    <row r="6" spans="1:14" ht="243" customHeight="1" x14ac:dyDescent="0.35">
      <c r="A6" s="144" t="s">
        <v>283</v>
      </c>
      <c r="B6" s="144" t="s">
        <v>284</v>
      </c>
      <c r="C6" s="144" t="s">
        <v>348</v>
      </c>
      <c r="D6" s="144" t="s">
        <v>252</v>
      </c>
      <c r="E6" s="145">
        <v>46251</v>
      </c>
      <c r="F6" s="145">
        <v>46234</v>
      </c>
      <c r="G6" s="144" t="s">
        <v>285</v>
      </c>
      <c r="H6" s="144"/>
    </row>
    <row r="7" spans="1:14" ht="215" customHeight="1" x14ac:dyDescent="0.35">
      <c r="A7" s="144" t="s">
        <v>286</v>
      </c>
      <c r="B7" s="144" t="s">
        <v>287</v>
      </c>
      <c r="C7" s="144" t="s">
        <v>349</v>
      </c>
      <c r="D7" s="144" t="s">
        <v>252</v>
      </c>
      <c r="E7" s="145">
        <v>46251</v>
      </c>
      <c r="F7" s="145">
        <v>46234</v>
      </c>
      <c r="G7" s="144" t="s">
        <v>285</v>
      </c>
      <c r="H7" s="144"/>
    </row>
    <row r="8" spans="1:14" ht="240.5" customHeight="1" x14ac:dyDescent="0.35">
      <c r="A8" s="144" t="s">
        <v>288</v>
      </c>
      <c r="B8" s="144" t="s">
        <v>289</v>
      </c>
      <c r="C8" s="144" t="s">
        <v>350</v>
      </c>
      <c r="D8" s="144" t="s">
        <v>299</v>
      </c>
      <c r="E8" s="145">
        <v>46244</v>
      </c>
      <c r="F8" s="145">
        <v>46234</v>
      </c>
      <c r="G8" s="144" t="s">
        <v>282</v>
      </c>
      <c r="H8" s="144"/>
    </row>
    <row r="9" spans="1:14" ht="66" customHeight="1" x14ac:dyDescent="0.35">
      <c r="A9" s="144" t="s">
        <v>288</v>
      </c>
      <c r="B9" s="144" t="s">
        <v>289</v>
      </c>
      <c r="C9" s="144" t="s">
        <v>351</v>
      </c>
      <c r="D9" s="144" t="s">
        <v>252</v>
      </c>
      <c r="E9" s="145">
        <v>46251</v>
      </c>
      <c r="F9" s="145">
        <v>46241</v>
      </c>
      <c r="G9" s="144" t="s">
        <v>290</v>
      </c>
      <c r="H9" s="144"/>
    </row>
    <row r="10" spans="1:14" ht="198" customHeight="1" x14ac:dyDescent="0.35">
      <c r="A10" s="144" t="s">
        <v>291</v>
      </c>
      <c r="B10" s="144" t="s">
        <v>292</v>
      </c>
      <c r="C10" s="144" t="s">
        <v>352</v>
      </c>
      <c r="D10" s="144" t="s">
        <v>252</v>
      </c>
      <c r="E10" s="145">
        <v>46251</v>
      </c>
      <c r="F10" s="145">
        <v>46217</v>
      </c>
      <c r="G10" s="144" t="s">
        <v>293</v>
      </c>
      <c r="H10" s="144"/>
    </row>
    <row r="11" spans="1:14" ht="52.75" customHeight="1" x14ac:dyDescent="0.35">
      <c r="A11" s="144" t="s">
        <v>291</v>
      </c>
      <c r="B11" s="144" t="s">
        <v>292</v>
      </c>
      <c r="C11" s="144" t="s">
        <v>353</v>
      </c>
      <c r="D11" s="144" t="s">
        <v>342</v>
      </c>
      <c r="E11" s="145">
        <v>46244</v>
      </c>
      <c r="F11" s="145">
        <v>46234</v>
      </c>
      <c r="G11" s="144" t="s">
        <v>294</v>
      </c>
      <c r="H11" s="144"/>
    </row>
    <row r="12" spans="1:14" ht="118.9" customHeight="1" x14ac:dyDescent="0.35">
      <c r="A12" s="144" t="s">
        <v>291</v>
      </c>
      <c r="B12" s="144" t="s">
        <v>292</v>
      </c>
      <c r="C12" s="144" t="s">
        <v>354</v>
      </c>
      <c r="D12" s="144" t="s">
        <v>299</v>
      </c>
      <c r="E12" s="145">
        <v>46251</v>
      </c>
      <c r="F12" s="145">
        <v>46220</v>
      </c>
      <c r="G12" s="144" t="s">
        <v>290</v>
      </c>
      <c r="H12" s="144"/>
    </row>
    <row r="13" spans="1:14" ht="132" customHeight="1" x14ac:dyDescent="0.35">
      <c r="A13" s="144" t="s">
        <v>295</v>
      </c>
      <c r="B13" s="144" t="s">
        <v>296</v>
      </c>
      <c r="C13" s="144" t="s">
        <v>332</v>
      </c>
      <c r="D13" s="144" t="s">
        <v>299</v>
      </c>
      <c r="E13" s="145">
        <v>46244</v>
      </c>
      <c r="F13" s="145">
        <v>46217</v>
      </c>
      <c r="G13" s="144" t="s">
        <v>282</v>
      </c>
      <c r="H13" s="144"/>
    </row>
    <row r="14" spans="1:14" ht="118.9" customHeight="1" x14ac:dyDescent="0.35">
      <c r="A14" s="144" t="s">
        <v>295</v>
      </c>
      <c r="B14" s="144" t="s">
        <v>296</v>
      </c>
      <c r="C14" s="144" t="s">
        <v>346</v>
      </c>
      <c r="D14" s="144" t="s">
        <v>299</v>
      </c>
      <c r="E14" s="145">
        <v>46244</v>
      </c>
      <c r="F14" s="145">
        <v>46234</v>
      </c>
      <c r="G14" s="144" t="s">
        <v>282</v>
      </c>
      <c r="H14" s="144"/>
    </row>
    <row r="15" spans="1:14" ht="52.75" customHeight="1" x14ac:dyDescent="0.35">
      <c r="A15" s="144" t="s">
        <v>295</v>
      </c>
      <c r="B15" s="144" t="s">
        <v>296</v>
      </c>
      <c r="C15" s="144" t="s">
        <v>333</v>
      </c>
      <c r="D15" s="144" t="s">
        <v>342</v>
      </c>
      <c r="E15" s="145">
        <v>46234</v>
      </c>
      <c r="F15" s="145">
        <v>46234</v>
      </c>
      <c r="G15" s="144" t="s">
        <v>282</v>
      </c>
      <c r="H15" s="144" t="s">
        <v>341</v>
      </c>
    </row>
    <row r="16" spans="1:14" ht="162" customHeight="1" x14ac:dyDescent="0.35">
      <c r="A16" s="144" t="s">
        <v>297</v>
      </c>
      <c r="B16" s="144" t="s">
        <v>298</v>
      </c>
      <c r="C16" s="144" t="s">
        <v>355</v>
      </c>
      <c r="D16" s="144" t="s">
        <v>252</v>
      </c>
      <c r="E16" s="145">
        <v>46251</v>
      </c>
      <c r="F16" s="145">
        <v>46236</v>
      </c>
      <c r="G16" s="144" t="s">
        <v>285</v>
      </c>
      <c r="H16" s="144"/>
    </row>
    <row r="17" spans="1:1022 1029:2046 2053:3070 3077:4094 4101:5118 5125:6142 6149:7166 7173:8190 8197:9214 9221:10238 10245:11262 11269:12286 12293:13310 13317:14334 14341:15358 15365:16382" ht="105.65" customHeight="1" x14ac:dyDescent="0.35">
      <c r="A17" s="144" t="s">
        <v>297</v>
      </c>
      <c r="B17" s="144" t="s">
        <v>298</v>
      </c>
      <c r="C17" s="144" t="s">
        <v>334</v>
      </c>
      <c r="D17" s="144" t="s">
        <v>299</v>
      </c>
      <c r="E17" s="145">
        <v>46217</v>
      </c>
      <c r="F17" s="145">
        <v>46256</v>
      </c>
      <c r="G17" s="144" t="s">
        <v>285</v>
      </c>
      <c r="H17" s="144"/>
    </row>
    <row r="18" spans="1:1022 1029:2046 2053:3070 3077:4094 4101:5118 5125:6142 6149:7166 7173:8190 8197:9214 9221:10238 10245:11262 11269:12286 12293:13310 13317:14334 14341:15358 15365:16382" ht="79.150000000000006" customHeight="1" x14ac:dyDescent="0.35">
      <c r="A18" s="144" t="s">
        <v>300</v>
      </c>
      <c r="B18" s="144" t="s">
        <v>301</v>
      </c>
      <c r="C18" s="144" t="s">
        <v>356</v>
      </c>
      <c r="D18" s="144" t="s">
        <v>252</v>
      </c>
      <c r="E18" s="145">
        <v>46251</v>
      </c>
      <c r="F18" s="145">
        <v>46233</v>
      </c>
      <c r="G18" s="144" t="s">
        <v>290</v>
      </c>
      <c r="H18" s="144"/>
    </row>
    <row r="19" spans="1:1022 1029:2046 2053:3070 3077:4094 4101:5118 5125:6142 6149:7166 7173:8190 8197:9214 9221:10238 10245:11262 11269:12286 12293:13310 13317:14334 14341:15358 15365:16382" ht="135.65" customHeight="1" x14ac:dyDescent="0.35">
      <c r="A19" s="144" t="s">
        <v>302</v>
      </c>
      <c r="B19" s="144" t="s">
        <v>303</v>
      </c>
      <c r="C19" s="144" t="s">
        <v>357</v>
      </c>
      <c r="D19" s="144" t="s">
        <v>299</v>
      </c>
      <c r="E19" s="145">
        <v>46237</v>
      </c>
      <c r="F19" s="145">
        <v>46223</v>
      </c>
      <c r="G19" s="144" t="s">
        <v>282</v>
      </c>
      <c r="H19" s="144"/>
    </row>
    <row r="20" spans="1:1022 1029:2046 2053:3070 3077:4094 4101:5118 5125:6142 6149:7166 7173:8190 8197:9214 9221:10238 10245:11262 11269:12286 12293:13310 13317:14334 14341:15358 15365:16382" ht="105.65" customHeight="1" x14ac:dyDescent="0.35">
      <c r="A20" s="144" t="s">
        <v>302</v>
      </c>
      <c r="B20" s="144" t="s">
        <v>303</v>
      </c>
      <c r="C20" s="144" t="s">
        <v>358</v>
      </c>
      <c r="D20" s="144" t="s">
        <v>252</v>
      </c>
      <c r="E20" s="145">
        <v>46251</v>
      </c>
      <c r="F20" s="145">
        <v>46223</v>
      </c>
      <c r="G20" s="144" t="s">
        <v>285</v>
      </c>
      <c r="H20" s="144"/>
    </row>
    <row r="21" spans="1:1022 1029:2046 2053:3070 3077:4094 4101:5118 5125:6142 6149:7166 7173:8190 8197:9214 9221:10238 10245:11262 11269:12286 12293:13310 13317:14334 14341:15358 15365:16382" ht="145.15" customHeight="1" x14ac:dyDescent="0.35">
      <c r="A21" s="144" t="s">
        <v>304</v>
      </c>
      <c r="B21" s="144" t="s">
        <v>305</v>
      </c>
      <c r="C21" s="144" t="s">
        <v>360</v>
      </c>
      <c r="D21" s="144" t="s">
        <v>252</v>
      </c>
      <c r="E21" s="145">
        <v>46242</v>
      </c>
      <c r="F21" s="145">
        <v>46220</v>
      </c>
      <c r="G21" s="144" t="s">
        <v>282</v>
      </c>
      <c r="H21" s="144"/>
    </row>
    <row r="22" spans="1:1022 1029:2046 2053:3070 3077:4094 4101:5118 5125:6142 6149:7166 7173:8190 8197:9214 9221:10238 10245:11262 11269:12286 12293:13310 13317:14334 14341:15358 15365:16382" ht="105.65" customHeight="1" x14ac:dyDescent="0.35">
      <c r="A22" s="144" t="s">
        <v>306</v>
      </c>
      <c r="B22" s="144" t="s">
        <v>307</v>
      </c>
      <c r="C22" s="144" t="s">
        <v>335</v>
      </c>
      <c r="D22" s="144" t="s">
        <v>299</v>
      </c>
      <c r="E22" s="145">
        <v>46237</v>
      </c>
      <c r="F22" s="145">
        <v>46234</v>
      </c>
      <c r="G22" s="144" t="s">
        <v>308</v>
      </c>
      <c r="H22" s="144"/>
    </row>
    <row r="23" spans="1:1022 1029:2046 2053:3070 3077:4094 4101:5118 5125:6142 6149:7166 7173:8190 8197:9214 9221:10238 10245:11262 11269:12286 12293:13310 13317:14334 14341:15358 15365:16382" ht="39.65" customHeight="1" x14ac:dyDescent="0.35">
      <c r="A23" s="144" t="s">
        <v>306</v>
      </c>
      <c r="B23" s="144" t="s">
        <v>307</v>
      </c>
      <c r="C23" s="144" t="s">
        <v>336</v>
      </c>
      <c r="D23" s="144" t="s">
        <v>342</v>
      </c>
      <c r="E23" s="145">
        <v>46237</v>
      </c>
      <c r="F23" s="145">
        <v>46230</v>
      </c>
      <c r="G23" s="144" t="s">
        <v>290</v>
      </c>
      <c r="H23" s="144" t="s">
        <v>343</v>
      </c>
    </row>
    <row r="24" spans="1:1022 1029:2046 2053:3070 3077:4094 4101:5118 5125:6142 6149:7166 7173:8190 8197:9214 9221:10238 10245:11262 11269:12286 12293:13310 13317:14334 14341:15358 15365:16382" ht="66" customHeight="1" x14ac:dyDescent="0.35">
      <c r="A24" s="144" t="s">
        <v>309</v>
      </c>
      <c r="B24" s="144" t="s">
        <v>310</v>
      </c>
      <c r="C24" s="144" t="s">
        <v>337</v>
      </c>
      <c r="D24" s="144" t="s">
        <v>299</v>
      </c>
      <c r="E24" s="145">
        <v>46223</v>
      </c>
      <c r="F24" s="145">
        <v>46220</v>
      </c>
      <c r="G24" s="144" t="s">
        <v>290</v>
      </c>
      <c r="H24" s="144"/>
    </row>
    <row r="25" spans="1:1022 1029:2046 2053:3070 3077:4094 4101:5118 5125:6142 6149:7166 7173:8190 8197:9214 9221:10238 10245:11262 11269:12286 12293:13310 13317:14334 14341:15358 15365:16382" ht="52.75" customHeight="1" x14ac:dyDescent="0.35">
      <c r="A25" s="144" t="s">
        <v>309</v>
      </c>
      <c r="B25" s="144" t="s">
        <v>310</v>
      </c>
      <c r="C25" s="144" t="s">
        <v>338</v>
      </c>
      <c r="D25" s="144" t="s">
        <v>299</v>
      </c>
      <c r="E25" s="145">
        <v>46230</v>
      </c>
      <c r="F25" s="145">
        <v>46234</v>
      </c>
      <c r="G25" s="144" t="s">
        <v>285</v>
      </c>
      <c r="H25" s="144"/>
    </row>
    <row r="26" spans="1:1022 1029:2046 2053:3070 3077:4094 4101:5118 5125:6142 6149:7166 7173:8190 8197:9214 9221:10238 10245:11262 11269:12286 12293:13310 13317:14334 14341:15358 15365:16382" ht="52.75" customHeight="1" x14ac:dyDescent="0.35">
      <c r="A26" s="144" t="s">
        <v>309</v>
      </c>
      <c r="B26" s="144" t="s">
        <v>310</v>
      </c>
      <c r="C26" s="144" t="s">
        <v>339</v>
      </c>
      <c r="D26" s="144" t="s">
        <v>299</v>
      </c>
      <c r="E26" s="145">
        <v>46237</v>
      </c>
      <c r="F26" s="145">
        <v>46234</v>
      </c>
      <c r="G26" s="144" t="s">
        <v>285</v>
      </c>
      <c r="H26" s="144" t="s">
        <v>344</v>
      </c>
    </row>
    <row r="27" spans="1:1022 1029:2046 2053:3070 3077:4094 4101:5118 5125:6142 6149:7166 7173:8190 8197:9214 9221:10238 10245:11262 11269:12286 12293:13310 13317:14334 14341:15358 15365:16382" ht="105.65" customHeight="1" x14ac:dyDescent="0.35">
      <c r="A27" s="144" t="s">
        <v>311</v>
      </c>
      <c r="B27" s="144" t="s">
        <v>312</v>
      </c>
      <c r="C27" s="144" t="s">
        <v>340</v>
      </c>
      <c r="D27" s="144" t="s">
        <v>299</v>
      </c>
      <c r="E27" s="145">
        <v>46230</v>
      </c>
      <c r="F27" s="145">
        <v>46240</v>
      </c>
      <c r="G27" s="144" t="s">
        <v>285</v>
      </c>
      <c r="H27" s="144"/>
    </row>
    <row r="28" spans="1:1022 1029:2046 2053:3070 3077:4094 4101:5118 5125:6142 6149:7166 7173:8190 8197:9214 9221:10238 10245:11262 11269:12286 12293:13310 13317:14334 14341:15358 15365:16382" ht="52.75" customHeight="1" x14ac:dyDescent="0.35">
      <c r="A28" s="144" t="s">
        <v>313</v>
      </c>
      <c r="B28" s="144" t="s">
        <v>314</v>
      </c>
      <c r="C28" s="144" t="s">
        <v>359</v>
      </c>
      <c r="D28" s="144" t="s">
        <v>299</v>
      </c>
      <c r="E28" s="145">
        <v>46251</v>
      </c>
      <c r="F28" s="145">
        <f>PlanoAcaoCoordTable4[[#This Row],[Data da atualização]]</f>
        <v>46251</v>
      </c>
      <c r="G28" s="144" t="s">
        <v>315</v>
      </c>
      <c r="H28" s="144"/>
    </row>
    <row r="29" spans="1:1022 1029:2046 2053:3070 3077:4094 4101:5118 5125:6142 6149:7166 7173:8190 8197:9214 9221:10238 10245:11262 11269:12286 12293:13310 13317:14334 14341:15358 15365:16382" s="144" customFormat="1" ht="87" x14ac:dyDescent="0.35">
      <c r="A29" s="168" t="s">
        <v>361</v>
      </c>
      <c r="B29" s="168" t="s">
        <v>362</v>
      </c>
      <c r="C29" s="168" t="s">
        <v>363</v>
      </c>
      <c r="D29" s="168" t="s">
        <v>252</v>
      </c>
      <c r="E29" s="169">
        <v>46251</v>
      </c>
      <c r="F29" s="169">
        <v>46368</v>
      </c>
      <c r="G29" s="168" t="s">
        <v>293</v>
      </c>
      <c r="H29" s="168"/>
      <c r="M29" s="145"/>
      <c r="N29" s="145"/>
      <c r="U29" s="145"/>
      <c r="V29" s="145"/>
      <c r="AC29" s="145"/>
      <c r="AD29" s="145"/>
      <c r="AK29" s="145"/>
      <c r="AL29" s="145"/>
      <c r="AS29" s="145"/>
      <c r="AT29" s="145"/>
      <c r="BA29" s="145"/>
      <c r="BB29" s="145"/>
      <c r="BI29" s="145"/>
      <c r="BJ29" s="145"/>
      <c r="BQ29" s="145"/>
      <c r="BR29" s="145"/>
      <c r="BY29" s="145"/>
      <c r="BZ29" s="145"/>
      <c r="CG29" s="145"/>
      <c r="CH29" s="145"/>
      <c r="CO29" s="145"/>
      <c r="CP29" s="145"/>
      <c r="CW29" s="145"/>
      <c r="CX29" s="145"/>
      <c r="DE29" s="145"/>
      <c r="DF29" s="145"/>
      <c r="DM29" s="145"/>
      <c r="DN29" s="145"/>
      <c r="DU29" s="145"/>
      <c r="DV29" s="145"/>
      <c r="EC29" s="145"/>
      <c r="ED29" s="145"/>
      <c r="EK29" s="145"/>
      <c r="EL29" s="145"/>
      <c r="ES29" s="145"/>
      <c r="ET29" s="145"/>
      <c r="FA29" s="145"/>
      <c r="FB29" s="145"/>
      <c r="FI29" s="145"/>
      <c r="FJ29" s="145"/>
      <c r="FQ29" s="145"/>
      <c r="FR29" s="145"/>
      <c r="FY29" s="145"/>
      <c r="FZ29" s="145"/>
      <c r="GG29" s="145"/>
      <c r="GH29" s="145"/>
      <c r="GO29" s="145"/>
      <c r="GP29" s="145"/>
      <c r="GW29" s="145"/>
      <c r="GX29" s="145"/>
      <c r="HE29" s="145"/>
      <c r="HF29" s="145"/>
      <c r="HM29" s="145"/>
      <c r="HN29" s="145"/>
      <c r="HU29" s="145"/>
      <c r="HV29" s="145"/>
      <c r="IC29" s="145"/>
      <c r="ID29" s="145"/>
      <c r="IK29" s="145"/>
      <c r="IL29" s="145"/>
      <c r="IS29" s="145"/>
      <c r="IT29" s="145"/>
      <c r="JA29" s="145"/>
      <c r="JB29" s="145"/>
      <c r="JI29" s="145"/>
      <c r="JJ29" s="145"/>
      <c r="JQ29" s="145"/>
      <c r="JR29" s="145"/>
      <c r="JY29" s="145"/>
      <c r="JZ29" s="145"/>
      <c r="KG29" s="145"/>
      <c r="KH29" s="145"/>
      <c r="KO29" s="145"/>
      <c r="KP29" s="145"/>
      <c r="KW29" s="145"/>
      <c r="KX29" s="145"/>
      <c r="LE29" s="145"/>
      <c r="LF29" s="145"/>
      <c r="LM29" s="145"/>
      <c r="LN29" s="145"/>
      <c r="LU29" s="145"/>
      <c r="LV29" s="145"/>
      <c r="MC29" s="145"/>
      <c r="MD29" s="145"/>
      <c r="MK29" s="145"/>
      <c r="ML29" s="145"/>
      <c r="MS29" s="145"/>
      <c r="MT29" s="145"/>
      <c r="NA29" s="145"/>
      <c r="NB29" s="145"/>
      <c r="NI29" s="145"/>
      <c r="NJ29" s="145"/>
      <c r="NQ29" s="145"/>
      <c r="NR29" s="145"/>
      <c r="NY29" s="145"/>
      <c r="NZ29" s="145"/>
      <c r="OG29" s="145"/>
      <c r="OH29" s="145"/>
      <c r="OO29" s="145"/>
      <c r="OP29" s="145"/>
      <c r="OW29" s="145"/>
      <c r="OX29" s="145"/>
      <c r="PE29" s="145"/>
      <c r="PF29" s="145"/>
      <c r="PM29" s="145"/>
      <c r="PN29" s="145"/>
      <c r="PU29" s="145"/>
      <c r="PV29" s="145"/>
      <c r="QC29" s="145"/>
      <c r="QD29" s="145"/>
      <c r="QK29" s="145"/>
      <c r="QL29" s="145"/>
      <c r="QS29" s="145"/>
      <c r="QT29" s="145"/>
      <c r="RA29" s="145"/>
      <c r="RB29" s="145"/>
      <c r="RI29" s="145"/>
      <c r="RJ29" s="145"/>
      <c r="RQ29" s="145"/>
      <c r="RR29" s="145"/>
      <c r="RY29" s="145"/>
      <c r="RZ29" s="145"/>
      <c r="SG29" s="145"/>
      <c r="SH29" s="145"/>
      <c r="SO29" s="145"/>
      <c r="SP29" s="145"/>
      <c r="SW29" s="145"/>
      <c r="SX29" s="145"/>
      <c r="TE29" s="145"/>
      <c r="TF29" s="145"/>
      <c r="TM29" s="145"/>
      <c r="TN29" s="145"/>
      <c r="TU29" s="145"/>
      <c r="TV29" s="145"/>
      <c r="UC29" s="145"/>
      <c r="UD29" s="145"/>
      <c r="UK29" s="145"/>
      <c r="UL29" s="145"/>
      <c r="US29" s="145"/>
      <c r="UT29" s="145"/>
      <c r="VA29" s="145"/>
      <c r="VB29" s="145"/>
      <c r="VI29" s="145"/>
      <c r="VJ29" s="145"/>
      <c r="VQ29" s="145"/>
      <c r="VR29" s="145"/>
      <c r="VY29" s="145"/>
      <c r="VZ29" s="145"/>
      <c r="WG29" s="145"/>
      <c r="WH29" s="145"/>
      <c r="WO29" s="145"/>
      <c r="WP29" s="145"/>
      <c r="WW29" s="145"/>
      <c r="WX29" s="145"/>
      <c r="XE29" s="145"/>
      <c r="XF29" s="145"/>
      <c r="XM29" s="145"/>
      <c r="XN29" s="145"/>
      <c r="XU29" s="145"/>
      <c r="XV29" s="145"/>
      <c r="YC29" s="145"/>
      <c r="YD29" s="145"/>
      <c r="YK29" s="145"/>
      <c r="YL29" s="145"/>
      <c r="YS29" s="145"/>
      <c r="YT29" s="145"/>
      <c r="ZA29" s="145"/>
      <c r="ZB29" s="145"/>
      <c r="ZI29" s="145"/>
      <c r="ZJ29" s="145"/>
      <c r="ZQ29" s="145"/>
      <c r="ZR29" s="145"/>
      <c r="ZY29" s="145"/>
      <c r="ZZ29" s="145"/>
      <c r="AAG29" s="145"/>
      <c r="AAH29" s="145"/>
      <c r="AAO29" s="145"/>
      <c r="AAP29" s="145"/>
      <c r="AAW29" s="145"/>
      <c r="AAX29" s="145"/>
      <c r="ABE29" s="145"/>
      <c r="ABF29" s="145"/>
      <c r="ABM29" s="145"/>
      <c r="ABN29" s="145"/>
      <c r="ABU29" s="145"/>
      <c r="ABV29" s="145"/>
      <c r="ACC29" s="145"/>
      <c r="ACD29" s="145"/>
      <c r="ACK29" s="145"/>
      <c r="ACL29" s="145"/>
      <c r="ACS29" s="145"/>
      <c r="ACT29" s="145"/>
      <c r="ADA29" s="145"/>
      <c r="ADB29" s="145"/>
      <c r="ADI29" s="145"/>
      <c r="ADJ29" s="145"/>
      <c r="ADQ29" s="145"/>
      <c r="ADR29" s="145"/>
      <c r="ADY29" s="145"/>
      <c r="ADZ29" s="145"/>
      <c r="AEG29" s="145"/>
      <c r="AEH29" s="145"/>
      <c r="AEO29" s="145"/>
      <c r="AEP29" s="145"/>
      <c r="AEW29" s="145"/>
      <c r="AEX29" s="145"/>
      <c r="AFE29" s="145"/>
      <c r="AFF29" s="145"/>
      <c r="AFM29" s="145"/>
      <c r="AFN29" s="145"/>
      <c r="AFU29" s="145"/>
      <c r="AFV29" s="145"/>
      <c r="AGC29" s="145"/>
      <c r="AGD29" s="145"/>
      <c r="AGK29" s="145"/>
      <c r="AGL29" s="145"/>
      <c r="AGS29" s="145"/>
      <c r="AGT29" s="145"/>
      <c r="AHA29" s="145"/>
      <c r="AHB29" s="145"/>
      <c r="AHI29" s="145"/>
      <c r="AHJ29" s="145"/>
      <c r="AHQ29" s="145"/>
      <c r="AHR29" s="145"/>
      <c r="AHY29" s="145"/>
      <c r="AHZ29" s="145"/>
      <c r="AIG29" s="145"/>
      <c r="AIH29" s="145"/>
      <c r="AIO29" s="145"/>
      <c r="AIP29" s="145"/>
      <c r="AIW29" s="145"/>
      <c r="AIX29" s="145"/>
      <c r="AJE29" s="145"/>
      <c r="AJF29" s="145"/>
      <c r="AJM29" s="145"/>
      <c r="AJN29" s="145"/>
      <c r="AJU29" s="145"/>
      <c r="AJV29" s="145"/>
      <c r="AKC29" s="145"/>
      <c r="AKD29" s="145"/>
      <c r="AKK29" s="145"/>
      <c r="AKL29" s="145"/>
      <c r="AKS29" s="145"/>
      <c r="AKT29" s="145"/>
      <c r="ALA29" s="145"/>
      <c r="ALB29" s="145"/>
      <c r="ALI29" s="145"/>
      <c r="ALJ29" s="145"/>
      <c r="ALQ29" s="145"/>
      <c r="ALR29" s="145"/>
      <c r="ALY29" s="145"/>
      <c r="ALZ29" s="145"/>
      <c r="AMG29" s="145"/>
      <c r="AMH29" s="145"/>
      <c r="AMO29" s="145"/>
      <c r="AMP29" s="145"/>
      <c r="AMW29" s="145"/>
      <c r="AMX29" s="145"/>
      <c r="ANE29" s="145"/>
      <c r="ANF29" s="145"/>
      <c r="ANM29" s="145"/>
      <c r="ANN29" s="145"/>
      <c r="ANU29" s="145"/>
      <c r="ANV29" s="145"/>
      <c r="AOC29" s="145"/>
      <c r="AOD29" s="145"/>
      <c r="AOK29" s="145"/>
      <c r="AOL29" s="145"/>
      <c r="AOS29" s="145"/>
      <c r="AOT29" s="145"/>
      <c r="APA29" s="145"/>
      <c r="APB29" s="145"/>
      <c r="API29" s="145"/>
      <c r="APJ29" s="145"/>
      <c r="APQ29" s="145"/>
      <c r="APR29" s="145"/>
      <c r="APY29" s="145"/>
      <c r="APZ29" s="145"/>
      <c r="AQG29" s="145"/>
      <c r="AQH29" s="145"/>
      <c r="AQO29" s="145"/>
      <c r="AQP29" s="145"/>
      <c r="AQW29" s="145"/>
      <c r="AQX29" s="145"/>
      <c r="ARE29" s="145"/>
      <c r="ARF29" s="145"/>
      <c r="ARM29" s="145"/>
      <c r="ARN29" s="145"/>
      <c r="ARU29" s="145"/>
      <c r="ARV29" s="145"/>
      <c r="ASC29" s="145"/>
      <c r="ASD29" s="145"/>
      <c r="ASK29" s="145"/>
      <c r="ASL29" s="145"/>
      <c r="ASS29" s="145"/>
      <c r="AST29" s="145"/>
      <c r="ATA29" s="145"/>
      <c r="ATB29" s="145"/>
      <c r="ATI29" s="145"/>
      <c r="ATJ29" s="145"/>
      <c r="ATQ29" s="145"/>
      <c r="ATR29" s="145"/>
      <c r="ATY29" s="145"/>
      <c r="ATZ29" s="145"/>
      <c r="AUG29" s="145"/>
      <c r="AUH29" s="145"/>
      <c r="AUO29" s="145"/>
      <c r="AUP29" s="145"/>
      <c r="AUW29" s="145"/>
      <c r="AUX29" s="145"/>
      <c r="AVE29" s="145"/>
      <c r="AVF29" s="145"/>
      <c r="AVM29" s="145"/>
      <c r="AVN29" s="145"/>
      <c r="AVU29" s="145"/>
      <c r="AVV29" s="145"/>
      <c r="AWC29" s="145"/>
      <c r="AWD29" s="145"/>
      <c r="AWK29" s="145"/>
      <c r="AWL29" s="145"/>
      <c r="AWS29" s="145"/>
      <c r="AWT29" s="145"/>
      <c r="AXA29" s="145"/>
      <c r="AXB29" s="145"/>
      <c r="AXI29" s="145"/>
      <c r="AXJ29" s="145"/>
      <c r="AXQ29" s="145"/>
      <c r="AXR29" s="145"/>
      <c r="AXY29" s="145"/>
      <c r="AXZ29" s="145"/>
      <c r="AYG29" s="145"/>
      <c r="AYH29" s="145"/>
      <c r="AYO29" s="145"/>
      <c r="AYP29" s="145"/>
      <c r="AYW29" s="145"/>
      <c r="AYX29" s="145"/>
      <c r="AZE29" s="145"/>
      <c r="AZF29" s="145"/>
      <c r="AZM29" s="145"/>
      <c r="AZN29" s="145"/>
      <c r="AZU29" s="145"/>
      <c r="AZV29" s="145"/>
      <c r="BAC29" s="145"/>
      <c r="BAD29" s="145"/>
      <c r="BAK29" s="145"/>
      <c r="BAL29" s="145"/>
      <c r="BAS29" s="145"/>
      <c r="BAT29" s="145"/>
      <c r="BBA29" s="145"/>
      <c r="BBB29" s="145"/>
      <c r="BBI29" s="145"/>
      <c r="BBJ29" s="145"/>
      <c r="BBQ29" s="145"/>
      <c r="BBR29" s="145"/>
      <c r="BBY29" s="145"/>
      <c r="BBZ29" s="145"/>
      <c r="BCG29" s="145"/>
      <c r="BCH29" s="145"/>
      <c r="BCO29" s="145"/>
      <c r="BCP29" s="145"/>
      <c r="BCW29" s="145"/>
      <c r="BCX29" s="145"/>
      <c r="BDE29" s="145"/>
      <c r="BDF29" s="145"/>
      <c r="BDM29" s="145"/>
      <c r="BDN29" s="145"/>
      <c r="BDU29" s="145"/>
      <c r="BDV29" s="145"/>
      <c r="BEC29" s="145"/>
      <c r="BED29" s="145"/>
      <c r="BEK29" s="145"/>
      <c r="BEL29" s="145"/>
      <c r="BES29" s="145"/>
      <c r="BET29" s="145"/>
      <c r="BFA29" s="145"/>
      <c r="BFB29" s="145"/>
      <c r="BFI29" s="145"/>
      <c r="BFJ29" s="145"/>
      <c r="BFQ29" s="145"/>
      <c r="BFR29" s="145"/>
      <c r="BFY29" s="145"/>
      <c r="BFZ29" s="145"/>
      <c r="BGG29" s="145"/>
      <c r="BGH29" s="145"/>
      <c r="BGO29" s="145"/>
      <c r="BGP29" s="145"/>
      <c r="BGW29" s="145"/>
      <c r="BGX29" s="145"/>
      <c r="BHE29" s="145"/>
      <c r="BHF29" s="145"/>
      <c r="BHM29" s="145"/>
      <c r="BHN29" s="145"/>
      <c r="BHU29" s="145"/>
      <c r="BHV29" s="145"/>
      <c r="BIC29" s="145"/>
      <c r="BID29" s="145"/>
      <c r="BIK29" s="145"/>
      <c r="BIL29" s="145"/>
      <c r="BIS29" s="145"/>
      <c r="BIT29" s="145"/>
      <c r="BJA29" s="145"/>
      <c r="BJB29" s="145"/>
      <c r="BJI29" s="145"/>
      <c r="BJJ29" s="145"/>
      <c r="BJQ29" s="145"/>
      <c r="BJR29" s="145"/>
      <c r="BJY29" s="145"/>
      <c r="BJZ29" s="145"/>
      <c r="BKG29" s="145"/>
      <c r="BKH29" s="145"/>
      <c r="BKO29" s="145"/>
      <c r="BKP29" s="145"/>
      <c r="BKW29" s="145"/>
      <c r="BKX29" s="145"/>
      <c r="BLE29" s="145"/>
      <c r="BLF29" s="145"/>
      <c r="BLM29" s="145"/>
      <c r="BLN29" s="145"/>
      <c r="BLU29" s="145"/>
      <c r="BLV29" s="145"/>
      <c r="BMC29" s="145"/>
      <c r="BMD29" s="145"/>
      <c r="BMK29" s="145"/>
      <c r="BML29" s="145"/>
      <c r="BMS29" s="145"/>
      <c r="BMT29" s="145"/>
      <c r="BNA29" s="145"/>
      <c r="BNB29" s="145"/>
      <c r="BNI29" s="145"/>
      <c r="BNJ29" s="145"/>
      <c r="BNQ29" s="145"/>
      <c r="BNR29" s="145"/>
      <c r="BNY29" s="145"/>
      <c r="BNZ29" s="145"/>
      <c r="BOG29" s="145"/>
      <c r="BOH29" s="145"/>
      <c r="BOO29" s="145"/>
      <c r="BOP29" s="145"/>
      <c r="BOW29" s="145"/>
      <c r="BOX29" s="145"/>
      <c r="BPE29" s="145"/>
      <c r="BPF29" s="145"/>
      <c r="BPM29" s="145"/>
      <c r="BPN29" s="145"/>
      <c r="BPU29" s="145"/>
      <c r="BPV29" s="145"/>
      <c r="BQC29" s="145"/>
      <c r="BQD29" s="145"/>
      <c r="BQK29" s="145"/>
      <c r="BQL29" s="145"/>
      <c r="BQS29" s="145"/>
      <c r="BQT29" s="145"/>
      <c r="BRA29" s="145"/>
      <c r="BRB29" s="145"/>
      <c r="BRI29" s="145"/>
      <c r="BRJ29" s="145"/>
      <c r="BRQ29" s="145"/>
      <c r="BRR29" s="145"/>
      <c r="BRY29" s="145"/>
      <c r="BRZ29" s="145"/>
      <c r="BSG29" s="145"/>
      <c r="BSH29" s="145"/>
      <c r="BSO29" s="145"/>
      <c r="BSP29" s="145"/>
      <c r="BSW29" s="145"/>
      <c r="BSX29" s="145"/>
      <c r="BTE29" s="145"/>
      <c r="BTF29" s="145"/>
      <c r="BTM29" s="145"/>
      <c r="BTN29" s="145"/>
      <c r="BTU29" s="145"/>
      <c r="BTV29" s="145"/>
      <c r="BUC29" s="145"/>
      <c r="BUD29" s="145"/>
      <c r="BUK29" s="145"/>
      <c r="BUL29" s="145"/>
      <c r="BUS29" s="145"/>
      <c r="BUT29" s="145"/>
      <c r="BVA29" s="145"/>
      <c r="BVB29" s="145"/>
      <c r="BVI29" s="145"/>
      <c r="BVJ29" s="145"/>
      <c r="BVQ29" s="145"/>
      <c r="BVR29" s="145"/>
      <c r="BVY29" s="145"/>
      <c r="BVZ29" s="145"/>
      <c r="BWG29" s="145"/>
      <c r="BWH29" s="145"/>
      <c r="BWO29" s="145"/>
      <c r="BWP29" s="145"/>
      <c r="BWW29" s="145"/>
      <c r="BWX29" s="145"/>
      <c r="BXE29" s="145"/>
      <c r="BXF29" s="145"/>
      <c r="BXM29" s="145"/>
      <c r="BXN29" s="145"/>
      <c r="BXU29" s="145"/>
      <c r="BXV29" s="145"/>
      <c r="BYC29" s="145"/>
      <c r="BYD29" s="145"/>
      <c r="BYK29" s="145"/>
      <c r="BYL29" s="145"/>
      <c r="BYS29" s="145"/>
      <c r="BYT29" s="145"/>
      <c r="BZA29" s="145"/>
      <c r="BZB29" s="145"/>
      <c r="BZI29" s="145"/>
      <c r="BZJ29" s="145"/>
      <c r="BZQ29" s="145"/>
      <c r="BZR29" s="145"/>
      <c r="BZY29" s="145"/>
      <c r="BZZ29" s="145"/>
      <c r="CAG29" s="145"/>
      <c r="CAH29" s="145"/>
      <c r="CAO29" s="145"/>
      <c r="CAP29" s="145"/>
      <c r="CAW29" s="145"/>
      <c r="CAX29" s="145"/>
      <c r="CBE29" s="145"/>
      <c r="CBF29" s="145"/>
      <c r="CBM29" s="145"/>
      <c r="CBN29" s="145"/>
      <c r="CBU29" s="145"/>
      <c r="CBV29" s="145"/>
      <c r="CCC29" s="145"/>
      <c r="CCD29" s="145"/>
      <c r="CCK29" s="145"/>
      <c r="CCL29" s="145"/>
      <c r="CCS29" s="145"/>
      <c r="CCT29" s="145"/>
      <c r="CDA29" s="145"/>
      <c r="CDB29" s="145"/>
      <c r="CDI29" s="145"/>
      <c r="CDJ29" s="145"/>
      <c r="CDQ29" s="145"/>
      <c r="CDR29" s="145"/>
      <c r="CDY29" s="145"/>
      <c r="CDZ29" s="145"/>
      <c r="CEG29" s="145"/>
      <c r="CEH29" s="145"/>
      <c r="CEO29" s="145"/>
      <c r="CEP29" s="145"/>
      <c r="CEW29" s="145"/>
      <c r="CEX29" s="145"/>
      <c r="CFE29" s="145"/>
      <c r="CFF29" s="145"/>
      <c r="CFM29" s="145"/>
      <c r="CFN29" s="145"/>
      <c r="CFU29" s="145"/>
      <c r="CFV29" s="145"/>
      <c r="CGC29" s="145"/>
      <c r="CGD29" s="145"/>
      <c r="CGK29" s="145"/>
      <c r="CGL29" s="145"/>
      <c r="CGS29" s="145"/>
      <c r="CGT29" s="145"/>
      <c r="CHA29" s="145"/>
      <c r="CHB29" s="145"/>
      <c r="CHI29" s="145"/>
      <c r="CHJ29" s="145"/>
      <c r="CHQ29" s="145"/>
      <c r="CHR29" s="145"/>
      <c r="CHY29" s="145"/>
      <c r="CHZ29" s="145"/>
      <c r="CIG29" s="145"/>
      <c r="CIH29" s="145"/>
      <c r="CIO29" s="145"/>
      <c r="CIP29" s="145"/>
      <c r="CIW29" s="145"/>
      <c r="CIX29" s="145"/>
      <c r="CJE29" s="145"/>
      <c r="CJF29" s="145"/>
      <c r="CJM29" s="145"/>
      <c r="CJN29" s="145"/>
      <c r="CJU29" s="145"/>
      <c r="CJV29" s="145"/>
      <c r="CKC29" s="145"/>
      <c r="CKD29" s="145"/>
      <c r="CKK29" s="145"/>
      <c r="CKL29" s="145"/>
      <c r="CKS29" s="145"/>
      <c r="CKT29" s="145"/>
      <c r="CLA29" s="145"/>
      <c r="CLB29" s="145"/>
      <c r="CLI29" s="145"/>
      <c r="CLJ29" s="145"/>
      <c r="CLQ29" s="145"/>
      <c r="CLR29" s="145"/>
      <c r="CLY29" s="145"/>
      <c r="CLZ29" s="145"/>
      <c r="CMG29" s="145"/>
      <c r="CMH29" s="145"/>
      <c r="CMO29" s="145"/>
      <c r="CMP29" s="145"/>
      <c r="CMW29" s="145"/>
      <c r="CMX29" s="145"/>
      <c r="CNE29" s="145"/>
      <c r="CNF29" s="145"/>
      <c r="CNM29" s="145"/>
      <c r="CNN29" s="145"/>
      <c r="CNU29" s="145"/>
      <c r="CNV29" s="145"/>
      <c r="COC29" s="145"/>
      <c r="COD29" s="145"/>
      <c r="COK29" s="145"/>
      <c r="COL29" s="145"/>
      <c r="COS29" s="145"/>
      <c r="COT29" s="145"/>
      <c r="CPA29" s="145"/>
      <c r="CPB29" s="145"/>
      <c r="CPI29" s="145"/>
      <c r="CPJ29" s="145"/>
      <c r="CPQ29" s="145"/>
      <c r="CPR29" s="145"/>
      <c r="CPY29" s="145"/>
      <c r="CPZ29" s="145"/>
      <c r="CQG29" s="145"/>
      <c r="CQH29" s="145"/>
      <c r="CQO29" s="145"/>
      <c r="CQP29" s="145"/>
      <c r="CQW29" s="145"/>
      <c r="CQX29" s="145"/>
      <c r="CRE29" s="145"/>
      <c r="CRF29" s="145"/>
      <c r="CRM29" s="145"/>
      <c r="CRN29" s="145"/>
      <c r="CRU29" s="145"/>
      <c r="CRV29" s="145"/>
      <c r="CSC29" s="145"/>
      <c r="CSD29" s="145"/>
      <c r="CSK29" s="145"/>
      <c r="CSL29" s="145"/>
      <c r="CSS29" s="145"/>
      <c r="CST29" s="145"/>
      <c r="CTA29" s="145"/>
      <c r="CTB29" s="145"/>
      <c r="CTI29" s="145"/>
      <c r="CTJ29" s="145"/>
      <c r="CTQ29" s="145"/>
      <c r="CTR29" s="145"/>
      <c r="CTY29" s="145"/>
      <c r="CTZ29" s="145"/>
      <c r="CUG29" s="145"/>
      <c r="CUH29" s="145"/>
      <c r="CUO29" s="145"/>
      <c r="CUP29" s="145"/>
      <c r="CUW29" s="145"/>
      <c r="CUX29" s="145"/>
      <c r="CVE29" s="145"/>
      <c r="CVF29" s="145"/>
      <c r="CVM29" s="145"/>
      <c r="CVN29" s="145"/>
      <c r="CVU29" s="145"/>
      <c r="CVV29" s="145"/>
      <c r="CWC29" s="145"/>
      <c r="CWD29" s="145"/>
      <c r="CWK29" s="145"/>
      <c r="CWL29" s="145"/>
      <c r="CWS29" s="145"/>
      <c r="CWT29" s="145"/>
      <c r="CXA29" s="145"/>
      <c r="CXB29" s="145"/>
      <c r="CXI29" s="145"/>
      <c r="CXJ29" s="145"/>
      <c r="CXQ29" s="145"/>
      <c r="CXR29" s="145"/>
      <c r="CXY29" s="145"/>
      <c r="CXZ29" s="145"/>
      <c r="CYG29" s="145"/>
      <c r="CYH29" s="145"/>
      <c r="CYO29" s="145"/>
      <c r="CYP29" s="145"/>
      <c r="CYW29" s="145"/>
      <c r="CYX29" s="145"/>
      <c r="CZE29" s="145"/>
      <c r="CZF29" s="145"/>
      <c r="CZM29" s="145"/>
      <c r="CZN29" s="145"/>
      <c r="CZU29" s="145"/>
      <c r="CZV29" s="145"/>
      <c r="DAC29" s="145"/>
      <c r="DAD29" s="145"/>
      <c r="DAK29" s="145"/>
      <c r="DAL29" s="145"/>
      <c r="DAS29" s="145"/>
      <c r="DAT29" s="145"/>
      <c r="DBA29" s="145"/>
      <c r="DBB29" s="145"/>
      <c r="DBI29" s="145"/>
      <c r="DBJ29" s="145"/>
      <c r="DBQ29" s="145"/>
      <c r="DBR29" s="145"/>
      <c r="DBY29" s="145"/>
      <c r="DBZ29" s="145"/>
      <c r="DCG29" s="145"/>
      <c r="DCH29" s="145"/>
      <c r="DCO29" s="145"/>
      <c r="DCP29" s="145"/>
      <c r="DCW29" s="145"/>
      <c r="DCX29" s="145"/>
      <c r="DDE29" s="145"/>
      <c r="DDF29" s="145"/>
      <c r="DDM29" s="145"/>
      <c r="DDN29" s="145"/>
      <c r="DDU29" s="145"/>
      <c r="DDV29" s="145"/>
      <c r="DEC29" s="145"/>
      <c r="DED29" s="145"/>
      <c r="DEK29" s="145"/>
      <c r="DEL29" s="145"/>
      <c r="DES29" s="145"/>
      <c r="DET29" s="145"/>
      <c r="DFA29" s="145"/>
      <c r="DFB29" s="145"/>
      <c r="DFI29" s="145"/>
      <c r="DFJ29" s="145"/>
      <c r="DFQ29" s="145"/>
      <c r="DFR29" s="145"/>
      <c r="DFY29" s="145"/>
      <c r="DFZ29" s="145"/>
      <c r="DGG29" s="145"/>
      <c r="DGH29" s="145"/>
      <c r="DGO29" s="145"/>
      <c r="DGP29" s="145"/>
      <c r="DGW29" s="145"/>
      <c r="DGX29" s="145"/>
      <c r="DHE29" s="145"/>
      <c r="DHF29" s="145"/>
      <c r="DHM29" s="145"/>
      <c r="DHN29" s="145"/>
      <c r="DHU29" s="145"/>
      <c r="DHV29" s="145"/>
      <c r="DIC29" s="145"/>
      <c r="DID29" s="145"/>
      <c r="DIK29" s="145"/>
      <c r="DIL29" s="145"/>
      <c r="DIS29" s="145"/>
      <c r="DIT29" s="145"/>
      <c r="DJA29" s="145"/>
      <c r="DJB29" s="145"/>
      <c r="DJI29" s="145"/>
      <c r="DJJ29" s="145"/>
      <c r="DJQ29" s="145"/>
      <c r="DJR29" s="145"/>
      <c r="DJY29" s="145"/>
      <c r="DJZ29" s="145"/>
      <c r="DKG29" s="145"/>
      <c r="DKH29" s="145"/>
      <c r="DKO29" s="145"/>
      <c r="DKP29" s="145"/>
      <c r="DKW29" s="145"/>
      <c r="DKX29" s="145"/>
      <c r="DLE29" s="145"/>
      <c r="DLF29" s="145"/>
      <c r="DLM29" s="145"/>
      <c r="DLN29" s="145"/>
      <c r="DLU29" s="145"/>
      <c r="DLV29" s="145"/>
      <c r="DMC29" s="145"/>
      <c r="DMD29" s="145"/>
      <c r="DMK29" s="145"/>
      <c r="DML29" s="145"/>
      <c r="DMS29" s="145"/>
      <c r="DMT29" s="145"/>
      <c r="DNA29" s="145"/>
      <c r="DNB29" s="145"/>
      <c r="DNI29" s="145"/>
      <c r="DNJ29" s="145"/>
      <c r="DNQ29" s="145"/>
      <c r="DNR29" s="145"/>
      <c r="DNY29" s="145"/>
      <c r="DNZ29" s="145"/>
      <c r="DOG29" s="145"/>
      <c r="DOH29" s="145"/>
      <c r="DOO29" s="145"/>
      <c r="DOP29" s="145"/>
      <c r="DOW29" s="145"/>
      <c r="DOX29" s="145"/>
      <c r="DPE29" s="145"/>
      <c r="DPF29" s="145"/>
      <c r="DPM29" s="145"/>
      <c r="DPN29" s="145"/>
      <c r="DPU29" s="145"/>
      <c r="DPV29" s="145"/>
      <c r="DQC29" s="145"/>
      <c r="DQD29" s="145"/>
      <c r="DQK29" s="145"/>
      <c r="DQL29" s="145"/>
      <c r="DQS29" s="145"/>
      <c r="DQT29" s="145"/>
      <c r="DRA29" s="145"/>
      <c r="DRB29" s="145"/>
      <c r="DRI29" s="145"/>
      <c r="DRJ29" s="145"/>
      <c r="DRQ29" s="145"/>
      <c r="DRR29" s="145"/>
      <c r="DRY29" s="145"/>
      <c r="DRZ29" s="145"/>
      <c r="DSG29" s="145"/>
      <c r="DSH29" s="145"/>
      <c r="DSO29" s="145"/>
      <c r="DSP29" s="145"/>
      <c r="DSW29" s="145"/>
      <c r="DSX29" s="145"/>
      <c r="DTE29" s="145"/>
      <c r="DTF29" s="145"/>
      <c r="DTM29" s="145"/>
      <c r="DTN29" s="145"/>
      <c r="DTU29" s="145"/>
      <c r="DTV29" s="145"/>
      <c r="DUC29" s="145"/>
      <c r="DUD29" s="145"/>
      <c r="DUK29" s="145"/>
      <c r="DUL29" s="145"/>
      <c r="DUS29" s="145"/>
      <c r="DUT29" s="145"/>
      <c r="DVA29" s="145"/>
      <c r="DVB29" s="145"/>
      <c r="DVI29" s="145"/>
      <c r="DVJ29" s="145"/>
      <c r="DVQ29" s="145"/>
      <c r="DVR29" s="145"/>
      <c r="DVY29" s="145"/>
      <c r="DVZ29" s="145"/>
      <c r="DWG29" s="145"/>
      <c r="DWH29" s="145"/>
      <c r="DWO29" s="145"/>
      <c r="DWP29" s="145"/>
      <c r="DWW29" s="145"/>
      <c r="DWX29" s="145"/>
      <c r="DXE29" s="145"/>
      <c r="DXF29" s="145"/>
      <c r="DXM29" s="145"/>
      <c r="DXN29" s="145"/>
      <c r="DXU29" s="145"/>
      <c r="DXV29" s="145"/>
      <c r="DYC29" s="145"/>
      <c r="DYD29" s="145"/>
      <c r="DYK29" s="145"/>
      <c r="DYL29" s="145"/>
      <c r="DYS29" s="145"/>
      <c r="DYT29" s="145"/>
      <c r="DZA29" s="145"/>
      <c r="DZB29" s="145"/>
      <c r="DZI29" s="145"/>
      <c r="DZJ29" s="145"/>
      <c r="DZQ29" s="145"/>
      <c r="DZR29" s="145"/>
      <c r="DZY29" s="145"/>
      <c r="DZZ29" s="145"/>
      <c r="EAG29" s="145"/>
      <c r="EAH29" s="145"/>
      <c r="EAO29" s="145"/>
      <c r="EAP29" s="145"/>
      <c r="EAW29" s="145"/>
      <c r="EAX29" s="145"/>
      <c r="EBE29" s="145"/>
      <c r="EBF29" s="145"/>
      <c r="EBM29" s="145"/>
      <c r="EBN29" s="145"/>
      <c r="EBU29" s="145"/>
      <c r="EBV29" s="145"/>
      <c r="ECC29" s="145"/>
      <c r="ECD29" s="145"/>
      <c r="ECK29" s="145"/>
      <c r="ECL29" s="145"/>
      <c r="ECS29" s="145"/>
      <c r="ECT29" s="145"/>
      <c r="EDA29" s="145"/>
      <c r="EDB29" s="145"/>
      <c r="EDI29" s="145"/>
      <c r="EDJ29" s="145"/>
      <c r="EDQ29" s="145"/>
      <c r="EDR29" s="145"/>
      <c r="EDY29" s="145"/>
      <c r="EDZ29" s="145"/>
      <c r="EEG29" s="145"/>
      <c r="EEH29" s="145"/>
      <c r="EEO29" s="145"/>
      <c r="EEP29" s="145"/>
      <c r="EEW29" s="145"/>
      <c r="EEX29" s="145"/>
      <c r="EFE29" s="145"/>
      <c r="EFF29" s="145"/>
      <c r="EFM29" s="145"/>
      <c r="EFN29" s="145"/>
      <c r="EFU29" s="145"/>
      <c r="EFV29" s="145"/>
      <c r="EGC29" s="145"/>
      <c r="EGD29" s="145"/>
      <c r="EGK29" s="145"/>
      <c r="EGL29" s="145"/>
      <c r="EGS29" s="145"/>
      <c r="EGT29" s="145"/>
      <c r="EHA29" s="145"/>
      <c r="EHB29" s="145"/>
      <c r="EHI29" s="145"/>
      <c r="EHJ29" s="145"/>
      <c r="EHQ29" s="145"/>
      <c r="EHR29" s="145"/>
      <c r="EHY29" s="145"/>
      <c r="EHZ29" s="145"/>
      <c r="EIG29" s="145"/>
      <c r="EIH29" s="145"/>
      <c r="EIO29" s="145"/>
      <c r="EIP29" s="145"/>
      <c r="EIW29" s="145"/>
      <c r="EIX29" s="145"/>
      <c r="EJE29" s="145"/>
      <c r="EJF29" s="145"/>
      <c r="EJM29" s="145"/>
      <c r="EJN29" s="145"/>
      <c r="EJU29" s="145"/>
      <c r="EJV29" s="145"/>
      <c r="EKC29" s="145"/>
      <c r="EKD29" s="145"/>
      <c r="EKK29" s="145"/>
      <c r="EKL29" s="145"/>
      <c r="EKS29" s="145"/>
      <c r="EKT29" s="145"/>
      <c r="ELA29" s="145"/>
      <c r="ELB29" s="145"/>
      <c r="ELI29" s="145"/>
      <c r="ELJ29" s="145"/>
      <c r="ELQ29" s="145"/>
      <c r="ELR29" s="145"/>
      <c r="ELY29" s="145"/>
      <c r="ELZ29" s="145"/>
      <c r="EMG29" s="145"/>
      <c r="EMH29" s="145"/>
      <c r="EMO29" s="145"/>
      <c r="EMP29" s="145"/>
      <c r="EMW29" s="145"/>
      <c r="EMX29" s="145"/>
      <c r="ENE29" s="145"/>
      <c r="ENF29" s="145"/>
      <c r="ENM29" s="145"/>
      <c r="ENN29" s="145"/>
      <c r="ENU29" s="145"/>
      <c r="ENV29" s="145"/>
      <c r="EOC29" s="145"/>
      <c r="EOD29" s="145"/>
      <c r="EOK29" s="145"/>
      <c r="EOL29" s="145"/>
      <c r="EOS29" s="145"/>
      <c r="EOT29" s="145"/>
      <c r="EPA29" s="145"/>
      <c r="EPB29" s="145"/>
      <c r="EPI29" s="145"/>
      <c r="EPJ29" s="145"/>
      <c r="EPQ29" s="145"/>
      <c r="EPR29" s="145"/>
      <c r="EPY29" s="145"/>
      <c r="EPZ29" s="145"/>
      <c r="EQG29" s="145"/>
      <c r="EQH29" s="145"/>
      <c r="EQO29" s="145"/>
      <c r="EQP29" s="145"/>
      <c r="EQW29" s="145"/>
      <c r="EQX29" s="145"/>
      <c r="ERE29" s="145"/>
      <c r="ERF29" s="145"/>
      <c r="ERM29" s="145"/>
      <c r="ERN29" s="145"/>
      <c r="ERU29" s="145"/>
      <c r="ERV29" s="145"/>
      <c r="ESC29" s="145"/>
      <c r="ESD29" s="145"/>
      <c r="ESK29" s="145"/>
      <c r="ESL29" s="145"/>
      <c r="ESS29" s="145"/>
      <c r="EST29" s="145"/>
      <c r="ETA29" s="145"/>
      <c r="ETB29" s="145"/>
      <c r="ETI29" s="145"/>
      <c r="ETJ29" s="145"/>
      <c r="ETQ29" s="145"/>
      <c r="ETR29" s="145"/>
      <c r="ETY29" s="145"/>
      <c r="ETZ29" s="145"/>
      <c r="EUG29" s="145"/>
      <c r="EUH29" s="145"/>
      <c r="EUO29" s="145"/>
      <c r="EUP29" s="145"/>
      <c r="EUW29" s="145"/>
      <c r="EUX29" s="145"/>
      <c r="EVE29" s="145"/>
      <c r="EVF29" s="145"/>
      <c r="EVM29" s="145"/>
      <c r="EVN29" s="145"/>
      <c r="EVU29" s="145"/>
      <c r="EVV29" s="145"/>
      <c r="EWC29" s="145"/>
      <c r="EWD29" s="145"/>
      <c r="EWK29" s="145"/>
      <c r="EWL29" s="145"/>
      <c r="EWS29" s="145"/>
      <c r="EWT29" s="145"/>
      <c r="EXA29" s="145"/>
      <c r="EXB29" s="145"/>
      <c r="EXI29" s="145"/>
      <c r="EXJ29" s="145"/>
      <c r="EXQ29" s="145"/>
      <c r="EXR29" s="145"/>
      <c r="EXY29" s="145"/>
      <c r="EXZ29" s="145"/>
      <c r="EYG29" s="145"/>
      <c r="EYH29" s="145"/>
      <c r="EYO29" s="145"/>
      <c r="EYP29" s="145"/>
      <c r="EYW29" s="145"/>
      <c r="EYX29" s="145"/>
      <c r="EZE29" s="145"/>
      <c r="EZF29" s="145"/>
      <c r="EZM29" s="145"/>
      <c r="EZN29" s="145"/>
      <c r="EZU29" s="145"/>
      <c r="EZV29" s="145"/>
      <c r="FAC29" s="145"/>
      <c r="FAD29" s="145"/>
      <c r="FAK29" s="145"/>
      <c r="FAL29" s="145"/>
      <c r="FAS29" s="145"/>
      <c r="FAT29" s="145"/>
      <c r="FBA29" s="145"/>
      <c r="FBB29" s="145"/>
      <c r="FBI29" s="145"/>
      <c r="FBJ29" s="145"/>
      <c r="FBQ29" s="145"/>
      <c r="FBR29" s="145"/>
      <c r="FBY29" s="145"/>
      <c r="FBZ29" s="145"/>
      <c r="FCG29" s="145"/>
      <c r="FCH29" s="145"/>
      <c r="FCO29" s="145"/>
      <c r="FCP29" s="145"/>
      <c r="FCW29" s="145"/>
      <c r="FCX29" s="145"/>
      <c r="FDE29" s="145"/>
      <c r="FDF29" s="145"/>
      <c r="FDM29" s="145"/>
      <c r="FDN29" s="145"/>
      <c r="FDU29" s="145"/>
      <c r="FDV29" s="145"/>
      <c r="FEC29" s="145"/>
      <c r="FED29" s="145"/>
      <c r="FEK29" s="145"/>
      <c r="FEL29" s="145"/>
      <c r="FES29" s="145"/>
      <c r="FET29" s="145"/>
      <c r="FFA29" s="145"/>
      <c r="FFB29" s="145"/>
      <c r="FFI29" s="145"/>
      <c r="FFJ29" s="145"/>
      <c r="FFQ29" s="145"/>
      <c r="FFR29" s="145"/>
      <c r="FFY29" s="145"/>
      <c r="FFZ29" s="145"/>
      <c r="FGG29" s="145"/>
      <c r="FGH29" s="145"/>
      <c r="FGO29" s="145"/>
      <c r="FGP29" s="145"/>
      <c r="FGW29" s="145"/>
      <c r="FGX29" s="145"/>
      <c r="FHE29" s="145"/>
      <c r="FHF29" s="145"/>
      <c r="FHM29" s="145"/>
      <c r="FHN29" s="145"/>
      <c r="FHU29" s="145"/>
      <c r="FHV29" s="145"/>
      <c r="FIC29" s="145"/>
      <c r="FID29" s="145"/>
      <c r="FIK29" s="145"/>
      <c r="FIL29" s="145"/>
      <c r="FIS29" s="145"/>
      <c r="FIT29" s="145"/>
      <c r="FJA29" s="145"/>
      <c r="FJB29" s="145"/>
      <c r="FJI29" s="145"/>
      <c r="FJJ29" s="145"/>
      <c r="FJQ29" s="145"/>
      <c r="FJR29" s="145"/>
      <c r="FJY29" s="145"/>
      <c r="FJZ29" s="145"/>
      <c r="FKG29" s="145"/>
      <c r="FKH29" s="145"/>
      <c r="FKO29" s="145"/>
      <c r="FKP29" s="145"/>
      <c r="FKW29" s="145"/>
      <c r="FKX29" s="145"/>
      <c r="FLE29" s="145"/>
      <c r="FLF29" s="145"/>
      <c r="FLM29" s="145"/>
      <c r="FLN29" s="145"/>
      <c r="FLU29" s="145"/>
      <c r="FLV29" s="145"/>
      <c r="FMC29" s="145"/>
      <c r="FMD29" s="145"/>
      <c r="FMK29" s="145"/>
      <c r="FML29" s="145"/>
      <c r="FMS29" s="145"/>
      <c r="FMT29" s="145"/>
      <c r="FNA29" s="145"/>
      <c r="FNB29" s="145"/>
      <c r="FNI29" s="145"/>
      <c r="FNJ29" s="145"/>
      <c r="FNQ29" s="145"/>
      <c r="FNR29" s="145"/>
      <c r="FNY29" s="145"/>
      <c r="FNZ29" s="145"/>
      <c r="FOG29" s="145"/>
      <c r="FOH29" s="145"/>
      <c r="FOO29" s="145"/>
      <c r="FOP29" s="145"/>
      <c r="FOW29" s="145"/>
      <c r="FOX29" s="145"/>
      <c r="FPE29" s="145"/>
      <c r="FPF29" s="145"/>
      <c r="FPM29" s="145"/>
      <c r="FPN29" s="145"/>
      <c r="FPU29" s="145"/>
      <c r="FPV29" s="145"/>
      <c r="FQC29" s="145"/>
      <c r="FQD29" s="145"/>
      <c r="FQK29" s="145"/>
      <c r="FQL29" s="145"/>
      <c r="FQS29" s="145"/>
      <c r="FQT29" s="145"/>
      <c r="FRA29" s="145"/>
      <c r="FRB29" s="145"/>
      <c r="FRI29" s="145"/>
      <c r="FRJ29" s="145"/>
      <c r="FRQ29" s="145"/>
      <c r="FRR29" s="145"/>
      <c r="FRY29" s="145"/>
      <c r="FRZ29" s="145"/>
      <c r="FSG29" s="145"/>
      <c r="FSH29" s="145"/>
      <c r="FSO29" s="145"/>
      <c r="FSP29" s="145"/>
      <c r="FSW29" s="145"/>
      <c r="FSX29" s="145"/>
      <c r="FTE29" s="145"/>
      <c r="FTF29" s="145"/>
      <c r="FTM29" s="145"/>
      <c r="FTN29" s="145"/>
      <c r="FTU29" s="145"/>
      <c r="FTV29" s="145"/>
      <c r="FUC29" s="145"/>
      <c r="FUD29" s="145"/>
      <c r="FUK29" s="145"/>
      <c r="FUL29" s="145"/>
      <c r="FUS29" s="145"/>
      <c r="FUT29" s="145"/>
      <c r="FVA29" s="145"/>
      <c r="FVB29" s="145"/>
      <c r="FVI29" s="145"/>
      <c r="FVJ29" s="145"/>
      <c r="FVQ29" s="145"/>
      <c r="FVR29" s="145"/>
      <c r="FVY29" s="145"/>
      <c r="FVZ29" s="145"/>
      <c r="FWG29" s="145"/>
      <c r="FWH29" s="145"/>
      <c r="FWO29" s="145"/>
      <c r="FWP29" s="145"/>
      <c r="FWW29" s="145"/>
      <c r="FWX29" s="145"/>
      <c r="FXE29" s="145"/>
      <c r="FXF29" s="145"/>
      <c r="FXM29" s="145"/>
      <c r="FXN29" s="145"/>
      <c r="FXU29" s="145"/>
      <c r="FXV29" s="145"/>
      <c r="FYC29" s="145"/>
      <c r="FYD29" s="145"/>
      <c r="FYK29" s="145"/>
      <c r="FYL29" s="145"/>
      <c r="FYS29" s="145"/>
      <c r="FYT29" s="145"/>
      <c r="FZA29" s="145"/>
      <c r="FZB29" s="145"/>
      <c r="FZI29" s="145"/>
      <c r="FZJ29" s="145"/>
      <c r="FZQ29" s="145"/>
      <c r="FZR29" s="145"/>
      <c r="FZY29" s="145"/>
      <c r="FZZ29" s="145"/>
      <c r="GAG29" s="145"/>
      <c r="GAH29" s="145"/>
      <c r="GAO29" s="145"/>
      <c r="GAP29" s="145"/>
      <c r="GAW29" s="145"/>
      <c r="GAX29" s="145"/>
      <c r="GBE29" s="145"/>
      <c r="GBF29" s="145"/>
      <c r="GBM29" s="145"/>
      <c r="GBN29" s="145"/>
      <c r="GBU29" s="145"/>
      <c r="GBV29" s="145"/>
      <c r="GCC29" s="145"/>
      <c r="GCD29" s="145"/>
      <c r="GCK29" s="145"/>
      <c r="GCL29" s="145"/>
      <c r="GCS29" s="145"/>
      <c r="GCT29" s="145"/>
      <c r="GDA29" s="145"/>
      <c r="GDB29" s="145"/>
      <c r="GDI29" s="145"/>
      <c r="GDJ29" s="145"/>
      <c r="GDQ29" s="145"/>
      <c r="GDR29" s="145"/>
      <c r="GDY29" s="145"/>
      <c r="GDZ29" s="145"/>
      <c r="GEG29" s="145"/>
      <c r="GEH29" s="145"/>
      <c r="GEO29" s="145"/>
      <c r="GEP29" s="145"/>
      <c r="GEW29" s="145"/>
      <c r="GEX29" s="145"/>
      <c r="GFE29" s="145"/>
      <c r="GFF29" s="145"/>
      <c r="GFM29" s="145"/>
      <c r="GFN29" s="145"/>
      <c r="GFU29" s="145"/>
      <c r="GFV29" s="145"/>
      <c r="GGC29" s="145"/>
      <c r="GGD29" s="145"/>
      <c r="GGK29" s="145"/>
      <c r="GGL29" s="145"/>
      <c r="GGS29" s="145"/>
      <c r="GGT29" s="145"/>
      <c r="GHA29" s="145"/>
      <c r="GHB29" s="145"/>
      <c r="GHI29" s="145"/>
      <c r="GHJ29" s="145"/>
      <c r="GHQ29" s="145"/>
      <c r="GHR29" s="145"/>
      <c r="GHY29" s="145"/>
      <c r="GHZ29" s="145"/>
      <c r="GIG29" s="145"/>
      <c r="GIH29" s="145"/>
      <c r="GIO29" s="145"/>
      <c r="GIP29" s="145"/>
      <c r="GIW29" s="145"/>
      <c r="GIX29" s="145"/>
      <c r="GJE29" s="145"/>
      <c r="GJF29" s="145"/>
      <c r="GJM29" s="145"/>
      <c r="GJN29" s="145"/>
      <c r="GJU29" s="145"/>
      <c r="GJV29" s="145"/>
      <c r="GKC29" s="145"/>
      <c r="GKD29" s="145"/>
      <c r="GKK29" s="145"/>
      <c r="GKL29" s="145"/>
      <c r="GKS29" s="145"/>
      <c r="GKT29" s="145"/>
      <c r="GLA29" s="145"/>
      <c r="GLB29" s="145"/>
      <c r="GLI29" s="145"/>
      <c r="GLJ29" s="145"/>
      <c r="GLQ29" s="145"/>
      <c r="GLR29" s="145"/>
      <c r="GLY29" s="145"/>
      <c r="GLZ29" s="145"/>
      <c r="GMG29" s="145"/>
      <c r="GMH29" s="145"/>
      <c r="GMO29" s="145"/>
      <c r="GMP29" s="145"/>
      <c r="GMW29" s="145"/>
      <c r="GMX29" s="145"/>
      <c r="GNE29" s="145"/>
      <c r="GNF29" s="145"/>
      <c r="GNM29" s="145"/>
      <c r="GNN29" s="145"/>
      <c r="GNU29" s="145"/>
      <c r="GNV29" s="145"/>
      <c r="GOC29" s="145"/>
      <c r="GOD29" s="145"/>
      <c r="GOK29" s="145"/>
      <c r="GOL29" s="145"/>
      <c r="GOS29" s="145"/>
      <c r="GOT29" s="145"/>
      <c r="GPA29" s="145"/>
      <c r="GPB29" s="145"/>
      <c r="GPI29" s="145"/>
      <c r="GPJ29" s="145"/>
      <c r="GPQ29" s="145"/>
      <c r="GPR29" s="145"/>
      <c r="GPY29" s="145"/>
      <c r="GPZ29" s="145"/>
      <c r="GQG29" s="145"/>
      <c r="GQH29" s="145"/>
      <c r="GQO29" s="145"/>
      <c r="GQP29" s="145"/>
      <c r="GQW29" s="145"/>
      <c r="GQX29" s="145"/>
      <c r="GRE29" s="145"/>
      <c r="GRF29" s="145"/>
      <c r="GRM29" s="145"/>
      <c r="GRN29" s="145"/>
      <c r="GRU29" s="145"/>
      <c r="GRV29" s="145"/>
      <c r="GSC29" s="145"/>
      <c r="GSD29" s="145"/>
      <c r="GSK29" s="145"/>
      <c r="GSL29" s="145"/>
      <c r="GSS29" s="145"/>
      <c r="GST29" s="145"/>
      <c r="GTA29" s="145"/>
      <c r="GTB29" s="145"/>
      <c r="GTI29" s="145"/>
      <c r="GTJ29" s="145"/>
      <c r="GTQ29" s="145"/>
      <c r="GTR29" s="145"/>
      <c r="GTY29" s="145"/>
      <c r="GTZ29" s="145"/>
      <c r="GUG29" s="145"/>
      <c r="GUH29" s="145"/>
      <c r="GUO29" s="145"/>
      <c r="GUP29" s="145"/>
      <c r="GUW29" s="145"/>
      <c r="GUX29" s="145"/>
      <c r="GVE29" s="145"/>
      <c r="GVF29" s="145"/>
      <c r="GVM29" s="145"/>
      <c r="GVN29" s="145"/>
      <c r="GVU29" s="145"/>
      <c r="GVV29" s="145"/>
      <c r="GWC29" s="145"/>
      <c r="GWD29" s="145"/>
      <c r="GWK29" s="145"/>
      <c r="GWL29" s="145"/>
      <c r="GWS29" s="145"/>
      <c r="GWT29" s="145"/>
      <c r="GXA29" s="145"/>
      <c r="GXB29" s="145"/>
      <c r="GXI29" s="145"/>
      <c r="GXJ29" s="145"/>
      <c r="GXQ29" s="145"/>
      <c r="GXR29" s="145"/>
      <c r="GXY29" s="145"/>
      <c r="GXZ29" s="145"/>
      <c r="GYG29" s="145"/>
      <c r="GYH29" s="145"/>
      <c r="GYO29" s="145"/>
      <c r="GYP29" s="145"/>
      <c r="GYW29" s="145"/>
      <c r="GYX29" s="145"/>
      <c r="GZE29" s="145"/>
      <c r="GZF29" s="145"/>
      <c r="GZM29" s="145"/>
      <c r="GZN29" s="145"/>
      <c r="GZU29" s="145"/>
      <c r="GZV29" s="145"/>
      <c r="HAC29" s="145"/>
      <c r="HAD29" s="145"/>
      <c r="HAK29" s="145"/>
      <c r="HAL29" s="145"/>
      <c r="HAS29" s="145"/>
      <c r="HAT29" s="145"/>
      <c r="HBA29" s="145"/>
      <c r="HBB29" s="145"/>
      <c r="HBI29" s="145"/>
      <c r="HBJ29" s="145"/>
      <c r="HBQ29" s="145"/>
      <c r="HBR29" s="145"/>
      <c r="HBY29" s="145"/>
      <c r="HBZ29" s="145"/>
      <c r="HCG29" s="145"/>
      <c r="HCH29" s="145"/>
      <c r="HCO29" s="145"/>
      <c r="HCP29" s="145"/>
      <c r="HCW29" s="145"/>
      <c r="HCX29" s="145"/>
      <c r="HDE29" s="145"/>
      <c r="HDF29" s="145"/>
      <c r="HDM29" s="145"/>
      <c r="HDN29" s="145"/>
      <c r="HDU29" s="145"/>
      <c r="HDV29" s="145"/>
      <c r="HEC29" s="145"/>
      <c r="HED29" s="145"/>
      <c r="HEK29" s="145"/>
      <c r="HEL29" s="145"/>
      <c r="HES29" s="145"/>
      <c r="HET29" s="145"/>
      <c r="HFA29" s="145"/>
      <c r="HFB29" s="145"/>
      <c r="HFI29" s="145"/>
      <c r="HFJ29" s="145"/>
      <c r="HFQ29" s="145"/>
      <c r="HFR29" s="145"/>
      <c r="HFY29" s="145"/>
      <c r="HFZ29" s="145"/>
      <c r="HGG29" s="145"/>
      <c r="HGH29" s="145"/>
      <c r="HGO29" s="145"/>
      <c r="HGP29" s="145"/>
      <c r="HGW29" s="145"/>
      <c r="HGX29" s="145"/>
      <c r="HHE29" s="145"/>
      <c r="HHF29" s="145"/>
      <c r="HHM29" s="145"/>
      <c r="HHN29" s="145"/>
      <c r="HHU29" s="145"/>
      <c r="HHV29" s="145"/>
      <c r="HIC29" s="145"/>
      <c r="HID29" s="145"/>
      <c r="HIK29" s="145"/>
      <c r="HIL29" s="145"/>
      <c r="HIS29" s="145"/>
      <c r="HIT29" s="145"/>
      <c r="HJA29" s="145"/>
      <c r="HJB29" s="145"/>
      <c r="HJI29" s="145"/>
      <c r="HJJ29" s="145"/>
      <c r="HJQ29" s="145"/>
      <c r="HJR29" s="145"/>
      <c r="HJY29" s="145"/>
      <c r="HJZ29" s="145"/>
      <c r="HKG29" s="145"/>
      <c r="HKH29" s="145"/>
      <c r="HKO29" s="145"/>
      <c r="HKP29" s="145"/>
      <c r="HKW29" s="145"/>
      <c r="HKX29" s="145"/>
      <c r="HLE29" s="145"/>
      <c r="HLF29" s="145"/>
      <c r="HLM29" s="145"/>
      <c r="HLN29" s="145"/>
      <c r="HLU29" s="145"/>
      <c r="HLV29" s="145"/>
      <c r="HMC29" s="145"/>
      <c r="HMD29" s="145"/>
      <c r="HMK29" s="145"/>
      <c r="HML29" s="145"/>
      <c r="HMS29" s="145"/>
      <c r="HMT29" s="145"/>
      <c r="HNA29" s="145"/>
      <c r="HNB29" s="145"/>
      <c r="HNI29" s="145"/>
      <c r="HNJ29" s="145"/>
      <c r="HNQ29" s="145"/>
      <c r="HNR29" s="145"/>
      <c r="HNY29" s="145"/>
      <c r="HNZ29" s="145"/>
      <c r="HOG29" s="145"/>
      <c r="HOH29" s="145"/>
      <c r="HOO29" s="145"/>
      <c r="HOP29" s="145"/>
      <c r="HOW29" s="145"/>
      <c r="HOX29" s="145"/>
      <c r="HPE29" s="145"/>
      <c r="HPF29" s="145"/>
      <c r="HPM29" s="145"/>
      <c r="HPN29" s="145"/>
      <c r="HPU29" s="145"/>
      <c r="HPV29" s="145"/>
      <c r="HQC29" s="145"/>
      <c r="HQD29" s="145"/>
      <c r="HQK29" s="145"/>
      <c r="HQL29" s="145"/>
      <c r="HQS29" s="145"/>
      <c r="HQT29" s="145"/>
      <c r="HRA29" s="145"/>
      <c r="HRB29" s="145"/>
      <c r="HRI29" s="145"/>
      <c r="HRJ29" s="145"/>
      <c r="HRQ29" s="145"/>
      <c r="HRR29" s="145"/>
      <c r="HRY29" s="145"/>
      <c r="HRZ29" s="145"/>
      <c r="HSG29" s="145"/>
      <c r="HSH29" s="145"/>
      <c r="HSO29" s="145"/>
      <c r="HSP29" s="145"/>
      <c r="HSW29" s="145"/>
      <c r="HSX29" s="145"/>
      <c r="HTE29" s="145"/>
      <c r="HTF29" s="145"/>
      <c r="HTM29" s="145"/>
      <c r="HTN29" s="145"/>
      <c r="HTU29" s="145"/>
      <c r="HTV29" s="145"/>
      <c r="HUC29" s="145"/>
      <c r="HUD29" s="145"/>
      <c r="HUK29" s="145"/>
      <c r="HUL29" s="145"/>
      <c r="HUS29" s="145"/>
      <c r="HUT29" s="145"/>
      <c r="HVA29" s="145"/>
      <c r="HVB29" s="145"/>
      <c r="HVI29" s="145"/>
      <c r="HVJ29" s="145"/>
      <c r="HVQ29" s="145"/>
      <c r="HVR29" s="145"/>
      <c r="HVY29" s="145"/>
      <c r="HVZ29" s="145"/>
      <c r="HWG29" s="145"/>
      <c r="HWH29" s="145"/>
      <c r="HWO29" s="145"/>
      <c r="HWP29" s="145"/>
      <c r="HWW29" s="145"/>
      <c r="HWX29" s="145"/>
      <c r="HXE29" s="145"/>
      <c r="HXF29" s="145"/>
      <c r="HXM29" s="145"/>
      <c r="HXN29" s="145"/>
      <c r="HXU29" s="145"/>
      <c r="HXV29" s="145"/>
      <c r="HYC29" s="145"/>
      <c r="HYD29" s="145"/>
      <c r="HYK29" s="145"/>
      <c r="HYL29" s="145"/>
      <c r="HYS29" s="145"/>
      <c r="HYT29" s="145"/>
      <c r="HZA29" s="145"/>
      <c r="HZB29" s="145"/>
      <c r="HZI29" s="145"/>
      <c r="HZJ29" s="145"/>
      <c r="HZQ29" s="145"/>
      <c r="HZR29" s="145"/>
      <c r="HZY29" s="145"/>
      <c r="HZZ29" s="145"/>
      <c r="IAG29" s="145"/>
      <c r="IAH29" s="145"/>
      <c r="IAO29" s="145"/>
      <c r="IAP29" s="145"/>
      <c r="IAW29" s="145"/>
      <c r="IAX29" s="145"/>
      <c r="IBE29" s="145"/>
      <c r="IBF29" s="145"/>
      <c r="IBM29" s="145"/>
      <c r="IBN29" s="145"/>
      <c r="IBU29" s="145"/>
      <c r="IBV29" s="145"/>
      <c r="ICC29" s="145"/>
      <c r="ICD29" s="145"/>
      <c r="ICK29" s="145"/>
      <c r="ICL29" s="145"/>
      <c r="ICS29" s="145"/>
      <c r="ICT29" s="145"/>
      <c r="IDA29" s="145"/>
      <c r="IDB29" s="145"/>
      <c r="IDI29" s="145"/>
      <c r="IDJ29" s="145"/>
      <c r="IDQ29" s="145"/>
      <c r="IDR29" s="145"/>
      <c r="IDY29" s="145"/>
      <c r="IDZ29" s="145"/>
      <c r="IEG29" s="145"/>
      <c r="IEH29" s="145"/>
      <c r="IEO29" s="145"/>
      <c r="IEP29" s="145"/>
      <c r="IEW29" s="145"/>
      <c r="IEX29" s="145"/>
      <c r="IFE29" s="145"/>
      <c r="IFF29" s="145"/>
      <c r="IFM29" s="145"/>
      <c r="IFN29" s="145"/>
      <c r="IFU29" s="145"/>
      <c r="IFV29" s="145"/>
      <c r="IGC29" s="145"/>
      <c r="IGD29" s="145"/>
      <c r="IGK29" s="145"/>
      <c r="IGL29" s="145"/>
      <c r="IGS29" s="145"/>
      <c r="IGT29" s="145"/>
      <c r="IHA29" s="145"/>
      <c r="IHB29" s="145"/>
      <c r="IHI29" s="145"/>
      <c r="IHJ29" s="145"/>
      <c r="IHQ29" s="145"/>
      <c r="IHR29" s="145"/>
      <c r="IHY29" s="145"/>
      <c r="IHZ29" s="145"/>
      <c r="IIG29" s="145"/>
      <c r="IIH29" s="145"/>
      <c r="IIO29" s="145"/>
      <c r="IIP29" s="145"/>
      <c r="IIW29" s="145"/>
      <c r="IIX29" s="145"/>
      <c r="IJE29" s="145"/>
      <c r="IJF29" s="145"/>
      <c r="IJM29" s="145"/>
      <c r="IJN29" s="145"/>
      <c r="IJU29" s="145"/>
      <c r="IJV29" s="145"/>
      <c r="IKC29" s="145"/>
      <c r="IKD29" s="145"/>
      <c r="IKK29" s="145"/>
      <c r="IKL29" s="145"/>
      <c r="IKS29" s="145"/>
      <c r="IKT29" s="145"/>
      <c r="ILA29" s="145"/>
      <c r="ILB29" s="145"/>
      <c r="ILI29" s="145"/>
      <c r="ILJ29" s="145"/>
      <c r="ILQ29" s="145"/>
      <c r="ILR29" s="145"/>
      <c r="ILY29" s="145"/>
      <c r="ILZ29" s="145"/>
      <c r="IMG29" s="145"/>
      <c r="IMH29" s="145"/>
      <c r="IMO29" s="145"/>
      <c r="IMP29" s="145"/>
      <c r="IMW29" s="145"/>
      <c r="IMX29" s="145"/>
      <c r="INE29" s="145"/>
      <c r="INF29" s="145"/>
      <c r="INM29" s="145"/>
      <c r="INN29" s="145"/>
      <c r="INU29" s="145"/>
      <c r="INV29" s="145"/>
      <c r="IOC29" s="145"/>
      <c r="IOD29" s="145"/>
      <c r="IOK29" s="145"/>
      <c r="IOL29" s="145"/>
      <c r="IOS29" s="145"/>
      <c r="IOT29" s="145"/>
      <c r="IPA29" s="145"/>
      <c r="IPB29" s="145"/>
      <c r="IPI29" s="145"/>
      <c r="IPJ29" s="145"/>
      <c r="IPQ29" s="145"/>
      <c r="IPR29" s="145"/>
      <c r="IPY29" s="145"/>
      <c r="IPZ29" s="145"/>
      <c r="IQG29" s="145"/>
      <c r="IQH29" s="145"/>
      <c r="IQO29" s="145"/>
      <c r="IQP29" s="145"/>
      <c r="IQW29" s="145"/>
      <c r="IQX29" s="145"/>
      <c r="IRE29" s="145"/>
      <c r="IRF29" s="145"/>
      <c r="IRM29" s="145"/>
      <c r="IRN29" s="145"/>
      <c r="IRU29" s="145"/>
      <c r="IRV29" s="145"/>
      <c r="ISC29" s="145"/>
      <c r="ISD29" s="145"/>
      <c r="ISK29" s="145"/>
      <c r="ISL29" s="145"/>
      <c r="ISS29" s="145"/>
      <c r="IST29" s="145"/>
      <c r="ITA29" s="145"/>
      <c r="ITB29" s="145"/>
      <c r="ITI29" s="145"/>
      <c r="ITJ29" s="145"/>
      <c r="ITQ29" s="145"/>
      <c r="ITR29" s="145"/>
      <c r="ITY29" s="145"/>
      <c r="ITZ29" s="145"/>
      <c r="IUG29" s="145"/>
      <c r="IUH29" s="145"/>
      <c r="IUO29" s="145"/>
      <c r="IUP29" s="145"/>
      <c r="IUW29" s="145"/>
      <c r="IUX29" s="145"/>
      <c r="IVE29" s="145"/>
      <c r="IVF29" s="145"/>
      <c r="IVM29" s="145"/>
      <c r="IVN29" s="145"/>
      <c r="IVU29" s="145"/>
      <c r="IVV29" s="145"/>
      <c r="IWC29" s="145"/>
      <c r="IWD29" s="145"/>
      <c r="IWK29" s="145"/>
      <c r="IWL29" s="145"/>
      <c r="IWS29" s="145"/>
      <c r="IWT29" s="145"/>
      <c r="IXA29" s="145"/>
      <c r="IXB29" s="145"/>
      <c r="IXI29" s="145"/>
      <c r="IXJ29" s="145"/>
      <c r="IXQ29" s="145"/>
      <c r="IXR29" s="145"/>
      <c r="IXY29" s="145"/>
      <c r="IXZ29" s="145"/>
      <c r="IYG29" s="145"/>
      <c r="IYH29" s="145"/>
      <c r="IYO29" s="145"/>
      <c r="IYP29" s="145"/>
      <c r="IYW29" s="145"/>
      <c r="IYX29" s="145"/>
      <c r="IZE29" s="145"/>
      <c r="IZF29" s="145"/>
      <c r="IZM29" s="145"/>
      <c r="IZN29" s="145"/>
      <c r="IZU29" s="145"/>
      <c r="IZV29" s="145"/>
      <c r="JAC29" s="145"/>
      <c r="JAD29" s="145"/>
      <c r="JAK29" s="145"/>
      <c r="JAL29" s="145"/>
      <c r="JAS29" s="145"/>
      <c r="JAT29" s="145"/>
      <c r="JBA29" s="145"/>
      <c r="JBB29" s="145"/>
      <c r="JBI29" s="145"/>
      <c r="JBJ29" s="145"/>
      <c r="JBQ29" s="145"/>
      <c r="JBR29" s="145"/>
      <c r="JBY29" s="145"/>
      <c r="JBZ29" s="145"/>
      <c r="JCG29" s="145"/>
      <c r="JCH29" s="145"/>
      <c r="JCO29" s="145"/>
      <c r="JCP29" s="145"/>
      <c r="JCW29" s="145"/>
      <c r="JCX29" s="145"/>
      <c r="JDE29" s="145"/>
      <c r="JDF29" s="145"/>
      <c r="JDM29" s="145"/>
      <c r="JDN29" s="145"/>
      <c r="JDU29" s="145"/>
      <c r="JDV29" s="145"/>
      <c r="JEC29" s="145"/>
      <c r="JED29" s="145"/>
      <c r="JEK29" s="145"/>
      <c r="JEL29" s="145"/>
      <c r="JES29" s="145"/>
      <c r="JET29" s="145"/>
      <c r="JFA29" s="145"/>
      <c r="JFB29" s="145"/>
      <c r="JFI29" s="145"/>
      <c r="JFJ29" s="145"/>
      <c r="JFQ29" s="145"/>
      <c r="JFR29" s="145"/>
      <c r="JFY29" s="145"/>
      <c r="JFZ29" s="145"/>
      <c r="JGG29" s="145"/>
      <c r="JGH29" s="145"/>
      <c r="JGO29" s="145"/>
      <c r="JGP29" s="145"/>
      <c r="JGW29" s="145"/>
      <c r="JGX29" s="145"/>
      <c r="JHE29" s="145"/>
      <c r="JHF29" s="145"/>
      <c r="JHM29" s="145"/>
      <c r="JHN29" s="145"/>
      <c r="JHU29" s="145"/>
      <c r="JHV29" s="145"/>
      <c r="JIC29" s="145"/>
      <c r="JID29" s="145"/>
      <c r="JIK29" s="145"/>
      <c r="JIL29" s="145"/>
      <c r="JIS29" s="145"/>
      <c r="JIT29" s="145"/>
      <c r="JJA29" s="145"/>
      <c r="JJB29" s="145"/>
      <c r="JJI29" s="145"/>
      <c r="JJJ29" s="145"/>
      <c r="JJQ29" s="145"/>
      <c r="JJR29" s="145"/>
      <c r="JJY29" s="145"/>
      <c r="JJZ29" s="145"/>
      <c r="JKG29" s="145"/>
      <c r="JKH29" s="145"/>
      <c r="JKO29" s="145"/>
      <c r="JKP29" s="145"/>
      <c r="JKW29" s="145"/>
      <c r="JKX29" s="145"/>
      <c r="JLE29" s="145"/>
      <c r="JLF29" s="145"/>
      <c r="JLM29" s="145"/>
      <c r="JLN29" s="145"/>
      <c r="JLU29" s="145"/>
      <c r="JLV29" s="145"/>
      <c r="JMC29" s="145"/>
      <c r="JMD29" s="145"/>
      <c r="JMK29" s="145"/>
      <c r="JML29" s="145"/>
      <c r="JMS29" s="145"/>
      <c r="JMT29" s="145"/>
      <c r="JNA29" s="145"/>
      <c r="JNB29" s="145"/>
      <c r="JNI29" s="145"/>
      <c r="JNJ29" s="145"/>
      <c r="JNQ29" s="145"/>
      <c r="JNR29" s="145"/>
      <c r="JNY29" s="145"/>
      <c r="JNZ29" s="145"/>
      <c r="JOG29" s="145"/>
      <c r="JOH29" s="145"/>
      <c r="JOO29" s="145"/>
      <c r="JOP29" s="145"/>
      <c r="JOW29" s="145"/>
      <c r="JOX29" s="145"/>
      <c r="JPE29" s="145"/>
      <c r="JPF29" s="145"/>
      <c r="JPM29" s="145"/>
      <c r="JPN29" s="145"/>
      <c r="JPU29" s="145"/>
      <c r="JPV29" s="145"/>
      <c r="JQC29" s="145"/>
      <c r="JQD29" s="145"/>
      <c r="JQK29" s="145"/>
      <c r="JQL29" s="145"/>
      <c r="JQS29" s="145"/>
      <c r="JQT29" s="145"/>
      <c r="JRA29" s="145"/>
      <c r="JRB29" s="145"/>
      <c r="JRI29" s="145"/>
      <c r="JRJ29" s="145"/>
      <c r="JRQ29" s="145"/>
      <c r="JRR29" s="145"/>
      <c r="JRY29" s="145"/>
      <c r="JRZ29" s="145"/>
      <c r="JSG29" s="145"/>
      <c r="JSH29" s="145"/>
      <c r="JSO29" s="145"/>
      <c r="JSP29" s="145"/>
      <c r="JSW29" s="145"/>
      <c r="JSX29" s="145"/>
      <c r="JTE29" s="145"/>
      <c r="JTF29" s="145"/>
      <c r="JTM29" s="145"/>
      <c r="JTN29" s="145"/>
      <c r="JTU29" s="145"/>
      <c r="JTV29" s="145"/>
      <c r="JUC29" s="145"/>
      <c r="JUD29" s="145"/>
      <c r="JUK29" s="145"/>
      <c r="JUL29" s="145"/>
      <c r="JUS29" s="145"/>
      <c r="JUT29" s="145"/>
      <c r="JVA29" s="145"/>
      <c r="JVB29" s="145"/>
      <c r="JVI29" s="145"/>
      <c r="JVJ29" s="145"/>
      <c r="JVQ29" s="145"/>
      <c r="JVR29" s="145"/>
      <c r="JVY29" s="145"/>
      <c r="JVZ29" s="145"/>
      <c r="JWG29" s="145"/>
      <c r="JWH29" s="145"/>
      <c r="JWO29" s="145"/>
      <c r="JWP29" s="145"/>
      <c r="JWW29" s="145"/>
      <c r="JWX29" s="145"/>
      <c r="JXE29" s="145"/>
      <c r="JXF29" s="145"/>
      <c r="JXM29" s="145"/>
      <c r="JXN29" s="145"/>
      <c r="JXU29" s="145"/>
      <c r="JXV29" s="145"/>
      <c r="JYC29" s="145"/>
      <c r="JYD29" s="145"/>
      <c r="JYK29" s="145"/>
      <c r="JYL29" s="145"/>
      <c r="JYS29" s="145"/>
      <c r="JYT29" s="145"/>
      <c r="JZA29" s="145"/>
      <c r="JZB29" s="145"/>
      <c r="JZI29" s="145"/>
      <c r="JZJ29" s="145"/>
      <c r="JZQ29" s="145"/>
      <c r="JZR29" s="145"/>
      <c r="JZY29" s="145"/>
      <c r="JZZ29" s="145"/>
      <c r="KAG29" s="145"/>
      <c r="KAH29" s="145"/>
      <c r="KAO29" s="145"/>
      <c r="KAP29" s="145"/>
      <c r="KAW29" s="145"/>
      <c r="KAX29" s="145"/>
      <c r="KBE29" s="145"/>
      <c r="KBF29" s="145"/>
      <c r="KBM29" s="145"/>
      <c r="KBN29" s="145"/>
      <c r="KBU29" s="145"/>
      <c r="KBV29" s="145"/>
      <c r="KCC29" s="145"/>
      <c r="KCD29" s="145"/>
      <c r="KCK29" s="145"/>
      <c r="KCL29" s="145"/>
      <c r="KCS29" s="145"/>
      <c r="KCT29" s="145"/>
      <c r="KDA29" s="145"/>
      <c r="KDB29" s="145"/>
      <c r="KDI29" s="145"/>
      <c r="KDJ29" s="145"/>
      <c r="KDQ29" s="145"/>
      <c r="KDR29" s="145"/>
      <c r="KDY29" s="145"/>
      <c r="KDZ29" s="145"/>
      <c r="KEG29" s="145"/>
      <c r="KEH29" s="145"/>
      <c r="KEO29" s="145"/>
      <c r="KEP29" s="145"/>
      <c r="KEW29" s="145"/>
      <c r="KEX29" s="145"/>
      <c r="KFE29" s="145"/>
      <c r="KFF29" s="145"/>
      <c r="KFM29" s="145"/>
      <c r="KFN29" s="145"/>
      <c r="KFU29" s="145"/>
      <c r="KFV29" s="145"/>
      <c r="KGC29" s="145"/>
      <c r="KGD29" s="145"/>
      <c r="KGK29" s="145"/>
      <c r="KGL29" s="145"/>
      <c r="KGS29" s="145"/>
      <c r="KGT29" s="145"/>
      <c r="KHA29" s="145"/>
      <c r="KHB29" s="145"/>
      <c r="KHI29" s="145"/>
      <c r="KHJ29" s="145"/>
      <c r="KHQ29" s="145"/>
      <c r="KHR29" s="145"/>
      <c r="KHY29" s="145"/>
      <c r="KHZ29" s="145"/>
      <c r="KIG29" s="145"/>
      <c r="KIH29" s="145"/>
      <c r="KIO29" s="145"/>
      <c r="KIP29" s="145"/>
      <c r="KIW29" s="145"/>
      <c r="KIX29" s="145"/>
      <c r="KJE29" s="145"/>
      <c r="KJF29" s="145"/>
      <c r="KJM29" s="145"/>
      <c r="KJN29" s="145"/>
      <c r="KJU29" s="145"/>
      <c r="KJV29" s="145"/>
      <c r="KKC29" s="145"/>
      <c r="KKD29" s="145"/>
      <c r="KKK29" s="145"/>
      <c r="KKL29" s="145"/>
      <c r="KKS29" s="145"/>
      <c r="KKT29" s="145"/>
      <c r="KLA29" s="145"/>
      <c r="KLB29" s="145"/>
      <c r="KLI29" s="145"/>
      <c r="KLJ29" s="145"/>
      <c r="KLQ29" s="145"/>
      <c r="KLR29" s="145"/>
      <c r="KLY29" s="145"/>
      <c r="KLZ29" s="145"/>
      <c r="KMG29" s="145"/>
      <c r="KMH29" s="145"/>
      <c r="KMO29" s="145"/>
      <c r="KMP29" s="145"/>
      <c r="KMW29" s="145"/>
      <c r="KMX29" s="145"/>
      <c r="KNE29" s="145"/>
      <c r="KNF29" s="145"/>
      <c r="KNM29" s="145"/>
      <c r="KNN29" s="145"/>
      <c r="KNU29" s="145"/>
      <c r="KNV29" s="145"/>
      <c r="KOC29" s="145"/>
      <c r="KOD29" s="145"/>
      <c r="KOK29" s="145"/>
      <c r="KOL29" s="145"/>
      <c r="KOS29" s="145"/>
      <c r="KOT29" s="145"/>
      <c r="KPA29" s="145"/>
      <c r="KPB29" s="145"/>
      <c r="KPI29" s="145"/>
      <c r="KPJ29" s="145"/>
      <c r="KPQ29" s="145"/>
      <c r="KPR29" s="145"/>
      <c r="KPY29" s="145"/>
      <c r="KPZ29" s="145"/>
      <c r="KQG29" s="145"/>
      <c r="KQH29" s="145"/>
      <c r="KQO29" s="145"/>
      <c r="KQP29" s="145"/>
      <c r="KQW29" s="145"/>
      <c r="KQX29" s="145"/>
      <c r="KRE29" s="145"/>
      <c r="KRF29" s="145"/>
      <c r="KRM29" s="145"/>
      <c r="KRN29" s="145"/>
      <c r="KRU29" s="145"/>
      <c r="KRV29" s="145"/>
      <c r="KSC29" s="145"/>
      <c r="KSD29" s="145"/>
      <c r="KSK29" s="145"/>
      <c r="KSL29" s="145"/>
      <c r="KSS29" s="145"/>
      <c r="KST29" s="145"/>
      <c r="KTA29" s="145"/>
      <c r="KTB29" s="145"/>
      <c r="KTI29" s="145"/>
      <c r="KTJ29" s="145"/>
      <c r="KTQ29" s="145"/>
      <c r="KTR29" s="145"/>
      <c r="KTY29" s="145"/>
      <c r="KTZ29" s="145"/>
      <c r="KUG29" s="145"/>
      <c r="KUH29" s="145"/>
      <c r="KUO29" s="145"/>
      <c r="KUP29" s="145"/>
      <c r="KUW29" s="145"/>
      <c r="KUX29" s="145"/>
      <c r="KVE29" s="145"/>
      <c r="KVF29" s="145"/>
      <c r="KVM29" s="145"/>
      <c r="KVN29" s="145"/>
      <c r="KVU29" s="145"/>
      <c r="KVV29" s="145"/>
      <c r="KWC29" s="145"/>
      <c r="KWD29" s="145"/>
      <c r="KWK29" s="145"/>
      <c r="KWL29" s="145"/>
      <c r="KWS29" s="145"/>
      <c r="KWT29" s="145"/>
      <c r="KXA29" s="145"/>
      <c r="KXB29" s="145"/>
      <c r="KXI29" s="145"/>
      <c r="KXJ29" s="145"/>
      <c r="KXQ29" s="145"/>
      <c r="KXR29" s="145"/>
      <c r="KXY29" s="145"/>
      <c r="KXZ29" s="145"/>
      <c r="KYG29" s="145"/>
      <c r="KYH29" s="145"/>
      <c r="KYO29" s="145"/>
      <c r="KYP29" s="145"/>
      <c r="KYW29" s="145"/>
      <c r="KYX29" s="145"/>
      <c r="KZE29" s="145"/>
      <c r="KZF29" s="145"/>
      <c r="KZM29" s="145"/>
      <c r="KZN29" s="145"/>
      <c r="KZU29" s="145"/>
      <c r="KZV29" s="145"/>
      <c r="LAC29" s="145"/>
      <c r="LAD29" s="145"/>
      <c r="LAK29" s="145"/>
      <c r="LAL29" s="145"/>
      <c r="LAS29" s="145"/>
      <c r="LAT29" s="145"/>
      <c r="LBA29" s="145"/>
      <c r="LBB29" s="145"/>
      <c r="LBI29" s="145"/>
      <c r="LBJ29" s="145"/>
      <c r="LBQ29" s="145"/>
      <c r="LBR29" s="145"/>
      <c r="LBY29" s="145"/>
      <c r="LBZ29" s="145"/>
      <c r="LCG29" s="145"/>
      <c r="LCH29" s="145"/>
      <c r="LCO29" s="145"/>
      <c r="LCP29" s="145"/>
      <c r="LCW29" s="145"/>
      <c r="LCX29" s="145"/>
      <c r="LDE29" s="145"/>
      <c r="LDF29" s="145"/>
      <c r="LDM29" s="145"/>
      <c r="LDN29" s="145"/>
      <c r="LDU29" s="145"/>
      <c r="LDV29" s="145"/>
      <c r="LEC29" s="145"/>
      <c r="LED29" s="145"/>
      <c r="LEK29" s="145"/>
      <c r="LEL29" s="145"/>
      <c r="LES29" s="145"/>
      <c r="LET29" s="145"/>
      <c r="LFA29" s="145"/>
      <c r="LFB29" s="145"/>
      <c r="LFI29" s="145"/>
      <c r="LFJ29" s="145"/>
      <c r="LFQ29" s="145"/>
      <c r="LFR29" s="145"/>
      <c r="LFY29" s="145"/>
      <c r="LFZ29" s="145"/>
      <c r="LGG29" s="145"/>
      <c r="LGH29" s="145"/>
      <c r="LGO29" s="145"/>
      <c r="LGP29" s="145"/>
      <c r="LGW29" s="145"/>
      <c r="LGX29" s="145"/>
      <c r="LHE29" s="145"/>
      <c r="LHF29" s="145"/>
      <c r="LHM29" s="145"/>
      <c r="LHN29" s="145"/>
      <c r="LHU29" s="145"/>
      <c r="LHV29" s="145"/>
      <c r="LIC29" s="145"/>
      <c r="LID29" s="145"/>
      <c r="LIK29" s="145"/>
      <c r="LIL29" s="145"/>
      <c r="LIS29" s="145"/>
      <c r="LIT29" s="145"/>
      <c r="LJA29" s="145"/>
      <c r="LJB29" s="145"/>
      <c r="LJI29" s="145"/>
      <c r="LJJ29" s="145"/>
      <c r="LJQ29" s="145"/>
      <c r="LJR29" s="145"/>
      <c r="LJY29" s="145"/>
      <c r="LJZ29" s="145"/>
      <c r="LKG29" s="145"/>
      <c r="LKH29" s="145"/>
      <c r="LKO29" s="145"/>
      <c r="LKP29" s="145"/>
      <c r="LKW29" s="145"/>
      <c r="LKX29" s="145"/>
      <c r="LLE29" s="145"/>
      <c r="LLF29" s="145"/>
      <c r="LLM29" s="145"/>
      <c r="LLN29" s="145"/>
      <c r="LLU29" s="145"/>
      <c r="LLV29" s="145"/>
      <c r="LMC29" s="145"/>
      <c r="LMD29" s="145"/>
      <c r="LMK29" s="145"/>
      <c r="LML29" s="145"/>
      <c r="LMS29" s="145"/>
      <c r="LMT29" s="145"/>
      <c r="LNA29" s="145"/>
      <c r="LNB29" s="145"/>
      <c r="LNI29" s="145"/>
      <c r="LNJ29" s="145"/>
      <c r="LNQ29" s="145"/>
      <c r="LNR29" s="145"/>
      <c r="LNY29" s="145"/>
      <c r="LNZ29" s="145"/>
      <c r="LOG29" s="145"/>
      <c r="LOH29" s="145"/>
      <c r="LOO29" s="145"/>
      <c r="LOP29" s="145"/>
      <c r="LOW29" s="145"/>
      <c r="LOX29" s="145"/>
      <c r="LPE29" s="145"/>
      <c r="LPF29" s="145"/>
      <c r="LPM29" s="145"/>
      <c r="LPN29" s="145"/>
      <c r="LPU29" s="145"/>
      <c r="LPV29" s="145"/>
      <c r="LQC29" s="145"/>
      <c r="LQD29" s="145"/>
      <c r="LQK29" s="145"/>
      <c r="LQL29" s="145"/>
      <c r="LQS29" s="145"/>
      <c r="LQT29" s="145"/>
      <c r="LRA29" s="145"/>
      <c r="LRB29" s="145"/>
      <c r="LRI29" s="145"/>
      <c r="LRJ29" s="145"/>
      <c r="LRQ29" s="145"/>
      <c r="LRR29" s="145"/>
      <c r="LRY29" s="145"/>
      <c r="LRZ29" s="145"/>
      <c r="LSG29" s="145"/>
      <c r="LSH29" s="145"/>
      <c r="LSO29" s="145"/>
      <c r="LSP29" s="145"/>
      <c r="LSW29" s="145"/>
      <c r="LSX29" s="145"/>
      <c r="LTE29" s="145"/>
      <c r="LTF29" s="145"/>
      <c r="LTM29" s="145"/>
      <c r="LTN29" s="145"/>
      <c r="LTU29" s="145"/>
      <c r="LTV29" s="145"/>
      <c r="LUC29" s="145"/>
      <c r="LUD29" s="145"/>
      <c r="LUK29" s="145"/>
      <c r="LUL29" s="145"/>
      <c r="LUS29" s="145"/>
      <c r="LUT29" s="145"/>
      <c r="LVA29" s="145"/>
      <c r="LVB29" s="145"/>
      <c r="LVI29" s="145"/>
      <c r="LVJ29" s="145"/>
      <c r="LVQ29" s="145"/>
      <c r="LVR29" s="145"/>
      <c r="LVY29" s="145"/>
      <c r="LVZ29" s="145"/>
      <c r="LWG29" s="145"/>
      <c r="LWH29" s="145"/>
      <c r="LWO29" s="145"/>
      <c r="LWP29" s="145"/>
      <c r="LWW29" s="145"/>
      <c r="LWX29" s="145"/>
      <c r="LXE29" s="145"/>
      <c r="LXF29" s="145"/>
      <c r="LXM29" s="145"/>
      <c r="LXN29" s="145"/>
      <c r="LXU29" s="145"/>
      <c r="LXV29" s="145"/>
      <c r="LYC29" s="145"/>
      <c r="LYD29" s="145"/>
      <c r="LYK29" s="145"/>
      <c r="LYL29" s="145"/>
      <c r="LYS29" s="145"/>
      <c r="LYT29" s="145"/>
      <c r="LZA29" s="145"/>
      <c r="LZB29" s="145"/>
      <c r="LZI29" s="145"/>
      <c r="LZJ29" s="145"/>
      <c r="LZQ29" s="145"/>
      <c r="LZR29" s="145"/>
      <c r="LZY29" s="145"/>
      <c r="LZZ29" s="145"/>
      <c r="MAG29" s="145"/>
      <c r="MAH29" s="145"/>
      <c r="MAO29" s="145"/>
      <c r="MAP29" s="145"/>
      <c r="MAW29" s="145"/>
      <c r="MAX29" s="145"/>
      <c r="MBE29" s="145"/>
      <c r="MBF29" s="145"/>
      <c r="MBM29" s="145"/>
      <c r="MBN29" s="145"/>
      <c r="MBU29" s="145"/>
      <c r="MBV29" s="145"/>
      <c r="MCC29" s="145"/>
      <c r="MCD29" s="145"/>
      <c r="MCK29" s="145"/>
      <c r="MCL29" s="145"/>
      <c r="MCS29" s="145"/>
      <c r="MCT29" s="145"/>
      <c r="MDA29" s="145"/>
      <c r="MDB29" s="145"/>
      <c r="MDI29" s="145"/>
      <c r="MDJ29" s="145"/>
      <c r="MDQ29" s="145"/>
      <c r="MDR29" s="145"/>
      <c r="MDY29" s="145"/>
      <c r="MDZ29" s="145"/>
      <c r="MEG29" s="145"/>
      <c r="MEH29" s="145"/>
      <c r="MEO29" s="145"/>
      <c r="MEP29" s="145"/>
      <c r="MEW29" s="145"/>
      <c r="MEX29" s="145"/>
      <c r="MFE29" s="145"/>
      <c r="MFF29" s="145"/>
      <c r="MFM29" s="145"/>
      <c r="MFN29" s="145"/>
      <c r="MFU29" s="145"/>
      <c r="MFV29" s="145"/>
      <c r="MGC29" s="145"/>
      <c r="MGD29" s="145"/>
      <c r="MGK29" s="145"/>
      <c r="MGL29" s="145"/>
      <c r="MGS29" s="145"/>
      <c r="MGT29" s="145"/>
      <c r="MHA29" s="145"/>
      <c r="MHB29" s="145"/>
      <c r="MHI29" s="145"/>
      <c r="MHJ29" s="145"/>
      <c r="MHQ29" s="145"/>
      <c r="MHR29" s="145"/>
      <c r="MHY29" s="145"/>
      <c r="MHZ29" s="145"/>
      <c r="MIG29" s="145"/>
      <c r="MIH29" s="145"/>
      <c r="MIO29" s="145"/>
      <c r="MIP29" s="145"/>
      <c r="MIW29" s="145"/>
      <c r="MIX29" s="145"/>
      <c r="MJE29" s="145"/>
      <c r="MJF29" s="145"/>
      <c r="MJM29" s="145"/>
      <c r="MJN29" s="145"/>
      <c r="MJU29" s="145"/>
      <c r="MJV29" s="145"/>
      <c r="MKC29" s="145"/>
      <c r="MKD29" s="145"/>
      <c r="MKK29" s="145"/>
      <c r="MKL29" s="145"/>
      <c r="MKS29" s="145"/>
      <c r="MKT29" s="145"/>
      <c r="MLA29" s="145"/>
      <c r="MLB29" s="145"/>
      <c r="MLI29" s="145"/>
      <c r="MLJ29" s="145"/>
      <c r="MLQ29" s="145"/>
      <c r="MLR29" s="145"/>
      <c r="MLY29" s="145"/>
      <c r="MLZ29" s="145"/>
      <c r="MMG29" s="145"/>
      <c r="MMH29" s="145"/>
      <c r="MMO29" s="145"/>
      <c r="MMP29" s="145"/>
      <c r="MMW29" s="145"/>
      <c r="MMX29" s="145"/>
      <c r="MNE29" s="145"/>
      <c r="MNF29" s="145"/>
      <c r="MNM29" s="145"/>
      <c r="MNN29" s="145"/>
      <c r="MNU29" s="145"/>
      <c r="MNV29" s="145"/>
      <c r="MOC29" s="145"/>
      <c r="MOD29" s="145"/>
      <c r="MOK29" s="145"/>
      <c r="MOL29" s="145"/>
      <c r="MOS29" s="145"/>
      <c r="MOT29" s="145"/>
      <c r="MPA29" s="145"/>
      <c r="MPB29" s="145"/>
      <c r="MPI29" s="145"/>
      <c r="MPJ29" s="145"/>
      <c r="MPQ29" s="145"/>
      <c r="MPR29" s="145"/>
      <c r="MPY29" s="145"/>
      <c r="MPZ29" s="145"/>
      <c r="MQG29" s="145"/>
      <c r="MQH29" s="145"/>
      <c r="MQO29" s="145"/>
      <c r="MQP29" s="145"/>
      <c r="MQW29" s="145"/>
      <c r="MQX29" s="145"/>
      <c r="MRE29" s="145"/>
      <c r="MRF29" s="145"/>
      <c r="MRM29" s="145"/>
      <c r="MRN29" s="145"/>
      <c r="MRU29" s="145"/>
      <c r="MRV29" s="145"/>
      <c r="MSC29" s="145"/>
      <c r="MSD29" s="145"/>
      <c r="MSK29" s="145"/>
      <c r="MSL29" s="145"/>
      <c r="MSS29" s="145"/>
      <c r="MST29" s="145"/>
      <c r="MTA29" s="145"/>
      <c r="MTB29" s="145"/>
      <c r="MTI29" s="145"/>
      <c r="MTJ29" s="145"/>
      <c r="MTQ29" s="145"/>
      <c r="MTR29" s="145"/>
      <c r="MTY29" s="145"/>
      <c r="MTZ29" s="145"/>
      <c r="MUG29" s="145"/>
      <c r="MUH29" s="145"/>
      <c r="MUO29" s="145"/>
      <c r="MUP29" s="145"/>
      <c r="MUW29" s="145"/>
      <c r="MUX29" s="145"/>
      <c r="MVE29" s="145"/>
      <c r="MVF29" s="145"/>
      <c r="MVM29" s="145"/>
      <c r="MVN29" s="145"/>
      <c r="MVU29" s="145"/>
      <c r="MVV29" s="145"/>
      <c r="MWC29" s="145"/>
      <c r="MWD29" s="145"/>
      <c r="MWK29" s="145"/>
      <c r="MWL29" s="145"/>
      <c r="MWS29" s="145"/>
      <c r="MWT29" s="145"/>
      <c r="MXA29" s="145"/>
      <c r="MXB29" s="145"/>
      <c r="MXI29" s="145"/>
      <c r="MXJ29" s="145"/>
      <c r="MXQ29" s="145"/>
      <c r="MXR29" s="145"/>
      <c r="MXY29" s="145"/>
      <c r="MXZ29" s="145"/>
      <c r="MYG29" s="145"/>
      <c r="MYH29" s="145"/>
      <c r="MYO29" s="145"/>
      <c r="MYP29" s="145"/>
      <c r="MYW29" s="145"/>
      <c r="MYX29" s="145"/>
      <c r="MZE29" s="145"/>
      <c r="MZF29" s="145"/>
      <c r="MZM29" s="145"/>
      <c r="MZN29" s="145"/>
      <c r="MZU29" s="145"/>
      <c r="MZV29" s="145"/>
      <c r="NAC29" s="145"/>
      <c r="NAD29" s="145"/>
      <c r="NAK29" s="145"/>
      <c r="NAL29" s="145"/>
      <c r="NAS29" s="145"/>
      <c r="NAT29" s="145"/>
      <c r="NBA29" s="145"/>
      <c r="NBB29" s="145"/>
      <c r="NBI29" s="145"/>
      <c r="NBJ29" s="145"/>
      <c r="NBQ29" s="145"/>
      <c r="NBR29" s="145"/>
      <c r="NBY29" s="145"/>
      <c r="NBZ29" s="145"/>
      <c r="NCG29" s="145"/>
      <c r="NCH29" s="145"/>
      <c r="NCO29" s="145"/>
      <c r="NCP29" s="145"/>
      <c r="NCW29" s="145"/>
      <c r="NCX29" s="145"/>
      <c r="NDE29" s="145"/>
      <c r="NDF29" s="145"/>
      <c r="NDM29" s="145"/>
      <c r="NDN29" s="145"/>
      <c r="NDU29" s="145"/>
      <c r="NDV29" s="145"/>
      <c r="NEC29" s="145"/>
      <c r="NED29" s="145"/>
      <c r="NEK29" s="145"/>
      <c r="NEL29" s="145"/>
      <c r="NES29" s="145"/>
      <c r="NET29" s="145"/>
      <c r="NFA29" s="145"/>
      <c r="NFB29" s="145"/>
      <c r="NFI29" s="145"/>
      <c r="NFJ29" s="145"/>
      <c r="NFQ29" s="145"/>
      <c r="NFR29" s="145"/>
      <c r="NFY29" s="145"/>
      <c r="NFZ29" s="145"/>
      <c r="NGG29" s="145"/>
      <c r="NGH29" s="145"/>
      <c r="NGO29" s="145"/>
      <c r="NGP29" s="145"/>
      <c r="NGW29" s="145"/>
      <c r="NGX29" s="145"/>
      <c r="NHE29" s="145"/>
      <c r="NHF29" s="145"/>
      <c r="NHM29" s="145"/>
      <c r="NHN29" s="145"/>
      <c r="NHU29" s="145"/>
      <c r="NHV29" s="145"/>
      <c r="NIC29" s="145"/>
      <c r="NID29" s="145"/>
      <c r="NIK29" s="145"/>
      <c r="NIL29" s="145"/>
      <c r="NIS29" s="145"/>
      <c r="NIT29" s="145"/>
      <c r="NJA29" s="145"/>
      <c r="NJB29" s="145"/>
      <c r="NJI29" s="145"/>
      <c r="NJJ29" s="145"/>
      <c r="NJQ29" s="145"/>
      <c r="NJR29" s="145"/>
      <c r="NJY29" s="145"/>
      <c r="NJZ29" s="145"/>
      <c r="NKG29" s="145"/>
      <c r="NKH29" s="145"/>
      <c r="NKO29" s="145"/>
      <c r="NKP29" s="145"/>
      <c r="NKW29" s="145"/>
      <c r="NKX29" s="145"/>
      <c r="NLE29" s="145"/>
      <c r="NLF29" s="145"/>
      <c r="NLM29" s="145"/>
      <c r="NLN29" s="145"/>
      <c r="NLU29" s="145"/>
      <c r="NLV29" s="145"/>
      <c r="NMC29" s="145"/>
      <c r="NMD29" s="145"/>
      <c r="NMK29" s="145"/>
      <c r="NML29" s="145"/>
      <c r="NMS29" s="145"/>
      <c r="NMT29" s="145"/>
      <c r="NNA29" s="145"/>
      <c r="NNB29" s="145"/>
      <c r="NNI29" s="145"/>
      <c r="NNJ29" s="145"/>
      <c r="NNQ29" s="145"/>
      <c r="NNR29" s="145"/>
      <c r="NNY29" s="145"/>
      <c r="NNZ29" s="145"/>
      <c r="NOG29" s="145"/>
      <c r="NOH29" s="145"/>
      <c r="NOO29" s="145"/>
      <c r="NOP29" s="145"/>
      <c r="NOW29" s="145"/>
      <c r="NOX29" s="145"/>
      <c r="NPE29" s="145"/>
      <c r="NPF29" s="145"/>
      <c r="NPM29" s="145"/>
      <c r="NPN29" s="145"/>
      <c r="NPU29" s="145"/>
      <c r="NPV29" s="145"/>
      <c r="NQC29" s="145"/>
      <c r="NQD29" s="145"/>
      <c r="NQK29" s="145"/>
      <c r="NQL29" s="145"/>
      <c r="NQS29" s="145"/>
      <c r="NQT29" s="145"/>
      <c r="NRA29" s="145"/>
      <c r="NRB29" s="145"/>
      <c r="NRI29" s="145"/>
      <c r="NRJ29" s="145"/>
      <c r="NRQ29" s="145"/>
      <c r="NRR29" s="145"/>
      <c r="NRY29" s="145"/>
      <c r="NRZ29" s="145"/>
      <c r="NSG29" s="145"/>
      <c r="NSH29" s="145"/>
      <c r="NSO29" s="145"/>
      <c r="NSP29" s="145"/>
      <c r="NSW29" s="145"/>
      <c r="NSX29" s="145"/>
      <c r="NTE29" s="145"/>
      <c r="NTF29" s="145"/>
      <c r="NTM29" s="145"/>
      <c r="NTN29" s="145"/>
      <c r="NTU29" s="145"/>
      <c r="NTV29" s="145"/>
      <c r="NUC29" s="145"/>
      <c r="NUD29" s="145"/>
      <c r="NUK29" s="145"/>
      <c r="NUL29" s="145"/>
      <c r="NUS29" s="145"/>
      <c r="NUT29" s="145"/>
      <c r="NVA29" s="145"/>
      <c r="NVB29" s="145"/>
      <c r="NVI29" s="145"/>
      <c r="NVJ29" s="145"/>
      <c r="NVQ29" s="145"/>
      <c r="NVR29" s="145"/>
      <c r="NVY29" s="145"/>
      <c r="NVZ29" s="145"/>
      <c r="NWG29" s="145"/>
      <c r="NWH29" s="145"/>
      <c r="NWO29" s="145"/>
      <c r="NWP29" s="145"/>
      <c r="NWW29" s="145"/>
      <c r="NWX29" s="145"/>
      <c r="NXE29" s="145"/>
      <c r="NXF29" s="145"/>
      <c r="NXM29" s="145"/>
      <c r="NXN29" s="145"/>
      <c r="NXU29" s="145"/>
      <c r="NXV29" s="145"/>
      <c r="NYC29" s="145"/>
      <c r="NYD29" s="145"/>
      <c r="NYK29" s="145"/>
      <c r="NYL29" s="145"/>
      <c r="NYS29" s="145"/>
      <c r="NYT29" s="145"/>
      <c r="NZA29" s="145"/>
      <c r="NZB29" s="145"/>
      <c r="NZI29" s="145"/>
      <c r="NZJ29" s="145"/>
      <c r="NZQ29" s="145"/>
      <c r="NZR29" s="145"/>
      <c r="NZY29" s="145"/>
      <c r="NZZ29" s="145"/>
      <c r="OAG29" s="145"/>
      <c r="OAH29" s="145"/>
      <c r="OAO29" s="145"/>
      <c r="OAP29" s="145"/>
      <c r="OAW29" s="145"/>
      <c r="OAX29" s="145"/>
      <c r="OBE29" s="145"/>
      <c r="OBF29" s="145"/>
      <c r="OBM29" s="145"/>
      <c r="OBN29" s="145"/>
      <c r="OBU29" s="145"/>
      <c r="OBV29" s="145"/>
      <c r="OCC29" s="145"/>
      <c r="OCD29" s="145"/>
      <c r="OCK29" s="145"/>
      <c r="OCL29" s="145"/>
      <c r="OCS29" s="145"/>
      <c r="OCT29" s="145"/>
      <c r="ODA29" s="145"/>
      <c r="ODB29" s="145"/>
      <c r="ODI29" s="145"/>
      <c r="ODJ29" s="145"/>
      <c r="ODQ29" s="145"/>
      <c r="ODR29" s="145"/>
      <c r="ODY29" s="145"/>
      <c r="ODZ29" s="145"/>
      <c r="OEG29" s="145"/>
      <c r="OEH29" s="145"/>
      <c r="OEO29" s="145"/>
      <c r="OEP29" s="145"/>
      <c r="OEW29" s="145"/>
      <c r="OEX29" s="145"/>
      <c r="OFE29" s="145"/>
      <c r="OFF29" s="145"/>
      <c r="OFM29" s="145"/>
      <c r="OFN29" s="145"/>
      <c r="OFU29" s="145"/>
      <c r="OFV29" s="145"/>
      <c r="OGC29" s="145"/>
      <c r="OGD29" s="145"/>
      <c r="OGK29" s="145"/>
      <c r="OGL29" s="145"/>
      <c r="OGS29" s="145"/>
      <c r="OGT29" s="145"/>
      <c r="OHA29" s="145"/>
      <c r="OHB29" s="145"/>
      <c r="OHI29" s="145"/>
      <c r="OHJ29" s="145"/>
      <c r="OHQ29" s="145"/>
      <c r="OHR29" s="145"/>
      <c r="OHY29" s="145"/>
      <c r="OHZ29" s="145"/>
      <c r="OIG29" s="145"/>
      <c r="OIH29" s="145"/>
      <c r="OIO29" s="145"/>
      <c r="OIP29" s="145"/>
      <c r="OIW29" s="145"/>
      <c r="OIX29" s="145"/>
      <c r="OJE29" s="145"/>
      <c r="OJF29" s="145"/>
      <c r="OJM29" s="145"/>
      <c r="OJN29" s="145"/>
      <c r="OJU29" s="145"/>
      <c r="OJV29" s="145"/>
      <c r="OKC29" s="145"/>
      <c r="OKD29" s="145"/>
      <c r="OKK29" s="145"/>
      <c r="OKL29" s="145"/>
      <c r="OKS29" s="145"/>
      <c r="OKT29" s="145"/>
      <c r="OLA29" s="145"/>
      <c r="OLB29" s="145"/>
      <c r="OLI29" s="145"/>
      <c r="OLJ29" s="145"/>
      <c r="OLQ29" s="145"/>
      <c r="OLR29" s="145"/>
      <c r="OLY29" s="145"/>
      <c r="OLZ29" s="145"/>
      <c r="OMG29" s="145"/>
      <c r="OMH29" s="145"/>
      <c r="OMO29" s="145"/>
      <c r="OMP29" s="145"/>
      <c r="OMW29" s="145"/>
      <c r="OMX29" s="145"/>
      <c r="ONE29" s="145"/>
      <c r="ONF29" s="145"/>
      <c r="ONM29" s="145"/>
      <c r="ONN29" s="145"/>
      <c r="ONU29" s="145"/>
      <c r="ONV29" s="145"/>
      <c r="OOC29" s="145"/>
      <c r="OOD29" s="145"/>
      <c r="OOK29" s="145"/>
      <c r="OOL29" s="145"/>
      <c r="OOS29" s="145"/>
      <c r="OOT29" s="145"/>
      <c r="OPA29" s="145"/>
      <c r="OPB29" s="145"/>
      <c r="OPI29" s="145"/>
      <c r="OPJ29" s="145"/>
      <c r="OPQ29" s="145"/>
      <c r="OPR29" s="145"/>
      <c r="OPY29" s="145"/>
      <c r="OPZ29" s="145"/>
      <c r="OQG29" s="145"/>
      <c r="OQH29" s="145"/>
      <c r="OQO29" s="145"/>
      <c r="OQP29" s="145"/>
      <c r="OQW29" s="145"/>
      <c r="OQX29" s="145"/>
      <c r="ORE29" s="145"/>
      <c r="ORF29" s="145"/>
      <c r="ORM29" s="145"/>
      <c r="ORN29" s="145"/>
      <c r="ORU29" s="145"/>
      <c r="ORV29" s="145"/>
      <c r="OSC29" s="145"/>
      <c r="OSD29" s="145"/>
      <c r="OSK29" s="145"/>
      <c r="OSL29" s="145"/>
      <c r="OSS29" s="145"/>
      <c r="OST29" s="145"/>
      <c r="OTA29" s="145"/>
      <c r="OTB29" s="145"/>
      <c r="OTI29" s="145"/>
      <c r="OTJ29" s="145"/>
      <c r="OTQ29" s="145"/>
      <c r="OTR29" s="145"/>
      <c r="OTY29" s="145"/>
      <c r="OTZ29" s="145"/>
      <c r="OUG29" s="145"/>
      <c r="OUH29" s="145"/>
      <c r="OUO29" s="145"/>
      <c r="OUP29" s="145"/>
      <c r="OUW29" s="145"/>
      <c r="OUX29" s="145"/>
      <c r="OVE29" s="145"/>
      <c r="OVF29" s="145"/>
      <c r="OVM29" s="145"/>
      <c r="OVN29" s="145"/>
      <c r="OVU29" s="145"/>
      <c r="OVV29" s="145"/>
      <c r="OWC29" s="145"/>
      <c r="OWD29" s="145"/>
      <c r="OWK29" s="145"/>
      <c r="OWL29" s="145"/>
      <c r="OWS29" s="145"/>
      <c r="OWT29" s="145"/>
      <c r="OXA29" s="145"/>
      <c r="OXB29" s="145"/>
      <c r="OXI29" s="145"/>
      <c r="OXJ29" s="145"/>
      <c r="OXQ29" s="145"/>
      <c r="OXR29" s="145"/>
      <c r="OXY29" s="145"/>
      <c r="OXZ29" s="145"/>
      <c r="OYG29" s="145"/>
      <c r="OYH29" s="145"/>
      <c r="OYO29" s="145"/>
      <c r="OYP29" s="145"/>
      <c r="OYW29" s="145"/>
      <c r="OYX29" s="145"/>
      <c r="OZE29" s="145"/>
      <c r="OZF29" s="145"/>
      <c r="OZM29" s="145"/>
      <c r="OZN29" s="145"/>
      <c r="OZU29" s="145"/>
      <c r="OZV29" s="145"/>
      <c r="PAC29" s="145"/>
      <c r="PAD29" s="145"/>
      <c r="PAK29" s="145"/>
      <c r="PAL29" s="145"/>
      <c r="PAS29" s="145"/>
      <c r="PAT29" s="145"/>
      <c r="PBA29" s="145"/>
      <c r="PBB29" s="145"/>
      <c r="PBI29" s="145"/>
      <c r="PBJ29" s="145"/>
      <c r="PBQ29" s="145"/>
      <c r="PBR29" s="145"/>
      <c r="PBY29" s="145"/>
      <c r="PBZ29" s="145"/>
      <c r="PCG29" s="145"/>
      <c r="PCH29" s="145"/>
      <c r="PCO29" s="145"/>
      <c r="PCP29" s="145"/>
      <c r="PCW29" s="145"/>
      <c r="PCX29" s="145"/>
      <c r="PDE29" s="145"/>
      <c r="PDF29" s="145"/>
      <c r="PDM29" s="145"/>
      <c r="PDN29" s="145"/>
      <c r="PDU29" s="145"/>
      <c r="PDV29" s="145"/>
      <c r="PEC29" s="145"/>
      <c r="PED29" s="145"/>
      <c r="PEK29" s="145"/>
      <c r="PEL29" s="145"/>
      <c r="PES29" s="145"/>
      <c r="PET29" s="145"/>
      <c r="PFA29" s="145"/>
      <c r="PFB29" s="145"/>
      <c r="PFI29" s="145"/>
      <c r="PFJ29" s="145"/>
      <c r="PFQ29" s="145"/>
      <c r="PFR29" s="145"/>
      <c r="PFY29" s="145"/>
      <c r="PFZ29" s="145"/>
      <c r="PGG29" s="145"/>
      <c r="PGH29" s="145"/>
      <c r="PGO29" s="145"/>
      <c r="PGP29" s="145"/>
      <c r="PGW29" s="145"/>
      <c r="PGX29" s="145"/>
      <c r="PHE29" s="145"/>
      <c r="PHF29" s="145"/>
      <c r="PHM29" s="145"/>
      <c r="PHN29" s="145"/>
      <c r="PHU29" s="145"/>
      <c r="PHV29" s="145"/>
      <c r="PIC29" s="145"/>
      <c r="PID29" s="145"/>
      <c r="PIK29" s="145"/>
      <c r="PIL29" s="145"/>
      <c r="PIS29" s="145"/>
      <c r="PIT29" s="145"/>
      <c r="PJA29" s="145"/>
      <c r="PJB29" s="145"/>
      <c r="PJI29" s="145"/>
      <c r="PJJ29" s="145"/>
      <c r="PJQ29" s="145"/>
      <c r="PJR29" s="145"/>
      <c r="PJY29" s="145"/>
      <c r="PJZ29" s="145"/>
      <c r="PKG29" s="145"/>
      <c r="PKH29" s="145"/>
      <c r="PKO29" s="145"/>
      <c r="PKP29" s="145"/>
      <c r="PKW29" s="145"/>
      <c r="PKX29" s="145"/>
      <c r="PLE29" s="145"/>
      <c r="PLF29" s="145"/>
      <c r="PLM29" s="145"/>
      <c r="PLN29" s="145"/>
      <c r="PLU29" s="145"/>
      <c r="PLV29" s="145"/>
      <c r="PMC29" s="145"/>
      <c r="PMD29" s="145"/>
      <c r="PMK29" s="145"/>
      <c r="PML29" s="145"/>
      <c r="PMS29" s="145"/>
      <c r="PMT29" s="145"/>
      <c r="PNA29" s="145"/>
      <c r="PNB29" s="145"/>
      <c r="PNI29" s="145"/>
      <c r="PNJ29" s="145"/>
      <c r="PNQ29" s="145"/>
      <c r="PNR29" s="145"/>
      <c r="PNY29" s="145"/>
      <c r="PNZ29" s="145"/>
      <c r="POG29" s="145"/>
      <c r="POH29" s="145"/>
      <c r="POO29" s="145"/>
      <c r="POP29" s="145"/>
      <c r="POW29" s="145"/>
      <c r="POX29" s="145"/>
      <c r="PPE29" s="145"/>
      <c r="PPF29" s="145"/>
      <c r="PPM29" s="145"/>
      <c r="PPN29" s="145"/>
      <c r="PPU29" s="145"/>
      <c r="PPV29" s="145"/>
      <c r="PQC29" s="145"/>
      <c r="PQD29" s="145"/>
      <c r="PQK29" s="145"/>
      <c r="PQL29" s="145"/>
      <c r="PQS29" s="145"/>
      <c r="PQT29" s="145"/>
      <c r="PRA29" s="145"/>
      <c r="PRB29" s="145"/>
      <c r="PRI29" s="145"/>
      <c r="PRJ29" s="145"/>
      <c r="PRQ29" s="145"/>
      <c r="PRR29" s="145"/>
      <c r="PRY29" s="145"/>
      <c r="PRZ29" s="145"/>
      <c r="PSG29" s="145"/>
      <c r="PSH29" s="145"/>
      <c r="PSO29" s="145"/>
      <c r="PSP29" s="145"/>
      <c r="PSW29" s="145"/>
      <c r="PSX29" s="145"/>
      <c r="PTE29" s="145"/>
      <c r="PTF29" s="145"/>
      <c r="PTM29" s="145"/>
      <c r="PTN29" s="145"/>
      <c r="PTU29" s="145"/>
      <c r="PTV29" s="145"/>
      <c r="PUC29" s="145"/>
      <c r="PUD29" s="145"/>
      <c r="PUK29" s="145"/>
      <c r="PUL29" s="145"/>
      <c r="PUS29" s="145"/>
      <c r="PUT29" s="145"/>
      <c r="PVA29" s="145"/>
      <c r="PVB29" s="145"/>
      <c r="PVI29" s="145"/>
      <c r="PVJ29" s="145"/>
      <c r="PVQ29" s="145"/>
      <c r="PVR29" s="145"/>
      <c r="PVY29" s="145"/>
      <c r="PVZ29" s="145"/>
      <c r="PWG29" s="145"/>
      <c r="PWH29" s="145"/>
      <c r="PWO29" s="145"/>
      <c r="PWP29" s="145"/>
      <c r="PWW29" s="145"/>
      <c r="PWX29" s="145"/>
      <c r="PXE29" s="145"/>
      <c r="PXF29" s="145"/>
      <c r="PXM29" s="145"/>
      <c r="PXN29" s="145"/>
      <c r="PXU29" s="145"/>
      <c r="PXV29" s="145"/>
      <c r="PYC29" s="145"/>
      <c r="PYD29" s="145"/>
      <c r="PYK29" s="145"/>
      <c r="PYL29" s="145"/>
      <c r="PYS29" s="145"/>
      <c r="PYT29" s="145"/>
      <c r="PZA29" s="145"/>
      <c r="PZB29" s="145"/>
      <c r="PZI29" s="145"/>
      <c r="PZJ29" s="145"/>
      <c r="PZQ29" s="145"/>
      <c r="PZR29" s="145"/>
      <c r="PZY29" s="145"/>
      <c r="PZZ29" s="145"/>
      <c r="QAG29" s="145"/>
      <c r="QAH29" s="145"/>
      <c r="QAO29" s="145"/>
      <c r="QAP29" s="145"/>
      <c r="QAW29" s="145"/>
      <c r="QAX29" s="145"/>
      <c r="QBE29" s="145"/>
      <c r="QBF29" s="145"/>
      <c r="QBM29" s="145"/>
      <c r="QBN29" s="145"/>
      <c r="QBU29" s="145"/>
      <c r="QBV29" s="145"/>
      <c r="QCC29" s="145"/>
      <c r="QCD29" s="145"/>
      <c r="QCK29" s="145"/>
      <c r="QCL29" s="145"/>
      <c r="QCS29" s="145"/>
      <c r="QCT29" s="145"/>
      <c r="QDA29" s="145"/>
      <c r="QDB29" s="145"/>
      <c r="QDI29" s="145"/>
      <c r="QDJ29" s="145"/>
      <c r="QDQ29" s="145"/>
      <c r="QDR29" s="145"/>
      <c r="QDY29" s="145"/>
      <c r="QDZ29" s="145"/>
      <c r="QEG29" s="145"/>
      <c r="QEH29" s="145"/>
      <c r="QEO29" s="145"/>
      <c r="QEP29" s="145"/>
      <c r="QEW29" s="145"/>
      <c r="QEX29" s="145"/>
      <c r="QFE29" s="145"/>
      <c r="QFF29" s="145"/>
      <c r="QFM29" s="145"/>
      <c r="QFN29" s="145"/>
      <c r="QFU29" s="145"/>
      <c r="QFV29" s="145"/>
      <c r="QGC29" s="145"/>
      <c r="QGD29" s="145"/>
      <c r="QGK29" s="145"/>
      <c r="QGL29" s="145"/>
      <c r="QGS29" s="145"/>
      <c r="QGT29" s="145"/>
      <c r="QHA29" s="145"/>
      <c r="QHB29" s="145"/>
      <c r="QHI29" s="145"/>
      <c r="QHJ29" s="145"/>
      <c r="QHQ29" s="145"/>
      <c r="QHR29" s="145"/>
      <c r="QHY29" s="145"/>
      <c r="QHZ29" s="145"/>
      <c r="QIG29" s="145"/>
      <c r="QIH29" s="145"/>
      <c r="QIO29" s="145"/>
      <c r="QIP29" s="145"/>
      <c r="QIW29" s="145"/>
      <c r="QIX29" s="145"/>
      <c r="QJE29" s="145"/>
      <c r="QJF29" s="145"/>
      <c r="QJM29" s="145"/>
      <c r="QJN29" s="145"/>
      <c r="QJU29" s="145"/>
      <c r="QJV29" s="145"/>
      <c r="QKC29" s="145"/>
      <c r="QKD29" s="145"/>
      <c r="QKK29" s="145"/>
      <c r="QKL29" s="145"/>
      <c r="QKS29" s="145"/>
      <c r="QKT29" s="145"/>
      <c r="QLA29" s="145"/>
      <c r="QLB29" s="145"/>
      <c r="QLI29" s="145"/>
      <c r="QLJ29" s="145"/>
      <c r="QLQ29" s="145"/>
      <c r="QLR29" s="145"/>
      <c r="QLY29" s="145"/>
      <c r="QLZ29" s="145"/>
      <c r="QMG29" s="145"/>
      <c r="QMH29" s="145"/>
      <c r="QMO29" s="145"/>
      <c r="QMP29" s="145"/>
      <c r="QMW29" s="145"/>
      <c r="QMX29" s="145"/>
      <c r="QNE29" s="145"/>
      <c r="QNF29" s="145"/>
      <c r="QNM29" s="145"/>
      <c r="QNN29" s="145"/>
      <c r="QNU29" s="145"/>
      <c r="QNV29" s="145"/>
      <c r="QOC29" s="145"/>
      <c r="QOD29" s="145"/>
      <c r="QOK29" s="145"/>
      <c r="QOL29" s="145"/>
      <c r="QOS29" s="145"/>
      <c r="QOT29" s="145"/>
      <c r="QPA29" s="145"/>
      <c r="QPB29" s="145"/>
      <c r="QPI29" s="145"/>
      <c r="QPJ29" s="145"/>
      <c r="QPQ29" s="145"/>
      <c r="QPR29" s="145"/>
      <c r="QPY29" s="145"/>
      <c r="QPZ29" s="145"/>
      <c r="QQG29" s="145"/>
      <c r="QQH29" s="145"/>
      <c r="QQO29" s="145"/>
      <c r="QQP29" s="145"/>
      <c r="QQW29" s="145"/>
      <c r="QQX29" s="145"/>
      <c r="QRE29" s="145"/>
      <c r="QRF29" s="145"/>
      <c r="QRM29" s="145"/>
      <c r="QRN29" s="145"/>
      <c r="QRU29" s="145"/>
      <c r="QRV29" s="145"/>
      <c r="QSC29" s="145"/>
      <c r="QSD29" s="145"/>
      <c r="QSK29" s="145"/>
      <c r="QSL29" s="145"/>
      <c r="QSS29" s="145"/>
      <c r="QST29" s="145"/>
      <c r="QTA29" s="145"/>
      <c r="QTB29" s="145"/>
      <c r="QTI29" s="145"/>
      <c r="QTJ29" s="145"/>
      <c r="QTQ29" s="145"/>
      <c r="QTR29" s="145"/>
      <c r="QTY29" s="145"/>
      <c r="QTZ29" s="145"/>
      <c r="QUG29" s="145"/>
      <c r="QUH29" s="145"/>
      <c r="QUO29" s="145"/>
      <c r="QUP29" s="145"/>
      <c r="QUW29" s="145"/>
      <c r="QUX29" s="145"/>
      <c r="QVE29" s="145"/>
      <c r="QVF29" s="145"/>
      <c r="QVM29" s="145"/>
      <c r="QVN29" s="145"/>
      <c r="QVU29" s="145"/>
      <c r="QVV29" s="145"/>
      <c r="QWC29" s="145"/>
      <c r="QWD29" s="145"/>
      <c r="QWK29" s="145"/>
      <c r="QWL29" s="145"/>
      <c r="QWS29" s="145"/>
      <c r="QWT29" s="145"/>
      <c r="QXA29" s="145"/>
      <c r="QXB29" s="145"/>
      <c r="QXI29" s="145"/>
      <c r="QXJ29" s="145"/>
      <c r="QXQ29" s="145"/>
      <c r="QXR29" s="145"/>
      <c r="QXY29" s="145"/>
      <c r="QXZ29" s="145"/>
      <c r="QYG29" s="145"/>
      <c r="QYH29" s="145"/>
      <c r="QYO29" s="145"/>
      <c r="QYP29" s="145"/>
      <c r="QYW29" s="145"/>
      <c r="QYX29" s="145"/>
      <c r="QZE29" s="145"/>
      <c r="QZF29" s="145"/>
      <c r="QZM29" s="145"/>
      <c r="QZN29" s="145"/>
      <c r="QZU29" s="145"/>
      <c r="QZV29" s="145"/>
      <c r="RAC29" s="145"/>
      <c r="RAD29" s="145"/>
      <c r="RAK29" s="145"/>
      <c r="RAL29" s="145"/>
      <c r="RAS29" s="145"/>
      <c r="RAT29" s="145"/>
      <c r="RBA29" s="145"/>
      <c r="RBB29" s="145"/>
      <c r="RBI29" s="145"/>
      <c r="RBJ29" s="145"/>
      <c r="RBQ29" s="145"/>
      <c r="RBR29" s="145"/>
      <c r="RBY29" s="145"/>
      <c r="RBZ29" s="145"/>
      <c r="RCG29" s="145"/>
      <c r="RCH29" s="145"/>
      <c r="RCO29" s="145"/>
      <c r="RCP29" s="145"/>
      <c r="RCW29" s="145"/>
      <c r="RCX29" s="145"/>
      <c r="RDE29" s="145"/>
      <c r="RDF29" s="145"/>
      <c r="RDM29" s="145"/>
      <c r="RDN29" s="145"/>
      <c r="RDU29" s="145"/>
      <c r="RDV29" s="145"/>
      <c r="REC29" s="145"/>
      <c r="RED29" s="145"/>
      <c r="REK29" s="145"/>
      <c r="REL29" s="145"/>
      <c r="RES29" s="145"/>
      <c r="RET29" s="145"/>
      <c r="RFA29" s="145"/>
      <c r="RFB29" s="145"/>
      <c r="RFI29" s="145"/>
      <c r="RFJ29" s="145"/>
      <c r="RFQ29" s="145"/>
      <c r="RFR29" s="145"/>
      <c r="RFY29" s="145"/>
      <c r="RFZ29" s="145"/>
      <c r="RGG29" s="145"/>
      <c r="RGH29" s="145"/>
      <c r="RGO29" s="145"/>
      <c r="RGP29" s="145"/>
      <c r="RGW29" s="145"/>
      <c r="RGX29" s="145"/>
      <c r="RHE29" s="145"/>
      <c r="RHF29" s="145"/>
      <c r="RHM29" s="145"/>
      <c r="RHN29" s="145"/>
      <c r="RHU29" s="145"/>
      <c r="RHV29" s="145"/>
      <c r="RIC29" s="145"/>
      <c r="RID29" s="145"/>
      <c r="RIK29" s="145"/>
      <c r="RIL29" s="145"/>
      <c r="RIS29" s="145"/>
      <c r="RIT29" s="145"/>
      <c r="RJA29" s="145"/>
      <c r="RJB29" s="145"/>
      <c r="RJI29" s="145"/>
      <c r="RJJ29" s="145"/>
      <c r="RJQ29" s="145"/>
      <c r="RJR29" s="145"/>
      <c r="RJY29" s="145"/>
      <c r="RJZ29" s="145"/>
      <c r="RKG29" s="145"/>
      <c r="RKH29" s="145"/>
      <c r="RKO29" s="145"/>
      <c r="RKP29" s="145"/>
      <c r="RKW29" s="145"/>
      <c r="RKX29" s="145"/>
      <c r="RLE29" s="145"/>
      <c r="RLF29" s="145"/>
      <c r="RLM29" s="145"/>
      <c r="RLN29" s="145"/>
      <c r="RLU29" s="145"/>
      <c r="RLV29" s="145"/>
      <c r="RMC29" s="145"/>
      <c r="RMD29" s="145"/>
      <c r="RMK29" s="145"/>
      <c r="RML29" s="145"/>
      <c r="RMS29" s="145"/>
      <c r="RMT29" s="145"/>
      <c r="RNA29" s="145"/>
      <c r="RNB29" s="145"/>
      <c r="RNI29" s="145"/>
      <c r="RNJ29" s="145"/>
      <c r="RNQ29" s="145"/>
      <c r="RNR29" s="145"/>
      <c r="RNY29" s="145"/>
      <c r="RNZ29" s="145"/>
      <c r="ROG29" s="145"/>
      <c r="ROH29" s="145"/>
      <c r="ROO29" s="145"/>
      <c r="ROP29" s="145"/>
      <c r="ROW29" s="145"/>
      <c r="ROX29" s="145"/>
      <c r="RPE29" s="145"/>
      <c r="RPF29" s="145"/>
      <c r="RPM29" s="145"/>
      <c r="RPN29" s="145"/>
      <c r="RPU29" s="145"/>
      <c r="RPV29" s="145"/>
      <c r="RQC29" s="145"/>
      <c r="RQD29" s="145"/>
      <c r="RQK29" s="145"/>
      <c r="RQL29" s="145"/>
      <c r="RQS29" s="145"/>
      <c r="RQT29" s="145"/>
      <c r="RRA29" s="145"/>
      <c r="RRB29" s="145"/>
      <c r="RRI29" s="145"/>
      <c r="RRJ29" s="145"/>
      <c r="RRQ29" s="145"/>
      <c r="RRR29" s="145"/>
      <c r="RRY29" s="145"/>
      <c r="RRZ29" s="145"/>
      <c r="RSG29" s="145"/>
      <c r="RSH29" s="145"/>
      <c r="RSO29" s="145"/>
      <c r="RSP29" s="145"/>
      <c r="RSW29" s="145"/>
      <c r="RSX29" s="145"/>
      <c r="RTE29" s="145"/>
      <c r="RTF29" s="145"/>
      <c r="RTM29" s="145"/>
      <c r="RTN29" s="145"/>
      <c r="RTU29" s="145"/>
      <c r="RTV29" s="145"/>
      <c r="RUC29" s="145"/>
      <c r="RUD29" s="145"/>
      <c r="RUK29" s="145"/>
      <c r="RUL29" s="145"/>
      <c r="RUS29" s="145"/>
      <c r="RUT29" s="145"/>
      <c r="RVA29" s="145"/>
      <c r="RVB29" s="145"/>
      <c r="RVI29" s="145"/>
      <c r="RVJ29" s="145"/>
      <c r="RVQ29" s="145"/>
      <c r="RVR29" s="145"/>
      <c r="RVY29" s="145"/>
      <c r="RVZ29" s="145"/>
      <c r="RWG29" s="145"/>
      <c r="RWH29" s="145"/>
      <c r="RWO29" s="145"/>
      <c r="RWP29" s="145"/>
      <c r="RWW29" s="145"/>
      <c r="RWX29" s="145"/>
      <c r="RXE29" s="145"/>
      <c r="RXF29" s="145"/>
      <c r="RXM29" s="145"/>
      <c r="RXN29" s="145"/>
      <c r="RXU29" s="145"/>
      <c r="RXV29" s="145"/>
      <c r="RYC29" s="145"/>
      <c r="RYD29" s="145"/>
      <c r="RYK29" s="145"/>
      <c r="RYL29" s="145"/>
      <c r="RYS29" s="145"/>
      <c r="RYT29" s="145"/>
      <c r="RZA29" s="145"/>
      <c r="RZB29" s="145"/>
      <c r="RZI29" s="145"/>
      <c r="RZJ29" s="145"/>
      <c r="RZQ29" s="145"/>
      <c r="RZR29" s="145"/>
      <c r="RZY29" s="145"/>
      <c r="RZZ29" s="145"/>
      <c r="SAG29" s="145"/>
      <c r="SAH29" s="145"/>
      <c r="SAO29" s="145"/>
      <c r="SAP29" s="145"/>
      <c r="SAW29" s="145"/>
      <c r="SAX29" s="145"/>
      <c r="SBE29" s="145"/>
      <c r="SBF29" s="145"/>
      <c r="SBM29" s="145"/>
      <c r="SBN29" s="145"/>
      <c r="SBU29" s="145"/>
      <c r="SBV29" s="145"/>
      <c r="SCC29" s="145"/>
      <c r="SCD29" s="145"/>
      <c r="SCK29" s="145"/>
      <c r="SCL29" s="145"/>
      <c r="SCS29" s="145"/>
      <c r="SCT29" s="145"/>
      <c r="SDA29" s="145"/>
      <c r="SDB29" s="145"/>
      <c r="SDI29" s="145"/>
      <c r="SDJ29" s="145"/>
      <c r="SDQ29" s="145"/>
      <c r="SDR29" s="145"/>
      <c r="SDY29" s="145"/>
      <c r="SDZ29" s="145"/>
      <c r="SEG29" s="145"/>
      <c r="SEH29" s="145"/>
      <c r="SEO29" s="145"/>
      <c r="SEP29" s="145"/>
      <c r="SEW29" s="145"/>
      <c r="SEX29" s="145"/>
      <c r="SFE29" s="145"/>
      <c r="SFF29" s="145"/>
      <c r="SFM29" s="145"/>
      <c r="SFN29" s="145"/>
      <c r="SFU29" s="145"/>
      <c r="SFV29" s="145"/>
      <c r="SGC29" s="145"/>
      <c r="SGD29" s="145"/>
      <c r="SGK29" s="145"/>
      <c r="SGL29" s="145"/>
      <c r="SGS29" s="145"/>
      <c r="SGT29" s="145"/>
      <c r="SHA29" s="145"/>
      <c r="SHB29" s="145"/>
      <c r="SHI29" s="145"/>
      <c r="SHJ29" s="145"/>
      <c r="SHQ29" s="145"/>
      <c r="SHR29" s="145"/>
      <c r="SHY29" s="145"/>
      <c r="SHZ29" s="145"/>
      <c r="SIG29" s="145"/>
      <c r="SIH29" s="145"/>
      <c r="SIO29" s="145"/>
      <c r="SIP29" s="145"/>
      <c r="SIW29" s="145"/>
      <c r="SIX29" s="145"/>
      <c r="SJE29" s="145"/>
      <c r="SJF29" s="145"/>
      <c r="SJM29" s="145"/>
      <c r="SJN29" s="145"/>
      <c r="SJU29" s="145"/>
      <c r="SJV29" s="145"/>
      <c r="SKC29" s="145"/>
      <c r="SKD29" s="145"/>
      <c r="SKK29" s="145"/>
      <c r="SKL29" s="145"/>
      <c r="SKS29" s="145"/>
      <c r="SKT29" s="145"/>
      <c r="SLA29" s="145"/>
      <c r="SLB29" s="145"/>
      <c r="SLI29" s="145"/>
      <c r="SLJ29" s="145"/>
      <c r="SLQ29" s="145"/>
      <c r="SLR29" s="145"/>
      <c r="SLY29" s="145"/>
      <c r="SLZ29" s="145"/>
      <c r="SMG29" s="145"/>
      <c r="SMH29" s="145"/>
      <c r="SMO29" s="145"/>
      <c r="SMP29" s="145"/>
      <c r="SMW29" s="145"/>
      <c r="SMX29" s="145"/>
      <c r="SNE29" s="145"/>
      <c r="SNF29" s="145"/>
      <c r="SNM29" s="145"/>
      <c r="SNN29" s="145"/>
      <c r="SNU29" s="145"/>
      <c r="SNV29" s="145"/>
      <c r="SOC29" s="145"/>
      <c r="SOD29" s="145"/>
      <c r="SOK29" s="145"/>
      <c r="SOL29" s="145"/>
      <c r="SOS29" s="145"/>
      <c r="SOT29" s="145"/>
      <c r="SPA29" s="145"/>
      <c r="SPB29" s="145"/>
      <c r="SPI29" s="145"/>
      <c r="SPJ29" s="145"/>
      <c r="SPQ29" s="145"/>
      <c r="SPR29" s="145"/>
      <c r="SPY29" s="145"/>
      <c r="SPZ29" s="145"/>
      <c r="SQG29" s="145"/>
      <c r="SQH29" s="145"/>
      <c r="SQO29" s="145"/>
      <c r="SQP29" s="145"/>
      <c r="SQW29" s="145"/>
      <c r="SQX29" s="145"/>
      <c r="SRE29" s="145"/>
      <c r="SRF29" s="145"/>
      <c r="SRM29" s="145"/>
      <c r="SRN29" s="145"/>
      <c r="SRU29" s="145"/>
      <c r="SRV29" s="145"/>
      <c r="SSC29" s="145"/>
      <c r="SSD29" s="145"/>
      <c r="SSK29" s="145"/>
      <c r="SSL29" s="145"/>
      <c r="SSS29" s="145"/>
      <c r="SST29" s="145"/>
      <c r="STA29" s="145"/>
      <c r="STB29" s="145"/>
      <c r="STI29" s="145"/>
      <c r="STJ29" s="145"/>
      <c r="STQ29" s="145"/>
      <c r="STR29" s="145"/>
      <c r="STY29" s="145"/>
      <c r="STZ29" s="145"/>
      <c r="SUG29" s="145"/>
      <c r="SUH29" s="145"/>
      <c r="SUO29" s="145"/>
      <c r="SUP29" s="145"/>
      <c r="SUW29" s="145"/>
      <c r="SUX29" s="145"/>
      <c r="SVE29" s="145"/>
      <c r="SVF29" s="145"/>
      <c r="SVM29" s="145"/>
      <c r="SVN29" s="145"/>
      <c r="SVU29" s="145"/>
      <c r="SVV29" s="145"/>
      <c r="SWC29" s="145"/>
      <c r="SWD29" s="145"/>
      <c r="SWK29" s="145"/>
      <c r="SWL29" s="145"/>
      <c r="SWS29" s="145"/>
      <c r="SWT29" s="145"/>
      <c r="SXA29" s="145"/>
      <c r="SXB29" s="145"/>
      <c r="SXI29" s="145"/>
      <c r="SXJ29" s="145"/>
      <c r="SXQ29" s="145"/>
      <c r="SXR29" s="145"/>
      <c r="SXY29" s="145"/>
      <c r="SXZ29" s="145"/>
      <c r="SYG29" s="145"/>
      <c r="SYH29" s="145"/>
      <c r="SYO29" s="145"/>
      <c r="SYP29" s="145"/>
      <c r="SYW29" s="145"/>
      <c r="SYX29" s="145"/>
      <c r="SZE29" s="145"/>
      <c r="SZF29" s="145"/>
      <c r="SZM29" s="145"/>
      <c r="SZN29" s="145"/>
      <c r="SZU29" s="145"/>
      <c r="SZV29" s="145"/>
      <c r="TAC29" s="145"/>
      <c r="TAD29" s="145"/>
      <c r="TAK29" s="145"/>
      <c r="TAL29" s="145"/>
      <c r="TAS29" s="145"/>
      <c r="TAT29" s="145"/>
      <c r="TBA29" s="145"/>
      <c r="TBB29" s="145"/>
      <c r="TBI29" s="145"/>
      <c r="TBJ29" s="145"/>
      <c r="TBQ29" s="145"/>
      <c r="TBR29" s="145"/>
      <c r="TBY29" s="145"/>
      <c r="TBZ29" s="145"/>
      <c r="TCG29" s="145"/>
      <c r="TCH29" s="145"/>
      <c r="TCO29" s="145"/>
      <c r="TCP29" s="145"/>
      <c r="TCW29" s="145"/>
      <c r="TCX29" s="145"/>
      <c r="TDE29" s="145"/>
      <c r="TDF29" s="145"/>
      <c r="TDM29" s="145"/>
      <c r="TDN29" s="145"/>
      <c r="TDU29" s="145"/>
      <c r="TDV29" s="145"/>
      <c r="TEC29" s="145"/>
      <c r="TED29" s="145"/>
      <c r="TEK29" s="145"/>
      <c r="TEL29" s="145"/>
      <c r="TES29" s="145"/>
      <c r="TET29" s="145"/>
      <c r="TFA29" s="145"/>
      <c r="TFB29" s="145"/>
      <c r="TFI29" s="145"/>
      <c r="TFJ29" s="145"/>
      <c r="TFQ29" s="145"/>
      <c r="TFR29" s="145"/>
      <c r="TFY29" s="145"/>
      <c r="TFZ29" s="145"/>
      <c r="TGG29" s="145"/>
      <c r="TGH29" s="145"/>
      <c r="TGO29" s="145"/>
      <c r="TGP29" s="145"/>
      <c r="TGW29" s="145"/>
      <c r="TGX29" s="145"/>
      <c r="THE29" s="145"/>
      <c r="THF29" s="145"/>
      <c r="THM29" s="145"/>
      <c r="THN29" s="145"/>
      <c r="THU29" s="145"/>
      <c r="THV29" s="145"/>
      <c r="TIC29" s="145"/>
      <c r="TID29" s="145"/>
      <c r="TIK29" s="145"/>
      <c r="TIL29" s="145"/>
      <c r="TIS29" s="145"/>
      <c r="TIT29" s="145"/>
      <c r="TJA29" s="145"/>
      <c r="TJB29" s="145"/>
      <c r="TJI29" s="145"/>
      <c r="TJJ29" s="145"/>
      <c r="TJQ29" s="145"/>
      <c r="TJR29" s="145"/>
      <c r="TJY29" s="145"/>
      <c r="TJZ29" s="145"/>
      <c r="TKG29" s="145"/>
      <c r="TKH29" s="145"/>
      <c r="TKO29" s="145"/>
      <c r="TKP29" s="145"/>
      <c r="TKW29" s="145"/>
      <c r="TKX29" s="145"/>
      <c r="TLE29" s="145"/>
      <c r="TLF29" s="145"/>
      <c r="TLM29" s="145"/>
      <c r="TLN29" s="145"/>
      <c r="TLU29" s="145"/>
      <c r="TLV29" s="145"/>
      <c r="TMC29" s="145"/>
      <c r="TMD29" s="145"/>
      <c r="TMK29" s="145"/>
      <c r="TML29" s="145"/>
      <c r="TMS29" s="145"/>
      <c r="TMT29" s="145"/>
      <c r="TNA29" s="145"/>
      <c r="TNB29" s="145"/>
      <c r="TNI29" s="145"/>
      <c r="TNJ29" s="145"/>
      <c r="TNQ29" s="145"/>
      <c r="TNR29" s="145"/>
      <c r="TNY29" s="145"/>
      <c r="TNZ29" s="145"/>
      <c r="TOG29" s="145"/>
      <c r="TOH29" s="145"/>
      <c r="TOO29" s="145"/>
      <c r="TOP29" s="145"/>
      <c r="TOW29" s="145"/>
      <c r="TOX29" s="145"/>
      <c r="TPE29" s="145"/>
      <c r="TPF29" s="145"/>
      <c r="TPM29" s="145"/>
      <c r="TPN29" s="145"/>
      <c r="TPU29" s="145"/>
      <c r="TPV29" s="145"/>
      <c r="TQC29" s="145"/>
      <c r="TQD29" s="145"/>
      <c r="TQK29" s="145"/>
      <c r="TQL29" s="145"/>
      <c r="TQS29" s="145"/>
      <c r="TQT29" s="145"/>
      <c r="TRA29" s="145"/>
      <c r="TRB29" s="145"/>
      <c r="TRI29" s="145"/>
      <c r="TRJ29" s="145"/>
      <c r="TRQ29" s="145"/>
      <c r="TRR29" s="145"/>
      <c r="TRY29" s="145"/>
      <c r="TRZ29" s="145"/>
      <c r="TSG29" s="145"/>
      <c r="TSH29" s="145"/>
      <c r="TSO29" s="145"/>
      <c r="TSP29" s="145"/>
      <c r="TSW29" s="145"/>
      <c r="TSX29" s="145"/>
      <c r="TTE29" s="145"/>
      <c r="TTF29" s="145"/>
      <c r="TTM29" s="145"/>
      <c r="TTN29" s="145"/>
      <c r="TTU29" s="145"/>
      <c r="TTV29" s="145"/>
      <c r="TUC29" s="145"/>
      <c r="TUD29" s="145"/>
      <c r="TUK29" s="145"/>
      <c r="TUL29" s="145"/>
      <c r="TUS29" s="145"/>
      <c r="TUT29" s="145"/>
      <c r="TVA29" s="145"/>
      <c r="TVB29" s="145"/>
      <c r="TVI29" s="145"/>
      <c r="TVJ29" s="145"/>
      <c r="TVQ29" s="145"/>
      <c r="TVR29" s="145"/>
      <c r="TVY29" s="145"/>
      <c r="TVZ29" s="145"/>
      <c r="TWG29" s="145"/>
      <c r="TWH29" s="145"/>
      <c r="TWO29" s="145"/>
      <c r="TWP29" s="145"/>
      <c r="TWW29" s="145"/>
      <c r="TWX29" s="145"/>
      <c r="TXE29" s="145"/>
      <c r="TXF29" s="145"/>
      <c r="TXM29" s="145"/>
      <c r="TXN29" s="145"/>
      <c r="TXU29" s="145"/>
      <c r="TXV29" s="145"/>
      <c r="TYC29" s="145"/>
      <c r="TYD29" s="145"/>
      <c r="TYK29" s="145"/>
      <c r="TYL29" s="145"/>
      <c r="TYS29" s="145"/>
      <c r="TYT29" s="145"/>
      <c r="TZA29" s="145"/>
      <c r="TZB29" s="145"/>
      <c r="TZI29" s="145"/>
      <c r="TZJ29" s="145"/>
      <c r="TZQ29" s="145"/>
      <c r="TZR29" s="145"/>
      <c r="TZY29" s="145"/>
      <c r="TZZ29" s="145"/>
      <c r="UAG29" s="145"/>
      <c r="UAH29" s="145"/>
      <c r="UAO29" s="145"/>
      <c r="UAP29" s="145"/>
      <c r="UAW29" s="145"/>
      <c r="UAX29" s="145"/>
      <c r="UBE29" s="145"/>
      <c r="UBF29" s="145"/>
      <c r="UBM29" s="145"/>
      <c r="UBN29" s="145"/>
      <c r="UBU29" s="145"/>
      <c r="UBV29" s="145"/>
      <c r="UCC29" s="145"/>
      <c r="UCD29" s="145"/>
      <c r="UCK29" s="145"/>
      <c r="UCL29" s="145"/>
      <c r="UCS29" s="145"/>
      <c r="UCT29" s="145"/>
      <c r="UDA29" s="145"/>
      <c r="UDB29" s="145"/>
      <c r="UDI29" s="145"/>
      <c r="UDJ29" s="145"/>
      <c r="UDQ29" s="145"/>
      <c r="UDR29" s="145"/>
      <c r="UDY29" s="145"/>
      <c r="UDZ29" s="145"/>
      <c r="UEG29" s="145"/>
      <c r="UEH29" s="145"/>
      <c r="UEO29" s="145"/>
      <c r="UEP29" s="145"/>
      <c r="UEW29" s="145"/>
      <c r="UEX29" s="145"/>
      <c r="UFE29" s="145"/>
      <c r="UFF29" s="145"/>
      <c r="UFM29" s="145"/>
      <c r="UFN29" s="145"/>
      <c r="UFU29" s="145"/>
      <c r="UFV29" s="145"/>
      <c r="UGC29" s="145"/>
      <c r="UGD29" s="145"/>
      <c r="UGK29" s="145"/>
      <c r="UGL29" s="145"/>
      <c r="UGS29" s="145"/>
      <c r="UGT29" s="145"/>
      <c r="UHA29" s="145"/>
      <c r="UHB29" s="145"/>
      <c r="UHI29" s="145"/>
      <c r="UHJ29" s="145"/>
      <c r="UHQ29" s="145"/>
      <c r="UHR29" s="145"/>
      <c r="UHY29" s="145"/>
      <c r="UHZ29" s="145"/>
      <c r="UIG29" s="145"/>
      <c r="UIH29" s="145"/>
      <c r="UIO29" s="145"/>
      <c r="UIP29" s="145"/>
      <c r="UIW29" s="145"/>
      <c r="UIX29" s="145"/>
      <c r="UJE29" s="145"/>
      <c r="UJF29" s="145"/>
      <c r="UJM29" s="145"/>
      <c r="UJN29" s="145"/>
      <c r="UJU29" s="145"/>
      <c r="UJV29" s="145"/>
      <c r="UKC29" s="145"/>
      <c r="UKD29" s="145"/>
      <c r="UKK29" s="145"/>
      <c r="UKL29" s="145"/>
      <c r="UKS29" s="145"/>
      <c r="UKT29" s="145"/>
      <c r="ULA29" s="145"/>
      <c r="ULB29" s="145"/>
      <c r="ULI29" s="145"/>
      <c r="ULJ29" s="145"/>
      <c r="ULQ29" s="145"/>
      <c r="ULR29" s="145"/>
      <c r="ULY29" s="145"/>
      <c r="ULZ29" s="145"/>
      <c r="UMG29" s="145"/>
      <c r="UMH29" s="145"/>
      <c r="UMO29" s="145"/>
      <c r="UMP29" s="145"/>
      <c r="UMW29" s="145"/>
      <c r="UMX29" s="145"/>
      <c r="UNE29" s="145"/>
      <c r="UNF29" s="145"/>
      <c r="UNM29" s="145"/>
      <c r="UNN29" s="145"/>
      <c r="UNU29" s="145"/>
      <c r="UNV29" s="145"/>
      <c r="UOC29" s="145"/>
      <c r="UOD29" s="145"/>
      <c r="UOK29" s="145"/>
      <c r="UOL29" s="145"/>
      <c r="UOS29" s="145"/>
      <c r="UOT29" s="145"/>
      <c r="UPA29" s="145"/>
      <c r="UPB29" s="145"/>
      <c r="UPI29" s="145"/>
      <c r="UPJ29" s="145"/>
      <c r="UPQ29" s="145"/>
      <c r="UPR29" s="145"/>
      <c r="UPY29" s="145"/>
      <c r="UPZ29" s="145"/>
      <c r="UQG29" s="145"/>
      <c r="UQH29" s="145"/>
      <c r="UQO29" s="145"/>
      <c r="UQP29" s="145"/>
      <c r="UQW29" s="145"/>
      <c r="UQX29" s="145"/>
      <c r="URE29" s="145"/>
      <c r="URF29" s="145"/>
      <c r="URM29" s="145"/>
      <c r="URN29" s="145"/>
      <c r="URU29" s="145"/>
      <c r="URV29" s="145"/>
      <c r="USC29" s="145"/>
      <c r="USD29" s="145"/>
      <c r="USK29" s="145"/>
      <c r="USL29" s="145"/>
      <c r="USS29" s="145"/>
      <c r="UST29" s="145"/>
      <c r="UTA29" s="145"/>
      <c r="UTB29" s="145"/>
      <c r="UTI29" s="145"/>
      <c r="UTJ29" s="145"/>
      <c r="UTQ29" s="145"/>
      <c r="UTR29" s="145"/>
      <c r="UTY29" s="145"/>
      <c r="UTZ29" s="145"/>
      <c r="UUG29" s="145"/>
      <c r="UUH29" s="145"/>
      <c r="UUO29" s="145"/>
      <c r="UUP29" s="145"/>
      <c r="UUW29" s="145"/>
      <c r="UUX29" s="145"/>
      <c r="UVE29" s="145"/>
      <c r="UVF29" s="145"/>
      <c r="UVM29" s="145"/>
      <c r="UVN29" s="145"/>
      <c r="UVU29" s="145"/>
      <c r="UVV29" s="145"/>
      <c r="UWC29" s="145"/>
      <c r="UWD29" s="145"/>
      <c r="UWK29" s="145"/>
      <c r="UWL29" s="145"/>
      <c r="UWS29" s="145"/>
      <c r="UWT29" s="145"/>
      <c r="UXA29" s="145"/>
      <c r="UXB29" s="145"/>
      <c r="UXI29" s="145"/>
      <c r="UXJ29" s="145"/>
      <c r="UXQ29" s="145"/>
      <c r="UXR29" s="145"/>
      <c r="UXY29" s="145"/>
      <c r="UXZ29" s="145"/>
      <c r="UYG29" s="145"/>
      <c r="UYH29" s="145"/>
      <c r="UYO29" s="145"/>
      <c r="UYP29" s="145"/>
      <c r="UYW29" s="145"/>
      <c r="UYX29" s="145"/>
      <c r="UZE29" s="145"/>
      <c r="UZF29" s="145"/>
      <c r="UZM29" s="145"/>
      <c r="UZN29" s="145"/>
      <c r="UZU29" s="145"/>
      <c r="UZV29" s="145"/>
      <c r="VAC29" s="145"/>
      <c r="VAD29" s="145"/>
      <c r="VAK29" s="145"/>
      <c r="VAL29" s="145"/>
      <c r="VAS29" s="145"/>
      <c r="VAT29" s="145"/>
      <c r="VBA29" s="145"/>
      <c r="VBB29" s="145"/>
      <c r="VBI29" s="145"/>
      <c r="VBJ29" s="145"/>
      <c r="VBQ29" s="145"/>
      <c r="VBR29" s="145"/>
      <c r="VBY29" s="145"/>
      <c r="VBZ29" s="145"/>
      <c r="VCG29" s="145"/>
      <c r="VCH29" s="145"/>
      <c r="VCO29" s="145"/>
      <c r="VCP29" s="145"/>
      <c r="VCW29" s="145"/>
      <c r="VCX29" s="145"/>
      <c r="VDE29" s="145"/>
      <c r="VDF29" s="145"/>
      <c r="VDM29" s="145"/>
      <c r="VDN29" s="145"/>
      <c r="VDU29" s="145"/>
      <c r="VDV29" s="145"/>
      <c r="VEC29" s="145"/>
      <c r="VED29" s="145"/>
      <c r="VEK29" s="145"/>
      <c r="VEL29" s="145"/>
      <c r="VES29" s="145"/>
      <c r="VET29" s="145"/>
      <c r="VFA29" s="145"/>
      <c r="VFB29" s="145"/>
      <c r="VFI29" s="145"/>
      <c r="VFJ29" s="145"/>
      <c r="VFQ29" s="145"/>
      <c r="VFR29" s="145"/>
      <c r="VFY29" s="145"/>
      <c r="VFZ29" s="145"/>
      <c r="VGG29" s="145"/>
      <c r="VGH29" s="145"/>
      <c r="VGO29" s="145"/>
      <c r="VGP29" s="145"/>
      <c r="VGW29" s="145"/>
      <c r="VGX29" s="145"/>
      <c r="VHE29" s="145"/>
      <c r="VHF29" s="145"/>
      <c r="VHM29" s="145"/>
      <c r="VHN29" s="145"/>
      <c r="VHU29" s="145"/>
      <c r="VHV29" s="145"/>
      <c r="VIC29" s="145"/>
      <c r="VID29" s="145"/>
      <c r="VIK29" s="145"/>
      <c r="VIL29" s="145"/>
      <c r="VIS29" s="145"/>
      <c r="VIT29" s="145"/>
      <c r="VJA29" s="145"/>
      <c r="VJB29" s="145"/>
      <c r="VJI29" s="145"/>
      <c r="VJJ29" s="145"/>
      <c r="VJQ29" s="145"/>
      <c r="VJR29" s="145"/>
      <c r="VJY29" s="145"/>
      <c r="VJZ29" s="145"/>
      <c r="VKG29" s="145"/>
      <c r="VKH29" s="145"/>
      <c r="VKO29" s="145"/>
      <c r="VKP29" s="145"/>
      <c r="VKW29" s="145"/>
      <c r="VKX29" s="145"/>
      <c r="VLE29" s="145"/>
      <c r="VLF29" s="145"/>
      <c r="VLM29" s="145"/>
      <c r="VLN29" s="145"/>
      <c r="VLU29" s="145"/>
      <c r="VLV29" s="145"/>
      <c r="VMC29" s="145"/>
      <c r="VMD29" s="145"/>
      <c r="VMK29" s="145"/>
      <c r="VML29" s="145"/>
      <c r="VMS29" s="145"/>
      <c r="VMT29" s="145"/>
      <c r="VNA29" s="145"/>
      <c r="VNB29" s="145"/>
      <c r="VNI29" s="145"/>
      <c r="VNJ29" s="145"/>
      <c r="VNQ29" s="145"/>
      <c r="VNR29" s="145"/>
      <c r="VNY29" s="145"/>
      <c r="VNZ29" s="145"/>
      <c r="VOG29" s="145"/>
      <c r="VOH29" s="145"/>
      <c r="VOO29" s="145"/>
      <c r="VOP29" s="145"/>
      <c r="VOW29" s="145"/>
      <c r="VOX29" s="145"/>
      <c r="VPE29" s="145"/>
      <c r="VPF29" s="145"/>
      <c r="VPM29" s="145"/>
      <c r="VPN29" s="145"/>
      <c r="VPU29" s="145"/>
      <c r="VPV29" s="145"/>
      <c r="VQC29" s="145"/>
      <c r="VQD29" s="145"/>
      <c r="VQK29" s="145"/>
      <c r="VQL29" s="145"/>
      <c r="VQS29" s="145"/>
      <c r="VQT29" s="145"/>
      <c r="VRA29" s="145"/>
      <c r="VRB29" s="145"/>
      <c r="VRI29" s="145"/>
      <c r="VRJ29" s="145"/>
      <c r="VRQ29" s="145"/>
      <c r="VRR29" s="145"/>
      <c r="VRY29" s="145"/>
      <c r="VRZ29" s="145"/>
      <c r="VSG29" s="145"/>
      <c r="VSH29" s="145"/>
      <c r="VSO29" s="145"/>
      <c r="VSP29" s="145"/>
      <c r="VSW29" s="145"/>
      <c r="VSX29" s="145"/>
      <c r="VTE29" s="145"/>
      <c r="VTF29" s="145"/>
      <c r="VTM29" s="145"/>
      <c r="VTN29" s="145"/>
      <c r="VTU29" s="145"/>
      <c r="VTV29" s="145"/>
      <c r="VUC29" s="145"/>
      <c r="VUD29" s="145"/>
      <c r="VUK29" s="145"/>
      <c r="VUL29" s="145"/>
      <c r="VUS29" s="145"/>
      <c r="VUT29" s="145"/>
      <c r="VVA29" s="145"/>
      <c r="VVB29" s="145"/>
      <c r="VVI29" s="145"/>
      <c r="VVJ29" s="145"/>
      <c r="VVQ29" s="145"/>
      <c r="VVR29" s="145"/>
      <c r="VVY29" s="145"/>
      <c r="VVZ29" s="145"/>
      <c r="VWG29" s="145"/>
      <c r="VWH29" s="145"/>
      <c r="VWO29" s="145"/>
      <c r="VWP29" s="145"/>
      <c r="VWW29" s="145"/>
      <c r="VWX29" s="145"/>
      <c r="VXE29" s="145"/>
      <c r="VXF29" s="145"/>
      <c r="VXM29" s="145"/>
      <c r="VXN29" s="145"/>
      <c r="VXU29" s="145"/>
      <c r="VXV29" s="145"/>
      <c r="VYC29" s="145"/>
      <c r="VYD29" s="145"/>
      <c r="VYK29" s="145"/>
      <c r="VYL29" s="145"/>
      <c r="VYS29" s="145"/>
      <c r="VYT29" s="145"/>
      <c r="VZA29" s="145"/>
      <c r="VZB29" s="145"/>
      <c r="VZI29" s="145"/>
      <c r="VZJ29" s="145"/>
      <c r="VZQ29" s="145"/>
      <c r="VZR29" s="145"/>
      <c r="VZY29" s="145"/>
      <c r="VZZ29" s="145"/>
      <c r="WAG29" s="145"/>
      <c r="WAH29" s="145"/>
      <c r="WAO29" s="145"/>
      <c r="WAP29" s="145"/>
      <c r="WAW29" s="145"/>
      <c r="WAX29" s="145"/>
      <c r="WBE29" s="145"/>
      <c r="WBF29" s="145"/>
      <c r="WBM29" s="145"/>
      <c r="WBN29" s="145"/>
      <c r="WBU29" s="145"/>
      <c r="WBV29" s="145"/>
      <c r="WCC29" s="145"/>
      <c r="WCD29" s="145"/>
      <c r="WCK29" s="145"/>
      <c r="WCL29" s="145"/>
      <c r="WCS29" s="145"/>
      <c r="WCT29" s="145"/>
      <c r="WDA29" s="145"/>
      <c r="WDB29" s="145"/>
      <c r="WDI29" s="145"/>
      <c r="WDJ29" s="145"/>
      <c r="WDQ29" s="145"/>
      <c r="WDR29" s="145"/>
      <c r="WDY29" s="145"/>
      <c r="WDZ29" s="145"/>
      <c r="WEG29" s="145"/>
      <c r="WEH29" s="145"/>
      <c r="WEO29" s="145"/>
      <c r="WEP29" s="145"/>
      <c r="WEW29" s="145"/>
      <c r="WEX29" s="145"/>
      <c r="WFE29" s="145"/>
      <c r="WFF29" s="145"/>
      <c r="WFM29" s="145"/>
      <c r="WFN29" s="145"/>
      <c r="WFU29" s="145"/>
      <c r="WFV29" s="145"/>
      <c r="WGC29" s="145"/>
      <c r="WGD29" s="145"/>
      <c r="WGK29" s="145"/>
      <c r="WGL29" s="145"/>
      <c r="WGS29" s="145"/>
      <c r="WGT29" s="145"/>
      <c r="WHA29" s="145"/>
      <c r="WHB29" s="145"/>
      <c r="WHI29" s="145"/>
      <c r="WHJ29" s="145"/>
      <c r="WHQ29" s="145"/>
      <c r="WHR29" s="145"/>
      <c r="WHY29" s="145"/>
      <c r="WHZ29" s="145"/>
      <c r="WIG29" s="145"/>
      <c r="WIH29" s="145"/>
      <c r="WIO29" s="145"/>
      <c r="WIP29" s="145"/>
      <c r="WIW29" s="145"/>
      <c r="WIX29" s="145"/>
      <c r="WJE29" s="145"/>
      <c r="WJF29" s="145"/>
      <c r="WJM29" s="145"/>
      <c r="WJN29" s="145"/>
      <c r="WJU29" s="145"/>
      <c r="WJV29" s="145"/>
      <c r="WKC29" s="145"/>
      <c r="WKD29" s="145"/>
      <c r="WKK29" s="145"/>
      <c r="WKL29" s="145"/>
      <c r="WKS29" s="145"/>
      <c r="WKT29" s="145"/>
      <c r="WLA29" s="145"/>
      <c r="WLB29" s="145"/>
      <c r="WLI29" s="145"/>
      <c r="WLJ29" s="145"/>
      <c r="WLQ29" s="145"/>
      <c r="WLR29" s="145"/>
      <c r="WLY29" s="145"/>
      <c r="WLZ29" s="145"/>
      <c r="WMG29" s="145"/>
      <c r="WMH29" s="145"/>
      <c r="WMO29" s="145"/>
      <c r="WMP29" s="145"/>
      <c r="WMW29" s="145"/>
      <c r="WMX29" s="145"/>
      <c r="WNE29" s="145"/>
      <c r="WNF29" s="145"/>
      <c r="WNM29" s="145"/>
      <c r="WNN29" s="145"/>
      <c r="WNU29" s="145"/>
      <c r="WNV29" s="145"/>
      <c r="WOC29" s="145"/>
      <c r="WOD29" s="145"/>
      <c r="WOK29" s="145"/>
      <c r="WOL29" s="145"/>
      <c r="WOS29" s="145"/>
      <c r="WOT29" s="145"/>
      <c r="WPA29" s="145"/>
      <c r="WPB29" s="145"/>
      <c r="WPI29" s="145"/>
      <c r="WPJ29" s="145"/>
      <c r="WPQ29" s="145"/>
      <c r="WPR29" s="145"/>
      <c r="WPY29" s="145"/>
      <c r="WPZ29" s="145"/>
      <c r="WQG29" s="145"/>
      <c r="WQH29" s="145"/>
      <c r="WQO29" s="145"/>
      <c r="WQP29" s="145"/>
      <c r="WQW29" s="145"/>
      <c r="WQX29" s="145"/>
      <c r="WRE29" s="145"/>
      <c r="WRF29" s="145"/>
      <c r="WRM29" s="145"/>
      <c r="WRN29" s="145"/>
      <c r="WRU29" s="145"/>
      <c r="WRV29" s="145"/>
      <c r="WSC29" s="145"/>
      <c r="WSD29" s="145"/>
      <c r="WSK29" s="145"/>
      <c r="WSL29" s="145"/>
      <c r="WSS29" s="145"/>
      <c r="WST29" s="145"/>
      <c r="WTA29" s="145"/>
      <c r="WTB29" s="145"/>
      <c r="WTI29" s="145"/>
      <c r="WTJ29" s="145"/>
      <c r="WTQ29" s="145"/>
      <c r="WTR29" s="145"/>
      <c r="WTY29" s="145"/>
      <c r="WTZ29" s="145"/>
      <c r="WUG29" s="145"/>
      <c r="WUH29" s="145"/>
      <c r="WUO29" s="145"/>
      <c r="WUP29" s="145"/>
      <c r="WUW29" s="145"/>
      <c r="WUX29" s="145"/>
      <c r="WVE29" s="145"/>
      <c r="WVF29" s="145"/>
      <c r="WVM29" s="145"/>
      <c r="WVN29" s="145"/>
      <c r="WVU29" s="145"/>
      <c r="WVV29" s="145"/>
      <c r="WWC29" s="145"/>
      <c r="WWD29" s="145"/>
      <c r="WWK29" s="145"/>
      <c r="WWL29" s="145"/>
      <c r="WWS29" s="145"/>
      <c r="WWT29" s="145"/>
      <c r="WXA29" s="145"/>
      <c r="WXB29" s="145"/>
      <c r="WXI29" s="145"/>
      <c r="WXJ29" s="145"/>
      <c r="WXQ29" s="145"/>
      <c r="WXR29" s="145"/>
      <c r="WXY29" s="145"/>
      <c r="WXZ29" s="145"/>
      <c r="WYG29" s="145"/>
      <c r="WYH29" s="145"/>
      <c r="WYO29" s="145"/>
      <c r="WYP29" s="145"/>
      <c r="WYW29" s="145"/>
      <c r="WYX29" s="145"/>
      <c r="WZE29" s="145"/>
      <c r="WZF29" s="145"/>
      <c r="WZM29" s="145"/>
      <c r="WZN29" s="145"/>
      <c r="WZU29" s="145"/>
      <c r="WZV29" s="145"/>
      <c r="XAC29" s="145"/>
      <c r="XAD29" s="145"/>
      <c r="XAK29" s="145"/>
      <c r="XAL29" s="145"/>
      <c r="XAS29" s="145"/>
      <c r="XAT29" s="145"/>
      <c r="XBA29" s="145"/>
      <c r="XBB29" s="145"/>
      <c r="XBI29" s="145"/>
      <c r="XBJ29" s="145"/>
      <c r="XBQ29" s="145"/>
      <c r="XBR29" s="145"/>
      <c r="XBY29" s="145"/>
      <c r="XBZ29" s="145"/>
      <c r="XCG29" s="145"/>
      <c r="XCH29" s="145"/>
      <c r="XCO29" s="145"/>
      <c r="XCP29" s="145"/>
      <c r="XCW29" s="145"/>
      <c r="XCX29" s="145"/>
      <c r="XDE29" s="145"/>
      <c r="XDF29" s="145"/>
      <c r="XDM29" s="145"/>
      <c r="XDN29" s="145"/>
      <c r="XDU29" s="145"/>
      <c r="XDV29" s="145"/>
      <c r="XEC29" s="145"/>
      <c r="XED29" s="145"/>
      <c r="XEK29" s="145"/>
      <c r="XEL29" s="145"/>
      <c r="XES29" s="145"/>
      <c r="XET29" s="145"/>
      <c r="XFA29" s="145"/>
      <c r="XFB29" s="145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XFD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199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2026-08-18T12:04:11Z</dcterms:modified>
</cp:coreProperties>
</file>