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308" documentId="13_ncr:1_{4854DFB7-E9B4-409C-A843-569908145318}" xr6:coauthVersionLast="47" xr6:coauthVersionMax="47" xr10:uidLastSave="{39355A31-D4C9-46EC-8695-F6F3301DB543}"/>
  <bookViews>
    <workbookView xWindow="-120" yWindow="-120" windowWidth="20730" windowHeight="11040" tabRatio="84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6" l="1"/>
  <c r="J15" i="6"/>
  <c r="J5" i="6"/>
  <c r="J6" i="6"/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<sst xmlns="http://schemas.openxmlformats.org/spreadsheetml/2006/main" count="1087" uniqueCount="396">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</sst>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61"/>
  <sheetViews>
    <sheetView showGridLines="0" tabSelected="1" topLeftCell="J9" workbookViewId="0">
      <selection activeCell="Q19" sqref="Q19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4" hidden="1" x14ac:dyDescent="0.25"/>
    <row r="2" spans="2:14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4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4" ht="15" hidden="1" customHeight="1" x14ac:dyDescent="0.25">
      <c r="B4" s="198"/>
      <c r="C4" s="194"/>
      <c r="D4" s="194"/>
      <c r="E4" s="194"/>
      <c r="F4" s="194"/>
      <c r="G4" s="199"/>
    </row>
    <row r="5" spans="2:14" ht="15" hidden="1" customHeight="1" x14ac:dyDescent="0.25">
      <c r="B5" s="198"/>
      <c r="C5" s="194"/>
      <c r="D5" s="194"/>
      <c r="E5" s="194"/>
      <c r="F5" s="194"/>
      <c r="G5" s="199"/>
    </row>
    <row r="6" spans="2:14" ht="15" hidden="1" customHeight="1" x14ac:dyDescent="0.25">
      <c r="B6" s="198"/>
      <c r="C6" s="194"/>
      <c r="D6" s="194"/>
      <c r="E6" s="194"/>
      <c r="F6" s="194"/>
      <c r="G6" s="199"/>
    </row>
    <row r="7" spans="2:14" ht="15" hidden="1" customHeight="1" x14ac:dyDescent="0.25">
      <c r="B7" s="200"/>
      <c r="C7" s="201"/>
      <c r="D7" s="201"/>
      <c r="E7" s="201"/>
      <c r="F7" s="201"/>
      <c r="G7" s="202"/>
    </row>
    <row r="8" spans="2:14" hidden="1" x14ac:dyDescent="0.25"/>
    <row r="9" spans="2:14" ht="15" customHeight="1" x14ac:dyDescent="0.25">
      <c r="B9" s="1" t="s">
        <v>2</v>
      </c>
    </row>
    <row r="10" spans="2:14" ht="15" customHeight="1" x14ac:dyDescent="0.25">
      <c r="B10" s="2" t="s">
        <v>3</v>
      </c>
      <c r="C10" s="80">
        <v>46277</v>
      </c>
    </row>
    <row r="12" spans="2:14" ht="15" customHeight="1" x14ac:dyDescent="0.25">
      <c r="B12" s="1" t="s">
        <v>4</v>
      </c>
    </row>
    <row r="13" spans="2:14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</row>
    <row r="14" spans="2:14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/>
      <c r="L14" s="79"/>
      <c r="M14" s="78"/>
      <c r="N14" s="79"/>
    </row>
    <row r="15" spans="2:14" ht="15" customHeight="1" x14ac:dyDescent="0.25">
      <c r="B15" s="77" t="s">
        <v>9</v>
      </c>
      <c r="C15" s="78">
        <v>0</v>
      </c>
      <c r="D15" s="79">
        <v>96610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</row>
    <row r="16" spans="2:14" ht="15" customHeight="1" x14ac:dyDescent="0.25">
      <c r="B16" s="77" t="s">
        <v>10</v>
      </c>
      <c r="C16" s="78">
        <v>0</v>
      </c>
      <c r="D16" s="79">
        <v>82860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</row>
    <row r="17" spans="2:14" ht="15" customHeight="1" x14ac:dyDescent="0.25">
      <c r="B17" s="77" t="s">
        <v>11</v>
      </c>
      <c r="C17" s="78">
        <v>0</v>
      </c>
      <c r="D17" s="79">
        <v>82860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</row>
    <row r="18" spans="2:14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/>
      <c r="H18" s="79"/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</row>
    <row r="19" spans="2:14" ht="15" customHeight="1" x14ac:dyDescent="0.25">
      <c r="B19" s="77" t="s">
        <v>13</v>
      </c>
      <c r="C19" s="78">
        <v>0</v>
      </c>
      <c r="D19" s="79">
        <v>47000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</row>
    <row r="20" spans="2:14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47100</v>
      </c>
      <c r="G20" s="78">
        <v>60160</v>
      </c>
      <c r="H20" s="79">
        <v>64880</v>
      </c>
      <c r="I20" s="78">
        <v>71775</v>
      </c>
      <c r="J20" s="79">
        <v>71940</v>
      </c>
      <c r="K20" s="78"/>
      <c r="L20" s="79"/>
      <c r="M20" s="78"/>
      <c r="N20" s="79"/>
    </row>
    <row r="21" spans="2:14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39000</v>
      </c>
      <c r="I21" s="78">
        <v>40120</v>
      </c>
      <c r="J21" s="79">
        <v>45680</v>
      </c>
      <c r="K21" s="78"/>
      <c r="L21" s="79"/>
      <c r="M21" s="78"/>
      <c r="N21" s="79"/>
    </row>
    <row r="22" spans="2:14" ht="15" customHeight="1" x14ac:dyDescent="0.25">
      <c r="B22" s="77" t="s">
        <v>16</v>
      </c>
      <c r="C22" s="78">
        <v>0</v>
      </c>
      <c r="D22" s="79">
        <v>45000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</row>
    <row r="23" spans="2:14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39100</v>
      </c>
      <c r="K23" s="78">
        <v>40100</v>
      </c>
      <c r="L23" s="79">
        <v>40500</v>
      </c>
      <c r="M23" s="78">
        <v>41500</v>
      </c>
      <c r="N23" s="79">
        <v>43400</v>
      </c>
    </row>
    <row r="24" spans="2:14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34980</v>
      </c>
      <c r="G24" s="78"/>
      <c r="H24" s="79"/>
      <c r="I24" s="78"/>
      <c r="J24" s="79"/>
      <c r="K24" s="78"/>
      <c r="L24" s="79"/>
      <c r="M24" s="78"/>
      <c r="N24" s="79"/>
    </row>
    <row r="25" spans="2:14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</row>
    <row r="26" spans="2:14" ht="15" customHeight="1" x14ac:dyDescent="0.25">
      <c r="B26" s="77" t="s">
        <v>20</v>
      </c>
      <c r="C26" s="78">
        <v>8150</v>
      </c>
      <c r="D26" s="79">
        <v>8700</v>
      </c>
      <c r="E26" s="78"/>
      <c r="F26" s="79"/>
      <c r="G26" s="78"/>
      <c r="H26" s="79"/>
      <c r="I26" s="78"/>
      <c r="J26" s="79"/>
      <c r="K26" s="78"/>
      <c r="L26" s="79"/>
      <c r="M26" s="78"/>
      <c r="N26" s="79"/>
    </row>
    <row r="27" spans="2:14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26668</v>
      </c>
      <c r="G27" s="78"/>
      <c r="H27" s="79"/>
      <c r="I27" s="78"/>
      <c r="J27" s="79"/>
      <c r="K27" s="78"/>
      <c r="L27" s="79"/>
      <c r="M27" s="78"/>
      <c r="N27" s="79"/>
    </row>
    <row r="29" spans="2:14" ht="15" customHeight="1" x14ac:dyDescent="0.25">
      <c r="B29" s="1" t="s">
        <v>22</v>
      </c>
    </row>
    <row r="30" spans="2:14" ht="15" customHeight="1" x14ac:dyDescent="0.25">
      <c r="B30" s="2" t="s">
        <v>23</v>
      </c>
      <c r="C30" s="60">
        <v>131260</v>
      </c>
    </row>
    <row r="31" spans="2:14" ht="15" customHeight="1" x14ac:dyDescent="0.25">
      <c r="B31" s="3" t="s">
        <v>24</v>
      </c>
    </row>
    <row r="32" spans="2:14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f>D14</f>
        <v>96640</v>
      </c>
    </row>
    <row r="34" spans="2:5" ht="15" customHeight="1" x14ac:dyDescent="0.25">
      <c r="B34" s="192" t="s">
        <v>29</v>
      </c>
      <c r="C34" s="81">
        <v>97140</v>
      </c>
      <c r="D34" s="81">
        <f>F14</f>
        <v>98340</v>
      </c>
    </row>
    <row r="35" spans="2:5" ht="15" customHeight="1" x14ac:dyDescent="0.25">
      <c r="B35" s="192" t="s">
        <v>30</v>
      </c>
      <c r="C35" s="81">
        <v>101220</v>
      </c>
      <c r="D35" s="81">
        <v>104500</v>
      </c>
    </row>
    <row r="36" spans="2:5" ht="15" customHeight="1" x14ac:dyDescent="0.25">
      <c r="B36" s="192" t="s">
        <v>31</v>
      </c>
      <c r="C36" s="81">
        <v>110100</v>
      </c>
      <c r="D36" s="81">
        <v>110680</v>
      </c>
    </row>
    <row r="37" spans="2:5" ht="15" customHeight="1" x14ac:dyDescent="0.25">
      <c r="B37" s="192" t="s">
        <v>32</v>
      </c>
      <c r="C37" s="81">
        <v>113700</v>
      </c>
      <c r="D37" s="81">
        <v>114720</v>
      </c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9" workbookViewId="0">
      <selection activeCell="J32" sqref="J32:K32"/>
    </sheetView>
  </sheetViews>
  <sheetFormatPr defaultRowHeight="15" x14ac:dyDescent="0.25"/>
  <cols>
    <col min="1" max="1" width="17.28515625" style="7" bestFit="1" customWidth="1"/>
    <col min="2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v>6.838534272852112E-2</v>
      </c>
      <c r="M5" s="62">
        <v>5.4980898342331941E-2</v>
      </c>
      <c r="N5" s="62">
        <v>4.9262025827937761E-2</v>
      </c>
      <c r="O5" s="62">
        <v>7.9219165797931257E-2</v>
      </c>
      <c r="P5" s="62">
        <v>6.3407609757920314E-2</v>
      </c>
      <c r="Q5" s="62">
        <v>6.6420533761949452E-2</v>
      </c>
      <c r="R5" s="62">
        <v>6.4862832753759814E-2</v>
      </c>
      <c r="S5" s="62">
        <v>6.8231813326713797E-2</v>
      </c>
      <c r="T5" s="62">
        <v>7.3676056959709468E-2</v>
      </c>
      <c r="U5" s="62">
        <v>5.5051669806670644E-2</v>
      </c>
      <c r="V5" s="62">
        <v>5.6373363884686056E-2</v>
      </c>
      <c r="W5" s="62">
        <v>4.97874413665923E-2</v>
      </c>
      <c r="X5" s="62">
        <v>7.4454204409100111E-3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0.23832146680305194</v>
      </c>
      <c r="L6" s="62">
        <f t="shared" ref="L6:X6" si="1">L5+K6</f>
        <v>0.30670680953157303</v>
      </c>
      <c r="M6" s="62">
        <f t="shared" si="1"/>
        <v>0.36168770787390497</v>
      </c>
      <c r="N6" s="62">
        <f t="shared" si="1"/>
        <v>0.41094973370184273</v>
      </c>
      <c r="O6" s="62">
        <f t="shared" si="1"/>
        <v>0.49016889949977399</v>
      </c>
      <c r="P6" s="62">
        <f t="shared" si="1"/>
        <v>0.5535765092576943</v>
      </c>
      <c r="Q6" s="62">
        <f t="shared" si="1"/>
        <v>0.61999704301964376</v>
      </c>
      <c r="R6" s="62">
        <f t="shared" si="1"/>
        <v>0.68485987577340357</v>
      </c>
      <c r="S6" s="62">
        <f t="shared" si="1"/>
        <v>0.75309168910011737</v>
      </c>
      <c r="T6" s="62">
        <f t="shared" si="1"/>
        <v>0.82676774605982684</v>
      </c>
      <c r="U6" s="62">
        <f t="shared" si="1"/>
        <v>0.88181941586649748</v>
      </c>
      <c r="V6" s="62">
        <f t="shared" si="1"/>
        <v>0.93819277975118354</v>
      </c>
      <c r="W6" s="62">
        <f t="shared" si="1"/>
        <v>0.98798022111777584</v>
      </c>
      <c r="X6" s="62">
        <f t="shared" si="1"/>
        <v>0.99542564155868585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1.8600000000000005E-2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0.19970000000000002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6.6670982606025331E-2</v>
      </c>
      <c r="M14" s="62">
        <v>5.9593114964889331E-2</v>
      </c>
      <c r="N14" s="62">
        <v>5.6203080462458657E-2</v>
      </c>
      <c r="O14" s="62">
        <v>7.1947067934844719E-2</v>
      </c>
      <c r="P14" s="62">
        <v>6.4043364522890792E-2</v>
      </c>
      <c r="Q14" s="62">
        <v>6.5451590728183809E-2</v>
      </c>
      <c r="R14" s="62">
        <v>6.4690641558152739E-2</v>
      </c>
      <c r="S14" s="62">
        <v>6.5138507184757749E-2</v>
      </c>
      <c r="T14" s="62">
        <v>7.1007960471492521E-2</v>
      </c>
      <c r="U14" s="62">
        <v>5.1315395251485478E-2</v>
      </c>
      <c r="V14" s="62">
        <v>4.5520343246704953E-2</v>
      </c>
      <c r="W14" s="62">
        <v>4.9492344068807148E-2</v>
      </c>
      <c r="X14" s="62">
        <v>2.254641027713597E-2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0.3130501791141217</v>
      </c>
      <c r="M15" s="62">
        <f t="shared" si="3"/>
        <v>0.37264329407901103</v>
      </c>
      <c r="N15" s="62">
        <f t="shared" si="3"/>
        <v>0.42884637454146968</v>
      </c>
      <c r="O15" s="62">
        <f t="shared" si="3"/>
        <v>0.50079344247631441</v>
      </c>
      <c r="P15" s="62">
        <f t="shared" si="3"/>
        <v>0.56483680699920524</v>
      </c>
      <c r="Q15" s="62">
        <f t="shared" si="3"/>
        <v>0.63028839772738909</v>
      </c>
      <c r="R15" s="62">
        <f t="shared" si="3"/>
        <v>0.69497903928554183</v>
      </c>
      <c r="S15" s="62">
        <f t="shared" si="3"/>
        <v>0.76011754647029961</v>
      </c>
      <c r="T15" s="62">
        <f t="shared" si="3"/>
        <v>0.8311255069417921</v>
      </c>
      <c r="U15" s="62">
        <f t="shared" si="3"/>
        <v>0.88244090219327753</v>
      </c>
      <c r="V15" s="62">
        <f t="shared" si="3"/>
        <v>0.92796124543998249</v>
      </c>
      <c r="W15" s="62">
        <f t="shared" si="3"/>
        <v>0.97745358950878969</v>
      </c>
      <c r="X15" s="62">
        <f t="shared" si="3"/>
        <v>0.99999999978592569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7">
        <v>241</v>
      </c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113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7">
        <v>46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48</v>
      </c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97" workbookViewId="0">
      <pane xSplit="1" topLeftCell="N1" activePane="topRight" state="frozen"/>
      <selection pane="topRight" activeCell="U94" sqref="U94:U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53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5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/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1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>
        <v>8</v>
      </c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66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4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28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18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2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/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>
        <v>4</v>
      </c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7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241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14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7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/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10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2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10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9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1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4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8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3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113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10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48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D1" workbookViewId="0">
      <selection activeCell="I8" sqref="I8:S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570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11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51.81818181818182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1415.1000000000004</v>
      </c>
      <c r="J8" s="147">
        <v>1365.1999999999998</v>
      </c>
      <c r="K8" s="147">
        <v>1235.1999999999998</v>
      </c>
      <c r="L8" s="147">
        <v>910.10000000000036</v>
      </c>
      <c r="M8" s="147">
        <v>1235.2000000000007</v>
      </c>
      <c r="N8" s="147">
        <v>1300.2000000000007</v>
      </c>
      <c r="O8" s="147">
        <v>1495.2000000000007</v>
      </c>
      <c r="P8" s="147">
        <v>1430.2000000000007</v>
      </c>
      <c r="Q8" s="147">
        <v>1365.2000000000007</v>
      </c>
      <c r="R8" s="147">
        <v>1430.1999999999989</v>
      </c>
      <c r="S8" s="147">
        <v>1100.5999999999985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56.604000000000013</v>
      </c>
      <c r="J10" s="69">
        <f t="shared" si="5"/>
        <v>50.562962962962956</v>
      </c>
      <c r="K10" s="69">
        <f t="shared" si="5"/>
        <v>49.407999999999994</v>
      </c>
      <c r="L10" s="69">
        <f t="shared" si="5"/>
        <v>56.881250000000023</v>
      </c>
      <c r="M10" s="69">
        <f t="shared" si="5"/>
        <v>51.466666666666697</v>
      </c>
      <c r="N10" s="69">
        <f t="shared" si="5"/>
        <v>54.175000000000033</v>
      </c>
      <c r="O10" s="69">
        <f t="shared" si="5"/>
        <v>55.377777777777801</v>
      </c>
      <c r="P10" s="69">
        <f t="shared" si="5"/>
        <v>55.007692307692338</v>
      </c>
      <c r="Q10" s="69">
        <f t="shared" si="5"/>
        <v>52.507692307692338</v>
      </c>
      <c r="R10" s="69">
        <f t="shared" si="5"/>
        <v>55.007692307692267</v>
      </c>
      <c r="S10" s="69">
        <f t="shared" si="5"/>
        <v>40.762962962962909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4925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8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615.625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22925.699999999997</v>
      </c>
      <c r="J19" s="147">
        <v>19802.599999999991</v>
      </c>
      <c r="K19" s="147">
        <v>16248.100000000006</v>
      </c>
      <c r="L19" s="147">
        <v>12826</v>
      </c>
      <c r="M19" s="147">
        <v>17763.700000000012</v>
      </c>
      <c r="N19" s="147">
        <v>18617.200000000012</v>
      </c>
      <c r="O19" s="147">
        <v>21413.200000000012</v>
      </c>
      <c r="P19" s="147">
        <v>20527.899999999994</v>
      </c>
      <c r="Q19" s="147">
        <v>19826.700000000012</v>
      </c>
      <c r="R19" s="147">
        <v>20484.799999999988</v>
      </c>
      <c r="S19" s="147">
        <v>20484.799999999988</v>
      </c>
      <c r="T19" s="147">
        <v>8318.7999999999302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917.02799999999991</v>
      </c>
      <c r="J21" s="69">
        <f t="shared" si="10"/>
        <v>733.42962962962929</v>
      </c>
      <c r="K21" s="69">
        <f t="shared" si="10"/>
        <v>649.92400000000021</v>
      </c>
      <c r="L21" s="69">
        <f t="shared" si="10"/>
        <v>801.625</v>
      </c>
      <c r="M21" s="69">
        <f t="shared" si="10"/>
        <v>740.15416666666715</v>
      </c>
      <c r="N21" s="69">
        <f t="shared" si="10"/>
        <v>775.71666666666715</v>
      </c>
      <c r="O21" s="69">
        <f t="shared" si="10"/>
        <v>793.08148148148189</v>
      </c>
      <c r="P21" s="69">
        <f t="shared" si="10"/>
        <v>789.53461538461511</v>
      </c>
      <c r="Q21" s="69">
        <f t="shared" si="10"/>
        <v>762.56538461538503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319.95384615384347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13227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7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1889.5714285714287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47573.600000000006</v>
      </c>
      <c r="J30" s="147">
        <v>49997.800000000017</v>
      </c>
      <c r="K30" s="147">
        <v>45378.099999999977</v>
      </c>
      <c r="L30" s="147">
        <v>40451.099999999977</v>
      </c>
      <c r="M30" s="147">
        <v>56267.099999999977</v>
      </c>
      <c r="N30" s="147">
        <v>39979.799999999988</v>
      </c>
      <c r="O30" s="147">
        <v>45290.099999999977</v>
      </c>
      <c r="P30" s="147">
        <v>51371.599999999977</v>
      </c>
      <c r="Q30" s="147">
        <v>54032.100000000035</v>
      </c>
      <c r="R30" s="147">
        <v>34898.699999999953</v>
      </c>
      <c r="S30" s="147">
        <v>43009.599999999977</v>
      </c>
      <c r="T30" s="147">
        <v>50567</v>
      </c>
      <c r="U30" s="147">
        <v>0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1902.9440000000002</v>
      </c>
      <c r="J32" s="69">
        <f t="shared" si="15"/>
        <v>1851.770370370371</v>
      </c>
      <c r="K32" s="69">
        <f t="shared" si="15"/>
        <v>1815.1239999999991</v>
      </c>
      <c r="L32" s="69">
        <f t="shared" si="15"/>
        <v>2528.1937499999985</v>
      </c>
      <c r="M32" s="69">
        <f t="shared" si="15"/>
        <v>2344.4624999999992</v>
      </c>
      <c r="N32" s="69">
        <f t="shared" si="15"/>
        <v>1665.8249999999996</v>
      </c>
      <c r="O32" s="69">
        <f t="shared" si="15"/>
        <v>1677.4111111111104</v>
      </c>
      <c r="P32" s="69">
        <f t="shared" si="15"/>
        <v>1975.8307692307683</v>
      </c>
      <c r="Q32" s="69">
        <f t="shared" si="15"/>
        <v>2078.1576923076937</v>
      </c>
      <c r="R32" s="69">
        <f t="shared" si="15"/>
        <v>1342.2576923076906</v>
      </c>
      <c r="S32" s="69">
        <f t="shared" si="15"/>
        <v>1592.9481481481473</v>
      </c>
      <c r="T32" s="69">
        <f t="shared" si="15"/>
        <v>1944.8846153846155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34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10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3.4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197.79999999999995</v>
      </c>
      <c r="J41" s="147">
        <v>221.20000000000005</v>
      </c>
      <c r="K41" s="147">
        <v>186.20000000000005</v>
      </c>
      <c r="L41" s="147">
        <v>152.40000000000009</v>
      </c>
      <c r="M41" s="147">
        <v>194.20000000000005</v>
      </c>
      <c r="N41" s="147">
        <v>160.70000000000005</v>
      </c>
      <c r="O41" s="147">
        <v>220.20000000000005</v>
      </c>
      <c r="P41" s="147">
        <v>261.20000000000005</v>
      </c>
      <c r="Q41" s="147">
        <v>268.79999999999995</v>
      </c>
      <c r="R41" s="147">
        <v>277.5</v>
      </c>
      <c r="S41" s="147">
        <v>334</v>
      </c>
      <c r="T41" s="147">
        <v>303</v>
      </c>
      <c r="U41" s="147">
        <v>91.400000000000091</v>
      </c>
      <c r="V41" s="147">
        <v>5.3000000000001819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7.9119999999999981</v>
      </c>
      <c r="J43" s="69">
        <f t="shared" si="20"/>
        <v>8.1925925925925949</v>
      </c>
      <c r="K43" s="69">
        <f t="shared" si="20"/>
        <v>7.4480000000000022</v>
      </c>
      <c r="L43" s="69">
        <f t="shared" si="20"/>
        <v>9.5250000000000057</v>
      </c>
      <c r="M43" s="69">
        <f t="shared" si="20"/>
        <v>8.0916666666666686</v>
      </c>
      <c r="N43" s="69">
        <f t="shared" si="20"/>
        <v>6.6958333333333355</v>
      </c>
      <c r="O43" s="69">
        <f t="shared" si="20"/>
        <v>8.1555555555555568</v>
      </c>
      <c r="P43" s="69">
        <f t="shared" si="20"/>
        <v>10.046153846153848</v>
      </c>
      <c r="Q43" s="69">
        <f t="shared" si="20"/>
        <v>10.338461538461537</v>
      </c>
      <c r="R43" s="69">
        <f t="shared" si="20"/>
        <v>10.673076923076923</v>
      </c>
      <c r="S43" s="69">
        <f t="shared" si="20"/>
        <v>12.37037037037037</v>
      </c>
      <c r="T43" s="69">
        <f t="shared" si="20"/>
        <v>11.653846153846153</v>
      </c>
      <c r="U43" s="69">
        <f t="shared" si="20"/>
        <v>3.5153846153846189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6223.5999999999985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5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1244.7199999999998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15114.899999999994</v>
      </c>
      <c r="J52" s="147">
        <v>26442</v>
      </c>
      <c r="K52" s="147">
        <v>17275.800000000003</v>
      </c>
      <c r="L52" s="147">
        <v>19112.099999999991</v>
      </c>
      <c r="M52" s="147">
        <v>24128.100000000006</v>
      </c>
      <c r="N52" s="147">
        <v>13797.700000000012</v>
      </c>
      <c r="O52" s="147">
        <v>18083.700000000012</v>
      </c>
      <c r="P52" s="147">
        <v>22314.5</v>
      </c>
      <c r="Q52" s="147">
        <v>22318.5</v>
      </c>
      <c r="R52" s="147">
        <v>22525.299999999988</v>
      </c>
      <c r="S52" s="147">
        <v>9452</v>
      </c>
      <c r="T52" s="147">
        <v>22008.399999999994</v>
      </c>
      <c r="U52" s="147">
        <v>27246.600000000035</v>
      </c>
      <c r="V52" s="147">
        <v>0</v>
      </c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604.59599999999978</v>
      </c>
      <c r="J54" s="69">
        <f t="shared" si="25"/>
        <v>979.33333333333337</v>
      </c>
      <c r="K54" s="69">
        <f t="shared" si="25"/>
        <v>691.03200000000015</v>
      </c>
      <c r="L54" s="69">
        <f t="shared" si="25"/>
        <v>1194.5062499999995</v>
      </c>
      <c r="M54" s="69">
        <f t="shared" si="25"/>
        <v>1005.3375000000002</v>
      </c>
      <c r="N54" s="69">
        <f t="shared" si="25"/>
        <v>574.90416666666715</v>
      </c>
      <c r="O54" s="69">
        <f t="shared" si="25"/>
        <v>669.76666666666711</v>
      </c>
      <c r="P54" s="69">
        <f t="shared" si="25"/>
        <v>858.25</v>
      </c>
      <c r="Q54" s="69">
        <f t="shared" si="25"/>
        <v>858.40384615384619</v>
      </c>
      <c r="R54" s="69">
        <f t="shared" si="25"/>
        <v>866.35769230769188</v>
      </c>
      <c r="S54" s="69">
        <f t="shared" si="25"/>
        <v>350.07407407407408</v>
      </c>
      <c r="T54" s="69">
        <f t="shared" si="25"/>
        <v>846.47692307692284</v>
      </c>
      <c r="U54" s="69">
        <f t="shared" si="25"/>
        <v>1047.9461538461551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12159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6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2026.5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47080.2</v>
      </c>
      <c r="J63" s="147">
        <v>46453.8</v>
      </c>
      <c r="K63" s="147">
        <v>49636.299999999988</v>
      </c>
      <c r="L63" s="147">
        <v>38737.899999999994</v>
      </c>
      <c r="M63" s="147">
        <v>35118.5</v>
      </c>
      <c r="N63" s="147">
        <v>28270.999999999971</v>
      </c>
      <c r="O63" s="147">
        <v>42923.299999999988</v>
      </c>
      <c r="P63" s="147">
        <v>47202.099999999977</v>
      </c>
      <c r="Q63" s="147">
        <v>48798.400000000023</v>
      </c>
      <c r="R63" s="147">
        <v>49509.700000000012</v>
      </c>
      <c r="S63" s="147">
        <v>52988.799999999988</v>
      </c>
      <c r="T63" s="147">
        <v>46277.700000000012</v>
      </c>
      <c r="U63" s="147">
        <v>33802.599999999977</v>
      </c>
      <c r="V63" s="147">
        <v>0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1883.2079999999999</v>
      </c>
      <c r="J65" s="69">
        <f t="shared" si="29"/>
        <v>1720.5111111111112</v>
      </c>
      <c r="K65" s="69">
        <f t="shared" si="29"/>
        <v>1985.4519999999995</v>
      </c>
      <c r="L65" s="69">
        <f t="shared" si="29"/>
        <v>2421.1187499999996</v>
      </c>
      <c r="M65" s="69">
        <f t="shared" si="29"/>
        <v>1463.2708333333333</v>
      </c>
      <c r="N65" s="69">
        <f t="shared" si="29"/>
        <v>1177.9583333333321</v>
      </c>
      <c r="O65" s="69">
        <f t="shared" si="29"/>
        <v>1589.7518518518514</v>
      </c>
      <c r="P65" s="69">
        <f t="shared" si="29"/>
        <v>1815.4653846153838</v>
      </c>
      <c r="Q65" s="69">
        <f t="shared" si="29"/>
        <v>1876.8615384615393</v>
      </c>
      <c r="R65" s="69">
        <f t="shared" si="29"/>
        <v>1904.2192307692312</v>
      </c>
      <c r="S65" s="69">
        <f t="shared" si="29"/>
        <v>1962.5481481481477</v>
      </c>
      <c r="T65" s="69">
        <f t="shared" si="29"/>
        <v>1779.9115384615388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B1" workbookViewId="0">
      <pane ySplit="3" topLeftCell="A250" activePane="bottomLeft" state="frozen"/>
      <selection pane="bottomLeft" activeCell="K259" sqref="K259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120801.14000000004</v>
      </c>
      <c r="D2" s="35">
        <f t="shared" ref="D2:M2" si="0">SUM(D4:D733)</f>
        <v>123001.82000000002</v>
      </c>
      <c r="E2" s="36">
        <f t="shared" si="0"/>
        <v>29473.518461538464</v>
      </c>
      <c r="F2" s="34">
        <f t="shared" si="0"/>
        <v>182246.36699999991</v>
      </c>
      <c r="G2" s="35">
        <f t="shared" si="0"/>
        <v>183530.03999999995</v>
      </c>
      <c r="H2" s="36">
        <f t="shared" si="0"/>
        <v>52760.916923076889</v>
      </c>
      <c r="I2" s="34">
        <f t="shared" si="0"/>
        <v>2044.4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26440.939999999995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51661.830769230757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358193.69076923071</v>
      </c>
      <c r="Z11" s="5">
        <f t="shared" si="7"/>
        <v>433766.29538461531</v>
      </c>
      <c r="AA11" s="5">
        <f t="shared" si="7"/>
        <v>483766.29538461531</v>
      </c>
      <c r="AB11" s="5">
        <f t="shared" si="7"/>
        <v>533766.29538461531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-29082.209346153948</v>
      </c>
      <c r="Z13" s="5">
        <f t="shared" si="9"/>
        <v>-22957.757730769343</v>
      </c>
      <c r="AA13" s="5">
        <f t="shared" si="9"/>
        <v>-40263.642730769294</v>
      </c>
      <c r="AB13" s="5">
        <f t="shared" si="9"/>
        <v>-26509.977730769315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>
        <v>1345.3200000000004</v>
      </c>
      <c r="E260" s="182">
        <v>893.13692307692304</v>
      </c>
      <c r="F260" s="39"/>
      <c r="G260" s="40">
        <v>1986.8200000000004</v>
      </c>
      <c r="H260" s="182">
        <v>1884.3184615384612</v>
      </c>
      <c r="I260" s="39">
        <v>1118</v>
      </c>
      <c r="J260" s="40"/>
      <c r="K260" s="5">
        <v>666.66666666666663</v>
      </c>
      <c r="L260" s="157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2">
        <v>893.13692307692304</v>
      </c>
      <c r="F261" s="39"/>
      <c r="G261" s="40"/>
      <c r="H261" s="182">
        <v>1884.3184615384612</v>
      </c>
      <c r="I261" s="39"/>
      <c r="J261" s="40"/>
      <c r="K261" s="5">
        <v>666.66666666666663</v>
      </c>
      <c r="L261" s="157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2">
        <v>893.13692307692304</v>
      </c>
      <c r="F262" s="39"/>
      <c r="G262" s="40"/>
      <c r="H262" s="182">
        <v>1884.3184615384612</v>
      </c>
      <c r="I262" s="39"/>
      <c r="J262" s="40"/>
      <c r="K262" s="5">
        <v>666.66666666666663</v>
      </c>
      <c r="L262" s="157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2">
        <v>893.13692307692304</v>
      </c>
      <c r="F263" s="39"/>
      <c r="G263" s="40"/>
      <c r="H263" s="182">
        <v>1884.3184615384612</v>
      </c>
      <c r="I263" s="39"/>
      <c r="J263" s="40"/>
      <c r="K263" s="5">
        <v>666.66666666666663</v>
      </c>
      <c r="L263" s="157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2">
        <v>893.13692307692304</v>
      </c>
      <c r="F264" s="39"/>
      <c r="G264" s="40"/>
      <c r="H264" s="182">
        <v>1884.3184615384612</v>
      </c>
      <c r="I264" s="39"/>
      <c r="J264" s="40"/>
      <c r="K264" s="5">
        <v>666.66666666666663</v>
      </c>
      <c r="L264" s="157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2">
        <v>893.13692307692304</v>
      </c>
      <c r="F265" s="39"/>
      <c r="G265" s="40"/>
      <c r="H265" s="182">
        <v>1884.3184615384612</v>
      </c>
      <c r="I265" s="39"/>
      <c r="J265" s="40"/>
      <c r="K265" s="5">
        <v>666.66666666666663</v>
      </c>
      <c r="L265" s="157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2">
        <v>0</v>
      </c>
      <c r="F266" s="39"/>
      <c r="G266" s="40"/>
      <c r="H266" s="182">
        <v>0</v>
      </c>
      <c r="I266" s="39"/>
      <c r="J266" s="40"/>
      <c r="K266" s="5">
        <v>0</v>
      </c>
      <c r="L266" s="157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2">
        <v>893.13692307692304</v>
      </c>
      <c r="F267" s="39"/>
      <c r="G267" s="40"/>
      <c r="H267" s="182">
        <v>1884.3184615384612</v>
      </c>
      <c r="I267" s="39"/>
      <c r="J267" s="40"/>
      <c r="K267" s="5">
        <v>666.66666666666663</v>
      </c>
      <c r="L267" s="157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2">
        <v>893.13692307692304</v>
      </c>
      <c r="F268" s="39"/>
      <c r="G268" s="40"/>
      <c r="H268" s="182">
        <v>1884.3184615384612</v>
      </c>
      <c r="I268" s="39"/>
      <c r="J268" s="40"/>
      <c r="K268" s="5">
        <v>666.66666666666663</v>
      </c>
      <c r="L268" s="157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2">
        <v>893.13692307692304</v>
      </c>
      <c r="F269" s="39"/>
      <c r="G269" s="40"/>
      <c r="H269" s="182">
        <v>1884.3184615384612</v>
      </c>
      <c r="I269" s="39"/>
      <c r="J269" s="40"/>
      <c r="K269" s="5">
        <v>666.66666666666663</v>
      </c>
      <c r="L269" s="157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2">
        <v>893.13692307692304</v>
      </c>
      <c r="F270" s="39"/>
      <c r="G270" s="40"/>
      <c r="H270" s="182">
        <v>1884.3184615384612</v>
      </c>
      <c r="I270" s="39"/>
      <c r="J270" s="40"/>
      <c r="K270" s="5">
        <v>666.66666666666663</v>
      </c>
      <c r="L270" s="157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2">
        <v>893.13692307692304</v>
      </c>
      <c r="F271" s="39"/>
      <c r="G271" s="40"/>
      <c r="H271" s="182">
        <v>1884.3184615384612</v>
      </c>
      <c r="I271" s="39"/>
      <c r="J271" s="40"/>
      <c r="K271" s="5">
        <v>666.66666666666663</v>
      </c>
      <c r="L271" s="157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2">
        <v>893.13692307692304</v>
      </c>
      <c r="F272" s="39"/>
      <c r="G272" s="40"/>
      <c r="H272" s="182">
        <v>1884.3184615384612</v>
      </c>
      <c r="I272" s="39"/>
      <c r="J272" s="40"/>
      <c r="K272" s="5">
        <v>666.66666666666663</v>
      </c>
      <c r="L272" s="157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P11" sqref="P11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16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8"/>
    </row>
    <row r="4" spans="1:16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f>SUM([1]LASTRO!D2,[1]LASTRO!G2)/1.39</f>
        <v>189335.95683453238</v>
      </c>
      <c r="N15" s="72">
        <v>282288.96999999997</v>
      </c>
      <c r="P15" s="168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2026-09-15T12:46:17Z</dcterms:modified>
  <cp:category/>
  <cp:contentStatus/>
</cp:coreProperties>
</file>