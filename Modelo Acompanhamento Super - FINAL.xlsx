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243" documentId="14_{CE3FE537-96E5-4FB0-9073-76D1D599B153}" xr6:coauthVersionLast="47" xr6:coauthVersionMax="47" xr10:uidLastSave="{A67EBD23-9155-417F-B943-6356C0210EB9}"/>
  <bookViews>
    <workbookView xWindow="-110" yWindow="-110" windowWidth="19420" windowHeight="10300" tabRatio="81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</sheets>
  <definedNames>
    <definedName name="_xlnm._FilterDatabase" localSheetId="2" hidden="1">HISTOGRAMA!$A$93:$BR$116</definedName>
    <definedName name="_xlnm._FilterDatabase" localSheetId="4" hidden="1">LASTRO!$A$3:$AA$368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5" i="11" l="1"/>
  <c r="M733" i="11" l="1"/>
  <c r="M732" i="11"/>
  <c r="M731" i="11"/>
  <c r="M730" i="11"/>
  <c r="M729" i="11"/>
  <c r="M728" i="11"/>
  <c r="M727" i="11"/>
  <c r="M726" i="11"/>
  <c r="M725" i="11"/>
  <c r="M724" i="11"/>
  <c r="M723" i="11"/>
  <c r="M722" i="11"/>
  <c r="M721" i="11"/>
  <c r="M720" i="11"/>
  <c r="M719" i="11"/>
  <c r="M718" i="11"/>
  <c r="M717" i="11"/>
  <c r="M716" i="11"/>
  <c r="M715" i="11"/>
  <c r="M714" i="11"/>
  <c r="M713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99" i="11"/>
  <c r="M698" i="11"/>
  <c r="M697" i="11"/>
  <c r="M696" i="11"/>
  <c r="M695" i="11"/>
  <c r="M694" i="11"/>
  <c r="M693" i="11"/>
  <c r="M692" i="11"/>
  <c r="M691" i="11"/>
  <c r="M690" i="11"/>
  <c r="M689" i="11"/>
  <c r="M688" i="11"/>
  <c r="M687" i="11"/>
  <c r="M686" i="11"/>
  <c r="M685" i="11"/>
  <c r="M684" i="11"/>
  <c r="M683" i="11"/>
  <c r="M682" i="11"/>
  <c r="M681" i="11"/>
  <c r="M680" i="11"/>
  <c r="M679" i="11"/>
  <c r="M678" i="11"/>
  <c r="M677" i="11"/>
  <c r="M676" i="11"/>
  <c r="M675" i="11"/>
  <c r="M674" i="11"/>
  <c r="M673" i="11"/>
  <c r="M672" i="11"/>
  <c r="M671" i="11"/>
  <c r="M670" i="11"/>
  <c r="M669" i="11"/>
  <c r="M668" i="11"/>
  <c r="M667" i="11"/>
  <c r="M666" i="11"/>
  <c r="M665" i="11"/>
  <c r="M664" i="11"/>
  <c r="M663" i="11"/>
  <c r="M662" i="11"/>
  <c r="M661" i="11"/>
  <c r="M660" i="11"/>
  <c r="M659" i="11"/>
  <c r="M658" i="11"/>
  <c r="M657" i="11"/>
  <c r="M656" i="11"/>
  <c r="M655" i="11"/>
  <c r="M654" i="11"/>
  <c r="M653" i="11"/>
  <c r="M652" i="11"/>
  <c r="M651" i="11"/>
  <c r="M650" i="11"/>
  <c r="M649" i="11"/>
  <c r="M648" i="11"/>
  <c r="M647" i="11"/>
  <c r="M646" i="11"/>
  <c r="M645" i="11"/>
  <c r="M644" i="11"/>
  <c r="M643" i="11"/>
  <c r="M642" i="11"/>
  <c r="M641" i="11"/>
  <c r="M640" i="11"/>
  <c r="M639" i="11"/>
  <c r="M638" i="11"/>
  <c r="M637" i="11"/>
  <c r="M636" i="11"/>
  <c r="M635" i="11"/>
  <c r="M634" i="11"/>
  <c r="M633" i="11"/>
  <c r="M632" i="11"/>
  <c r="M631" i="11"/>
  <c r="M630" i="11"/>
  <c r="M629" i="11"/>
  <c r="M628" i="11"/>
  <c r="M627" i="11"/>
  <c r="M626" i="11"/>
  <c r="M625" i="11"/>
  <c r="M624" i="11"/>
  <c r="M623" i="11"/>
  <c r="M622" i="11"/>
  <c r="M621" i="11"/>
  <c r="M620" i="11"/>
  <c r="M619" i="11"/>
  <c r="M618" i="11"/>
  <c r="M617" i="11"/>
  <c r="M616" i="11"/>
  <c r="M615" i="11"/>
  <c r="M614" i="11"/>
  <c r="M613" i="11"/>
  <c r="M612" i="11"/>
  <c r="M611" i="11"/>
  <c r="M610" i="11"/>
  <c r="M609" i="11"/>
  <c r="M608" i="11"/>
  <c r="M607" i="11"/>
  <c r="M606" i="11"/>
  <c r="M605" i="11"/>
  <c r="M604" i="11"/>
  <c r="M603" i="11"/>
  <c r="M602" i="11"/>
  <c r="M601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7" i="11"/>
  <c r="M586" i="11"/>
  <c r="M585" i="11"/>
  <c r="M584" i="11"/>
  <c r="M583" i="11"/>
  <c r="M582" i="11"/>
  <c r="M581" i="11"/>
  <c r="M580" i="11"/>
  <c r="M579" i="11"/>
  <c r="M578" i="11"/>
  <c r="M577" i="11"/>
  <c r="M576" i="11"/>
  <c r="M575" i="11"/>
  <c r="M574" i="11"/>
  <c r="M573" i="11"/>
  <c r="M572" i="11"/>
  <c r="M571" i="11"/>
  <c r="M570" i="11"/>
  <c r="M569" i="11"/>
  <c r="M568" i="11"/>
  <c r="M567" i="11"/>
  <c r="M566" i="11"/>
  <c r="M565" i="11"/>
  <c r="M564" i="11"/>
  <c r="M563" i="11"/>
  <c r="M562" i="11"/>
  <c r="M561" i="11"/>
  <c r="M560" i="11"/>
  <c r="M559" i="11"/>
  <c r="M558" i="11"/>
  <c r="M557" i="11"/>
  <c r="M556" i="11"/>
  <c r="M555" i="11"/>
  <c r="M554" i="11"/>
  <c r="M553" i="11"/>
  <c r="M552" i="11"/>
  <c r="M551" i="11"/>
  <c r="M550" i="11"/>
  <c r="M549" i="11"/>
  <c r="M548" i="11"/>
  <c r="M547" i="11"/>
  <c r="M546" i="11"/>
  <c r="M545" i="11"/>
  <c r="M544" i="11"/>
  <c r="M543" i="11"/>
  <c r="M542" i="11"/>
  <c r="M541" i="11"/>
  <c r="M540" i="11"/>
  <c r="M539" i="11"/>
  <c r="M538" i="11"/>
  <c r="M537" i="11"/>
  <c r="M536" i="11"/>
  <c r="M535" i="11"/>
  <c r="M534" i="11"/>
  <c r="M533" i="11"/>
  <c r="M532" i="11"/>
  <c r="M531" i="11"/>
  <c r="M530" i="11"/>
  <c r="M529" i="11"/>
  <c r="M528" i="11"/>
  <c r="M527" i="11"/>
  <c r="M526" i="11"/>
  <c r="M525" i="11"/>
  <c r="M524" i="11"/>
  <c r="M523" i="11"/>
  <c r="M522" i="11"/>
  <c r="M521" i="11"/>
  <c r="M520" i="11"/>
  <c r="M519" i="11"/>
  <c r="M518" i="11"/>
  <c r="M517" i="11"/>
  <c r="M516" i="11"/>
  <c r="M515" i="11"/>
  <c r="M514" i="11"/>
  <c r="M513" i="11"/>
  <c r="M512" i="11"/>
  <c r="M511" i="11"/>
  <c r="M510" i="11"/>
  <c r="M509" i="11"/>
  <c r="M508" i="11"/>
  <c r="M507" i="11"/>
  <c r="M506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81" i="11"/>
  <c r="M480" i="11"/>
  <c r="M479" i="11"/>
  <c r="M478" i="11"/>
  <c r="M477" i="11"/>
  <c r="M476" i="11"/>
  <c r="M475" i="11"/>
  <c r="M474" i="11"/>
  <c r="M473" i="11"/>
  <c r="M472" i="11"/>
  <c r="M471" i="11"/>
  <c r="M470" i="11"/>
  <c r="M469" i="11"/>
  <c r="M468" i="11"/>
  <c r="M467" i="11"/>
  <c r="M466" i="11"/>
  <c r="M465" i="11"/>
  <c r="M464" i="11"/>
  <c r="M463" i="11"/>
  <c r="M462" i="11"/>
  <c r="M461" i="11"/>
  <c r="M460" i="11"/>
  <c r="M459" i="11"/>
  <c r="M458" i="11"/>
  <c r="M457" i="11"/>
  <c r="M456" i="11"/>
  <c r="M455" i="11"/>
  <c r="M454" i="11"/>
  <c r="M453" i="11"/>
  <c r="M452" i="11"/>
  <c r="M451" i="11"/>
  <c r="M450" i="11"/>
  <c r="M449" i="11"/>
  <c r="M448" i="11"/>
  <c r="M447" i="11"/>
  <c r="M446" i="11"/>
  <c r="M445" i="11"/>
  <c r="M444" i="11"/>
  <c r="M443" i="11"/>
  <c r="M442" i="11"/>
  <c r="M441" i="11"/>
  <c r="M440" i="11"/>
  <c r="M439" i="11"/>
  <c r="M438" i="11"/>
  <c r="M437" i="11"/>
  <c r="M436" i="11"/>
  <c r="M435" i="11"/>
  <c r="M434" i="11"/>
  <c r="M433" i="11"/>
  <c r="M432" i="11"/>
  <c r="M431" i="11"/>
  <c r="M430" i="11"/>
  <c r="M429" i="11"/>
  <c r="M428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403" i="11"/>
  <c r="M402" i="11"/>
  <c r="M401" i="11"/>
  <c r="M400" i="11"/>
  <c r="M399" i="11"/>
  <c r="M398" i="11"/>
  <c r="M397" i="11"/>
  <c r="M396" i="11"/>
  <c r="M395" i="11"/>
  <c r="M394" i="11"/>
  <c r="M393" i="11"/>
  <c r="M392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M356" i="11"/>
  <c r="M355" i="11"/>
  <c r="M354" i="11"/>
  <c r="M353" i="11"/>
  <c r="M352" i="11"/>
  <c r="M351" i="11"/>
  <c r="M350" i="11"/>
  <c r="M349" i="11"/>
  <c r="M348" i="11"/>
  <c r="M347" i="11"/>
  <c r="M346" i="11"/>
  <c r="M345" i="11"/>
  <c r="M344" i="11"/>
  <c r="M343" i="11"/>
  <c r="M342" i="11"/>
  <c r="M341" i="11"/>
  <c r="M340" i="11"/>
  <c r="M339" i="11"/>
  <c r="M338" i="11"/>
  <c r="M337" i="11"/>
  <c r="M336" i="11"/>
  <c r="M335" i="11"/>
  <c r="M334" i="11"/>
  <c r="M333" i="11"/>
  <c r="M332" i="11"/>
  <c r="M331" i="11"/>
  <c r="M330" i="11"/>
  <c r="M329" i="11"/>
  <c r="M328" i="11"/>
  <c r="M327" i="11"/>
  <c r="M326" i="11"/>
  <c r="M325" i="11"/>
  <c r="M324" i="11"/>
  <c r="M323" i="11"/>
  <c r="M322" i="11"/>
  <c r="M321" i="11"/>
  <c r="M320" i="11"/>
  <c r="M319" i="11"/>
  <c r="M318" i="11"/>
  <c r="M317" i="11"/>
  <c r="M316" i="11"/>
  <c r="M315" i="11"/>
  <c r="M314" i="11"/>
  <c r="M313" i="11"/>
  <c r="M312" i="11"/>
  <c r="M311" i="11"/>
  <c r="M310" i="11"/>
  <c r="M309" i="11"/>
  <c r="M308" i="11"/>
  <c r="M307" i="11"/>
  <c r="M306" i="11"/>
  <c r="M305" i="11"/>
  <c r="M304" i="11"/>
  <c r="M303" i="11"/>
  <c r="M302" i="11"/>
  <c r="M301" i="11"/>
  <c r="M300" i="11"/>
  <c r="M299" i="11"/>
  <c r="M298" i="11"/>
  <c r="M297" i="11"/>
  <c r="M296" i="11"/>
  <c r="M295" i="11"/>
  <c r="M294" i="11"/>
  <c r="M293" i="11"/>
  <c r="M292" i="11"/>
  <c r="M291" i="11"/>
  <c r="M290" i="11"/>
  <c r="M289" i="11"/>
  <c r="M288" i="11"/>
  <c r="M287" i="11"/>
  <c r="M286" i="11"/>
  <c r="M285" i="11"/>
  <c r="M284" i="11"/>
  <c r="M283" i="11"/>
  <c r="M282" i="11"/>
  <c r="M281" i="11"/>
  <c r="M280" i="11"/>
  <c r="M279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42" i="11"/>
  <c r="M241" i="11"/>
  <c r="M240" i="11"/>
  <c r="M239" i="11"/>
  <c r="M238" i="11"/>
  <c r="M237" i="11"/>
  <c r="M236" i="11"/>
  <c r="M235" i="11"/>
  <c r="M234" i="11"/>
  <c r="M233" i="11"/>
  <c r="M232" i="11"/>
  <c r="M231" i="11"/>
  <c r="M230" i="11"/>
  <c r="M229" i="11"/>
  <c r="M228" i="11"/>
  <c r="M227" i="11"/>
  <c r="M226" i="11"/>
  <c r="M225" i="11"/>
  <c r="M224" i="11"/>
  <c r="M223" i="11"/>
  <c r="M222" i="11"/>
  <c r="M221" i="11"/>
  <c r="M220" i="11"/>
  <c r="M219" i="11"/>
  <c r="M218" i="11"/>
  <c r="M217" i="11"/>
  <c r="M216" i="11"/>
  <c r="M215" i="11"/>
  <c r="M214" i="11"/>
  <c r="M213" i="11"/>
  <c r="M212" i="11"/>
  <c r="M211" i="11"/>
  <c r="M210" i="11"/>
  <c r="M209" i="11"/>
  <c r="M208" i="11"/>
  <c r="M207" i="11"/>
  <c r="M206" i="11"/>
  <c r="L2" i="11"/>
  <c r="J2" i="11"/>
  <c r="I2" i="11"/>
  <c r="H2" i="11"/>
  <c r="E2" i="11"/>
  <c r="D14" i="1"/>
  <c r="M2" i="11" l="1"/>
  <c r="K2" i="11" l="1"/>
  <c r="U10" i="8" l="1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G51" i="8"/>
  <c r="G40" i="8"/>
  <c r="G29" i="8"/>
  <c r="G18" i="8"/>
  <c r="G7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B62" i="8"/>
  <c r="C62" i="8"/>
  <c r="D62" i="8"/>
  <c r="E62" i="8"/>
  <c r="F62" i="8"/>
  <c r="G65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B51" i="8"/>
  <c r="C51" i="8"/>
  <c r="D51" i="8"/>
  <c r="E51" i="8"/>
  <c r="F51" i="8"/>
  <c r="V54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B40" i="8"/>
  <c r="C40" i="8"/>
  <c r="D40" i="8"/>
  <c r="E40" i="8"/>
  <c r="F40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B29" i="8"/>
  <c r="C29" i="8"/>
  <c r="D29" i="8"/>
  <c r="E29" i="8"/>
  <c r="F29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B18" i="8"/>
  <c r="C18" i="8"/>
  <c r="D18" i="8"/>
  <c r="E18" i="8"/>
  <c r="F18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B7" i="8"/>
  <c r="C7" i="8"/>
  <c r="D7" i="8"/>
  <c r="E7" i="8"/>
  <c r="F7" i="8"/>
  <c r="H37" i="6"/>
  <c r="G37" i="6"/>
  <c r="F37" i="6"/>
  <c r="E37" i="6"/>
  <c r="D37" i="6"/>
  <c r="C37" i="6"/>
  <c r="B37" i="6"/>
  <c r="H32" i="6"/>
  <c r="G32" i="6"/>
  <c r="F32" i="6"/>
  <c r="E32" i="6"/>
  <c r="D32" i="6"/>
  <c r="C32" i="6"/>
  <c r="B32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C88" i="7"/>
  <c r="BC84" i="7"/>
  <c r="BC86" i="7"/>
  <c r="BC85" i="7"/>
  <c r="BC83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5" i="7"/>
  <c r="BC114" i="7"/>
  <c r="BC113" i="7"/>
  <c r="BC112" i="7"/>
  <c r="BC111" i="7"/>
  <c r="BC110" i="7"/>
  <c r="BC109" i="7"/>
  <c r="BC108" i="7"/>
  <c r="BC107" i="7"/>
  <c r="BC106" i="7"/>
  <c r="BC105" i="7"/>
  <c r="BC104" i="7"/>
  <c r="BC103" i="7"/>
  <c r="BC102" i="7"/>
  <c r="BC101" i="7"/>
  <c r="BC100" i="7"/>
  <c r="BC99" i="7"/>
  <c r="BC98" i="7"/>
  <c r="BC97" i="7"/>
  <c r="BC96" i="7"/>
  <c r="BC95" i="7"/>
  <c r="BC94" i="7"/>
  <c r="BC89" i="7"/>
  <c r="BC87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2" i="7"/>
  <c r="BC31" i="7"/>
  <c r="BC30" i="7"/>
  <c r="BC29" i="7"/>
  <c r="BC28" i="7"/>
  <c r="BC27" i="7"/>
  <c r="BC26" i="7"/>
  <c r="BC25" i="7"/>
  <c r="BC24" i="7"/>
  <c r="BC23" i="7"/>
  <c r="BC22" i="7"/>
  <c r="BC21" i="7"/>
  <c r="BC20" i="7"/>
  <c r="BC19" i="7"/>
  <c r="BC18" i="7"/>
  <c r="BC17" i="7"/>
  <c r="BC16" i="7"/>
  <c r="BC15" i="7"/>
  <c r="BC14" i="7"/>
  <c r="BC13" i="7"/>
  <c r="BC12" i="7"/>
  <c r="BC11" i="7"/>
  <c r="BC10" i="7"/>
  <c r="BC9" i="7"/>
  <c r="BC8" i="7"/>
  <c r="BC7" i="7"/>
  <c r="BC6" i="7"/>
  <c r="BC5" i="7"/>
  <c r="BC4" i="7"/>
  <c r="BC3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I32" i="6" s="1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H17" i="6"/>
  <c r="H15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D17" i="6"/>
  <c r="E17" i="6" s="1"/>
  <c r="F17" i="6" s="1"/>
  <c r="G17" i="6" s="1"/>
  <c r="C17" i="6"/>
  <c r="B17" i="6"/>
  <c r="H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I8" i="6"/>
  <c r="BC116" i="7" l="1"/>
  <c r="B8" i="6" l="1"/>
  <c r="C8" i="6" s="1"/>
  <c r="D8" i="6" s="1"/>
  <c r="E8" i="6" s="1"/>
  <c r="F8" i="6" s="1"/>
  <c r="G8" i="6" s="1"/>
  <c r="H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B4" i="11" l="1"/>
  <c r="A5" i="11"/>
  <c r="A6" i="11" l="1"/>
  <c r="A7" i="11" s="1"/>
  <c r="B5" i="11"/>
  <c r="B6" i="11" l="1"/>
  <c r="A8" i="11"/>
  <c r="B7" i="11"/>
  <c r="A9" i="11" l="1"/>
  <c r="B8" i="11"/>
  <c r="A10" i="11" l="1"/>
  <c r="B9" i="11"/>
  <c r="A11" i="11" l="1"/>
  <c r="B10" i="11"/>
  <c r="A12" i="11" l="1"/>
  <c r="B11" i="11"/>
  <c r="A13" i="11" l="1"/>
  <c r="B12" i="11"/>
  <c r="A14" i="11" l="1"/>
  <c r="B13" i="11"/>
  <c r="A15" i="11" l="1"/>
  <c r="B14" i="11"/>
  <c r="A16" i="11" l="1"/>
  <c r="B15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A25" i="11" l="1"/>
  <c r="B24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A35" i="11" l="1"/>
  <c r="B34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A45" i="11" l="1"/>
  <c r="B44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A55" i="11" l="1"/>
  <c r="B54" i="11"/>
  <c r="A56" i="11" l="1"/>
  <c r="B55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A65" i="11" l="1"/>
  <c r="B64" i="11"/>
  <c r="A66" i="11" l="1"/>
  <c r="B65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A75" i="11" l="1"/>
  <c r="B74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A85" i="11" l="1"/>
  <c r="B84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A95" i="11" l="1"/>
  <c r="B94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A105" i="11" l="1"/>
  <c r="B104" i="11"/>
  <c r="A106" i="11" l="1"/>
  <c r="B105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BB115" i="7"/>
  <c r="BA115" i="7"/>
  <c r="AZ115" i="7"/>
  <c r="AY115" i="7"/>
  <c r="AX115" i="7"/>
  <c r="AW115" i="7"/>
  <c r="AV115" i="7"/>
  <c r="BB114" i="7"/>
  <c r="BA114" i="7"/>
  <c r="AZ114" i="7"/>
  <c r="AY114" i="7"/>
  <c r="AX114" i="7"/>
  <c r="AW114" i="7"/>
  <c r="AV114" i="7"/>
  <c r="BB113" i="7"/>
  <c r="BA113" i="7"/>
  <c r="AZ113" i="7"/>
  <c r="AY113" i="7"/>
  <c r="AX113" i="7"/>
  <c r="AW113" i="7"/>
  <c r="AV113" i="7"/>
  <c r="BB112" i="7"/>
  <c r="BA112" i="7"/>
  <c r="AZ112" i="7"/>
  <c r="AY112" i="7"/>
  <c r="AX112" i="7"/>
  <c r="AW112" i="7"/>
  <c r="AV112" i="7"/>
  <c r="BB111" i="7"/>
  <c r="BA111" i="7"/>
  <c r="AZ111" i="7"/>
  <c r="AY111" i="7"/>
  <c r="AX111" i="7"/>
  <c r="AW111" i="7"/>
  <c r="AV111" i="7"/>
  <c r="BB110" i="7"/>
  <c r="BA110" i="7"/>
  <c r="AZ110" i="7"/>
  <c r="AY110" i="7"/>
  <c r="AX110" i="7"/>
  <c r="AW110" i="7"/>
  <c r="AV110" i="7"/>
  <c r="BB109" i="7"/>
  <c r="BA109" i="7"/>
  <c r="AZ109" i="7"/>
  <c r="AY109" i="7"/>
  <c r="AX109" i="7"/>
  <c r="AW109" i="7"/>
  <c r="AV109" i="7"/>
  <c r="BB108" i="7"/>
  <c r="BA108" i="7"/>
  <c r="AZ108" i="7"/>
  <c r="AY108" i="7"/>
  <c r="AX108" i="7"/>
  <c r="AW108" i="7"/>
  <c r="AV108" i="7"/>
  <c r="BB107" i="7"/>
  <c r="BA107" i="7"/>
  <c r="AZ107" i="7"/>
  <c r="AY107" i="7"/>
  <c r="AX107" i="7"/>
  <c r="AW107" i="7"/>
  <c r="AV107" i="7"/>
  <c r="BB106" i="7"/>
  <c r="BA106" i="7"/>
  <c r="AZ106" i="7"/>
  <c r="AY106" i="7"/>
  <c r="AX106" i="7"/>
  <c r="AW106" i="7"/>
  <c r="AV106" i="7"/>
  <c r="BB105" i="7"/>
  <c r="BA105" i="7"/>
  <c r="AZ105" i="7"/>
  <c r="AY105" i="7"/>
  <c r="AX105" i="7"/>
  <c r="AW105" i="7"/>
  <c r="AV105" i="7"/>
  <c r="BB104" i="7"/>
  <c r="BA104" i="7"/>
  <c r="AZ104" i="7"/>
  <c r="AY104" i="7"/>
  <c r="AX104" i="7"/>
  <c r="AW104" i="7"/>
  <c r="AV104" i="7"/>
  <c r="BB103" i="7"/>
  <c r="BA103" i="7"/>
  <c r="AZ103" i="7"/>
  <c r="AY103" i="7"/>
  <c r="AX103" i="7"/>
  <c r="AW103" i="7"/>
  <c r="AV103" i="7"/>
  <c r="BB102" i="7"/>
  <c r="BA102" i="7"/>
  <c r="AZ102" i="7"/>
  <c r="AY102" i="7"/>
  <c r="AX102" i="7"/>
  <c r="AW102" i="7"/>
  <c r="AV102" i="7"/>
  <c r="BB101" i="7"/>
  <c r="BA101" i="7"/>
  <c r="AZ101" i="7"/>
  <c r="AY101" i="7"/>
  <c r="AX101" i="7"/>
  <c r="AW101" i="7"/>
  <c r="AV101" i="7"/>
  <c r="BB100" i="7"/>
  <c r="BA100" i="7"/>
  <c r="AZ100" i="7"/>
  <c r="AY100" i="7"/>
  <c r="AX100" i="7"/>
  <c r="AW100" i="7"/>
  <c r="AV100" i="7"/>
  <c r="BB99" i="7"/>
  <c r="BA99" i="7"/>
  <c r="AZ99" i="7"/>
  <c r="AY99" i="7"/>
  <c r="AX99" i="7"/>
  <c r="AW99" i="7"/>
  <c r="AV99" i="7"/>
  <c r="BB98" i="7"/>
  <c r="BA98" i="7"/>
  <c r="AZ98" i="7"/>
  <c r="AY98" i="7"/>
  <c r="AX98" i="7"/>
  <c r="AW98" i="7"/>
  <c r="AV98" i="7"/>
  <c r="BB97" i="7"/>
  <c r="BA97" i="7"/>
  <c r="AZ97" i="7"/>
  <c r="AY97" i="7"/>
  <c r="AX97" i="7"/>
  <c r="AW97" i="7"/>
  <c r="AV97" i="7"/>
  <c r="BB96" i="7"/>
  <c r="BA96" i="7"/>
  <c r="AZ96" i="7"/>
  <c r="AY96" i="7"/>
  <c r="AX96" i="7"/>
  <c r="AW96" i="7"/>
  <c r="AV96" i="7"/>
  <c r="BB95" i="7"/>
  <c r="BA95" i="7"/>
  <c r="AZ95" i="7"/>
  <c r="AY95" i="7"/>
  <c r="AX95" i="7"/>
  <c r="AW95" i="7"/>
  <c r="AV95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89" i="7"/>
  <c r="BA89" i="7"/>
  <c r="AZ89" i="7"/>
  <c r="AY89" i="7"/>
  <c r="AX89" i="7"/>
  <c r="AW89" i="7"/>
  <c r="AV89" i="7"/>
  <c r="BB88" i="7"/>
  <c r="BA88" i="7"/>
  <c r="AZ88" i="7"/>
  <c r="AY88" i="7"/>
  <c r="AX88" i="7"/>
  <c r="AW88" i="7"/>
  <c r="AV88" i="7"/>
  <c r="BB87" i="7"/>
  <c r="BA87" i="7"/>
  <c r="BA90" i="7" s="1"/>
  <c r="AZ87" i="7"/>
  <c r="AY87" i="7"/>
  <c r="AX87" i="7"/>
  <c r="AW87" i="7"/>
  <c r="AV87" i="7"/>
  <c r="BB86" i="7"/>
  <c r="BA86" i="7"/>
  <c r="AZ86" i="7"/>
  <c r="AY86" i="7"/>
  <c r="AX86" i="7"/>
  <c r="AW86" i="7"/>
  <c r="AV86" i="7"/>
  <c r="BB85" i="7"/>
  <c r="BA85" i="7"/>
  <c r="AZ85" i="7"/>
  <c r="AY85" i="7"/>
  <c r="AX85" i="7"/>
  <c r="AW85" i="7"/>
  <c r="AV85" i="7"/>
  <c r="BB84" i="7"/>
  <c r="BA84" i="7"/>
  <c r="AZ84" i="7"/>
  <c r="AY84" i="7"/>
  <c r="AX84" i="7"/>
  <c r="AW84" i="7"/>
  <c r="AV84" i="7"/>
  <c r="AV90" i="7" s="1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8" i="7"/>
  <c r="BA78" i="7"/>
  <c r="AZ78" i="7"/>
  <c r="AY78" i="7"/>
  <c r="AX78" i="7"/>
  <c r="AW78" i="7"/>
  <c r="AV78" i="7"/>
  <c r="BB77" i="7"/>
  <c r="BA77" i="7"/>
  <c r="AZ77" i="7"/>
  <c r="AY77" i="7"/>
  <c r="AX77" i="7"/>
  <c r="AW77" i="7"/>
  <c r="AV77" i="7"/>
  <c r="BB76" i="7"/>
  <c r="BA76" i="7"/>
  <c r="AZ76" i="7"/>
  <c r="AY76" i="7"/>
  <c r="AX76" i="7"/>
  <c r="AW76" i="7"/>
  <c r="AV76" i="7"/>
  <c r="BB75" i="7"/>
  <c r="BA75" i="7"/>
  <c r="AZ75" i="7"/>
  <c r="AY75" i="7"/>
  <c r="AX75" i="7"/>
  <c r="AW75" i="7"/>
  <c r="AV75" i="7"/>
  <c r="BB74" i="7"/>
  <c r="BA74" i="7"/>
  <c r="AZ74" i="7"/>
  <c r="AY74" i="7"/>
  <c r="AX74" i="7"/>
  <c r="AW74" i="7"/>
  <c r="AV74" i="7"/>
  <c r="BB73" i="7"/>
  <c r="BA73" i="7"/>
  <c r="AZ73" i="7"/>
  <c r="AY73" i="7"/>
  <c r="AX73" i="7"/>
  <c r="AW73" i="7"/>
  <c r="AV73" i="7"/>
  <c r="BB72" i="7"/>
  <c r="BA72" i="7"/>
  <c r="AZ72" i="7"/>
  <c r="AY72" i="7"/>
  <c r="AX72" i="7"/>
  <c r="AW72" i="7"/>
  <c r="AV72" i="7"/>
  <c r="BB71" i="7"/>
  <c r="BA71" i="7"/>
  <c r="AZ71" i="7"/>
  <c r="AY71" i="7"/>
  <c r="AX71" i="7"/>
  <c r="AW71" i="7"/>
  <c r="AV71" i="7"/>
  <c r="BB70" i="7"/>
  <c r="BA70" i="7"/>
  <c r="AZ70" i="7"/>
  <c r="AY70" i="7"/>
  <c r="AX70" i="7"/>
  <c r="AW70" i="7"/>
  <c r="AV70" i="7"/>
  <c r="BB69" i="7"/>
  <c r="BA69" i="7"/>
  <c r="AZ69" i="7"/>
  <c r="AY69" i="7"/>
  <c r="AX69" i="7"/>
  <c r="AW69" i="7"/>
  <c r="AV69" i="7"/>
  <c r="BB68" i="7"/>
  <c r="BA68" i="7"/>
  <c r="AZ68" i="7"/>
  <c r="AY68" i="7"/>
  <c r="AX68" i="7"/>
  <c r="AW68" i="7"/>
  <c r="AV68" i="7"/>
  <c r="BB67" i="7"/>
  <c r="BA67" i="7"/>
  <c r="AZ67" i="7"/>
  <c r="AY67" i="7"/>
  <c r="AX67" i="7"/>
  <c r="AW67" i="7"/>
  <c r="AV67" i="7"/>
  <c r="BB66" i="7"/>
  <c r="BA66" i="7"/>
  <c r="AZ66" i="7"/>
  <c r="AY66" i="7"/>
  <c r="AX66" i="7"/>
  <c r="AW66" i="7"/>
  <c r="AV66" i="7"/>
  <c r="BB65" i="7"/>
  <c r="BA65" i="7"/>
  <c r="AZ65" i="7"/>
  <c r="AY65" i="7"/>
  <c r="AX65" i="7"/>
  <c r="AW65" i="7"/>
  <c r="AV65" i="7"/>
  <c r="BB64" i="7"/>
  <c r="BA64" i="7"/>
  <c r="AZ64" i="7"/>
  <c r="AY64" i="7"/>
  <c r="AX64" i="7"/>
  <c r="AW64" i="7"/>
  <c r="AV64" i="7"/>
  <c r="BB63" i="7"/>
  <c r="BA63" i="7"/>
  <c r="AZ63" i="7"/>
  <c r="AY63" i="7"/>
  <c r="AX63" i="7"/>
  <c r="AW63" i="7"/>
  <c r="AV63" i="7"/>
  <c r="BB62" i="7"/>
  <c r="BA62" i="7"/>
  <c r="AZ62" i="7"/>
  <c r="AY62" i="7"/>
  <c r="AX62" i="7"/>
  <c r="AW62" i="7"/>
  <c r="AV62" i="7"/>
  <c r="BB61" i="7"/>
  <c r="BA61" i="7"/>
  <c r="AZ61" i="7"/>
  <c r="AY61" i="7"/>
  <c r="AX61" i="7"/>
  <c r="AW61" i="7"/>
  <c r="AV61" i="7"/>
  <c r="BB60" i="7"/>
  <c r="BA60" i="7"/>
  <c r="AZ60" i="7"/>
  <c r="AY60" i="7"/>
  <c r="AX60" i="7"/>
  <c r="AW60" i="7"/>
  <c r="AV60" i="7"/>
  <c r="BB59" i="7"/>
  <c r="BA59" i="7"/>
  <c r="AZ59" i="7"/>
  <c r="AY59" i="7"/>
  <c r="AX59" i="7"/>
  <c r="AW59" i="7"/>
  <c r="AV59" i="7"/>
  <c r="BB58" i="7"/>
  <c r="BA58" i="7"/>
  <c r="AZ58" i="7"/>
  <c r="AY58" i="7"/>
  <c r="AX58" i="7"/>
  <c r="AW58" i="7"/>
  <c r="AV58" i="7"/>
  <c r="BB57" i="7"/>
  <c r="BA57" i="7"/>
  <c r="AZ57" i="7"/>
  <c r="AY57" i="7"/>
  <c r="AX57" i="7"/>
  <c r="AW57" i="7"/>
  <c r="AV57" i="7"/>
  <c r="BB56" i="7"/>
  <c r="BA56" i="7"/>
  <c r="AZ56" i="7"/>
  <c r="AY56" i="7"/>
  <c r="AX56" i="7"/>
  <c r="AW56" i="7"/>
  <c r="AV56" i="7"/>
  <c r="BB55" i="7"/>
  <c r="BA55" i="7"/>
  <c r="AZ55" i="7"/>
  <c r="AY55" i="7"/>
  <c r="AX55" i="7"/>
  <c r="AW55" i="7"/>
  <c r="AV55" i="7"/>
  <c r="BB54" i="7"/>
  <c r="BA54" i="7"/>
  <c r="AZ54" i="7"/>
  <c r="AY54" i="7"/>
  <c r="AX54" i="7"/>
  <c r="AW54" i="7"/>
  <c r="AV54" i="7"/>
  <c r="BB53" i="7"/>
  <c r="BA53" i="7"/>
  <c r="AZ53" i="7"/>
  <c r="AY53" i="7"/>
  <c r="AX53" i="7"/>
  <c r="AW53" i="7"/>
  <c r="AV53" i="7"/>
  <c r="BB52" i="7"/>
  <c r="BA52" i="7"/>
  <c r="AZ52" i="7"/>
  <c r="AY52" i="7"/>
  <c r="AX52" i="7"/>
  <c r="AW52" i="7"/>
  <c r="AV52" i="7"/>
  <c r="BB51" i="7"/>
  <c r="BA51" i="7"/>
  <c r="AZ51" i="7"/>
  <c r="AY51" i="7"/>
  <c r="AX51" i="7"/>
  <c r="AW51" i="7"/>
  <c r="AV51" i="7"/>
  <c r="BB50" i="7"/>
  <c r="BA50" i="7"/>
  <c r="AZ50" i="7"/>
  <c r="AY50" i="7"/>
  <c r="AX50" i="7"/>
  <c r="AW50" i="7"/>
  <c r="AV50" i="7"/>
  <c r="BB49" i="7"/>
  <c r="BA49" i="7"/>
  <c r="AZ49" i="7"/>
  <c r="AY49" i="7"/>
  <c r="AX49" i="7"/>
  <c r="AW49" i="7"/>
  <c r="AV49" i="7"/>
  <c r="BB48" i="7"/>
  <c r="BA48" i="7"/>
  <c r="AZ48" i="7"/>
  <c r="AY48" i="7"/>
  <c r="AX48" i="7"/>
  <c r="AW48" i="7"/>
  <c r="AV48" i="7"/>
  <c r="BB47" i="7"/>
  <c r="BA47" i="7"/>
  <c r="AZ47" i="7"/>
  <c r="AY47" i="7"/>
  <c r="AX47" i="7"/>
  <c r="AW47" i="7"/>
  <c r="AV47" i="7"/>
  <c r="BB46" i="7"/>
  <c r="BA46" i="7"/>
  <c r="AZ46" i="7"/>
  <c r="AY46" i="7"/>
  <c r="AX46" i="7"/>
  <c r="AW46" i="7"/>
  <c r="AV46" i="7"/>
  <c r="BB45" i="7"/>
  <c r="BA45" i="7"/>
  <c r="AZ45" i="7"/>
  <c r="AY45" i="7"/>
  <c r="AX45" i="7"/>
  <c r="AW45" i="7"/>
  <c r="AV45" i="7"/>
  <c r="BB44" i="7"/>
  <c r="BA44" i="7"/>
  <c r="AZ44" i="7"/>
  <c r="AY44" i="7"/>
  <c r="AX44" i="7"/>
  <c r="AW44" i="7"/>
  <c r="AV44" i="7"/>
  <c r="BB43" i="7"/>
  <c r="BA43" i="7"/>
  <c r="AZ43" i="7"/>
  <c r="AY43" i="7"/>
  <c r="AX43" i="7"/>
  <c r="AW43" i="7"/>
  <c r="AV43" i="7"/>
  <c r="BB42" i="7"/>
  <c r="BA42" i="7"/>
  <c r="AZ42" i="7"/>
  <c r="AY42" i="7"/>
  <c r="AX42" i="7"/>
  <c r="AW42" i="7"/>
  <c r="AV42" i="7"/>
  <c r="BB41" i="7"/>
  <c r="BA41" i="7"/>
  <c r="AZ41" i="7"/>
  <c r="AY41" i="7"/>
  <c r="AX41" i="7"/>
  <c r="AW41" i="7"/>
  <c r="AV41" i="7"/>
  <c r="BB40" i="7"/>
  <c r="BA40" i="7"/>
  <c r="AZ40" i="7"/>
  <c r="AY40" i="7"/>
  <c r="AX40" i="7"/>
  <c r="AW40" i="7"/>
  <c r="AV40" i="7"/>
  <c r="BB39" i="7"/>
  <c r="BA39" i="7"/>
  <c r="AZ39" i="7"/>
  <c r="AY39" i="7"/>
  <c r="AX39" i="7"/>
  <c r="AW39" i="7"/>
  <c r="AV39" i="7"/>
  <c r="BB38" i="7"/>
  <c r="BA38" i="7"/>
  <c r="AZ38" i="7"/>
  <c r="AY38" i="7"/>
  <c r="AX38" i="7"/>
  <c r="AW38" i="7"/>
  <c r="AV38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2" i="7"/>
  <c r="BA32" i="7"/>
  <c r="AZ32" i="7"/>
  <c r="AY32" i="7"/>
  <c r="AX32" i="7"/>
  <c r="AW32" i="7"/>
  <c r="BB31" i="7"/>
  <c r="BA31" i="7"/>
  <c r="AZ31" i="7"/>
  <c r="AY31" i="7"/>
  <c r="AX31" i="7"/>
  <c r="AW31" i="7"/>
  <c r="BB30" i="7"/>
  <c r="BA30" i="7"/>
  <c r="AZ30" i="7"/>
  <c r="AY30" i="7"/>
  <c r="AX30" i="7"/>
  <c r="AW30" i="7"/>
  <c r="BB29" i="7"/>
  <c r="BA29" i="7"/>
  <c r="AZ29" i="7"/>
  <c r="AY29" i="7"/>
  <c r="AX29" i="7"/>
  <c r="AW29" i="7"/>
  <c r="BB28" i="7"/>
  <c r="BA28" i="7"/>
  <c r="AZ28" i="7"/>
  <c r="AY28" i="7"/>
  <c r="AX28" i="7"/>
  <c r="AW28" i="7"/>
  <c r="BB27" i="7"/>
  <c r="BA27" i="7"/>
  <c r="AZ27" i="7"/>
  <c r="AY27" i="7"/>
  <c r="AX27" i="7"/>
  <c r="AW27" i="7"/>
  <c r="BB26" i="7"/>
  <c r="BA26" i="7"/>
  <c r="AZ26" i="7"/>
  <c r="AY26" i="7"/>
  <c r="AX26" i="7"/>
  <c r="AW26" i="7"/>
  <c r="BB25" i="7"/>
  <c r="BA25" i="7"/>
  <c r="AZ25" i="7"/>
  <c r="AY25" i="7"/>
  <c r="AX25" i="7"/>
  <c r="AW25" i="7"/>
  <c r="BB24" i="7"/>
  <c r="BA24" i="7"/>
  <c r="AZ24" i="7"/>
  <c r="AY24" i="7"/>
  <c r="AX24" i="7"/>
  <c r="AW24" i="7"/>
  <c r="BB23" i="7"/>
  <c r="BA23" i="7"/>
  <c r="AZ23" i="7"/>
  <c r="AY23" i="7"/>
  <c r="AX23" i="7"/>
  <c r="AW23" i="7"/>
  <c r="BB22" i="7"/>
  <c r="BA22" i="7"/>
  <c r="AZ22" i="7"/>
  <c r="AY22" i="7"/>
  <c r="AX22" i="7"/>
  <c r="AW22" i="7"/>
  <c r="BB21" i="7"/>
  <c r="BA21" i="7"/>
  <c r="AZ21" i="7"/>
  <c r="AY21" i="7"/>
  <c r="AX21" i="7"/>
  <c r="AW21" i="7"/>
  <c r="BB20" i="7"/>
  <c r="BA20" i="7"/>
  <c r="AZ20" i="7"/>
  <c r="AY20" i="7"/>
  <c r="AX20" i="7"/>
  <c r="AW20" i="7"/>
  <c r="BB19" i="7"/>
  <c r="BA19" i="7"/>
  <c r="AZ19" i="7"/>
  <c r="AY19" i="7"/>
  <c r="AX19" i="7"/>
  <c r="AW19" i="7"/>
  <c r="BB18" i="7"/>
  <c r="BA18" i="7"/>
  <c r="AZ18" i="7"/>
  <c r="AY18" i="7"/>
  <c r="AX18" i="7"/>
  <c r="AW18" i="7"/>
  <c r="BB17" i="7"/>
  <c r="BA17" i="7"/>
  <c r="AZ17" i="7"/>
  <c r="AY17" i="7"/>
  <c r="AX17" i="7"/>
  <c r="AW17" i="7"/>
  <c r="BB16" i="7"/>
  <c r="BA16" i="7"/>
  <c r="AZ16" i="7"/>
  <c r="AY16" i="7"/>
  <c r="AX16" i="7"/>
  <c r="AW16" i="7"/>
  <c r="BB15" i="7"/>
  <c r="BA15" i="7"/>
  <c r="AZ15" i="7"/>
  <c r="AY15" i="7"/>
  <c r="AX15" i="7"/>
  <c r="AW15" i="7"/>
  <c r="BB14" i="7"/>
  <c r="BA14" i="7"/>
  <c r="AZ14" i="7"/>
  <c r="AY14" i="7"/>
  <c r="AX14" i="7"/>
  <c r="AW14" i="7"/>
  <c r="BB13" i="7"/>
  <c r="BA13" i="7"/>
  <c r="AZ13" i="7"/>
  <c r="AY13" i="7"/>
  <c r="AX13" i="7"/>
  <c r="AW13" i="7"/>
  <c r="BB12" i="7"/>
  <c r="BA12" i="7"/>
  <c r="AZ12" i="7"/>
  <c r="AY12" i="7"/>
  <c r="AX12" i="7"/>
  <c r="AW12" i="7"/>
  <c r="BB11" i="7"/>
  <c r="BA11" i="7"/>
  <c r="AZ11" i="7"/>
  <c r="AY11" i="7"/>
  <c r="AX11" i="7"/>
  <c r="AW11" i="7"/>
  <c r="BB10" i="7"/>
  <c r="BA10" i="7"/>
  <c r="AZ10" i="7"/>
  <c r="AY10" i="7"/>
  <c r="AX10" i="7"/>
  <c r="AW10" i="7"/>
  <c r="BB9" i="7"/>
  <c r="BA9" i="7"/>
  <c r="AZ9" i="7"/>
  <c r="AY9" i="7"/>
  <c r="AX9" i="7"/>
  <c r="AW9" i="7"/>
  <c r="BB8" i="7"/>
  <c r="BA8" i="7"/>
  <c r="AZ8" i="7"/>
  <c r="AY8" i="7"/>
  <c r="AX8" i="7"/>
  <c r="AW8" i="7"/>
  <c r="BB7" i="7"/>
  <c r="BA7" i="7"/>
  <c r="AZ7" i="7"/>
  <c r="AY7" i="7"/>
  <c r="AX7" i="7"/>
  <c r="AW7" i="7"/>
  <c r="BB6" i="7"/>
  <c r="BA6" i="7"/>
  <c r="AZ6" i="7"/>
  <c r="AY6" i="7"/>
  <c r="AX6" i="7"/>
  <c r="AW6" i="7"/>
  <c r="BB5" i="7"/>
  <c r="BA5" i="7"/>
  <c r="AZ5" i="7"/>
  <c r="AY5" i="7"/>
  <c r="AX5" i="7"/>
  <c r="AW5" i="7"/>
  <c r="BB4" i="7"/>
  <c r="BA4" i="7"/>
  <c r="AZ4" i="7"/>
  <c r="AY4" i="7"/>
  <c r="AX4" i="7"/>
  <c r="AW4" i="7"/>
  <c r="BB3" i="7"/>
  <c r="BA3" i="7"/>
  <c r="AZ3" i="7"/>
  <c r="AY3" i="7"/>
  <c r="AX3" i="7"/>
  <c r="AX33" i="7" s="1"/>
  <c r="AW3" i="7"/>
  <c r="AV32" i="7"/>
  <c r="AV31" i="7"/>
  <c r="AV30" i="7"/>
  <c r="AV29" i="7"/>
  <c r="AV28" i="7"/>
  <c r="AV27" i="7"/>
  <c r="AV26" i="7"/>
  <c r="AV25" i="7"/>
  <c r="AV24" i="7"/>
  <c r="AV23" i="7"/>
  <c r="AV22" i="7"/>
  <c r="AV21" i="7"/>
  <c r="AV20" i="7"/>
  <c r="AV19" i="7"/>
  <c r="AV18" i="7"/>
  <c r="AV17" i="7"/>
  <c r="AV16" i="7"/>
  <c r="AV15" i="7"/>
  <c r="AV14" i="7"/>
  <c r="AV13" i="7"/>
  <c r="AV12" i="7"/>
  <c r="AV11" i="7"/>
  <c r="AV10" i="7"/>
  <c r="AV9" i="7"/>
  <c r="AV8" i="7"/>
  <c r="AV7" i="7"/>
  <c r="AV6" i="7"/>
  <c r="AV5" i="7"/>
  <c r="AV4" i="7"/>
  <c r="AV3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I27" i="6" s="1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I22" i="6" s="1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Y90" i="7" l="1"/>
  <c r="AX90" i="7"/>
  <c r="BB90" i="7"/>
  <c r="AZ90" i="7"/>
  <c r="AY79" i="7"/>
  <c r="AW90" i="7"/>
  <c r="AW33" i="7"/>
  <c r="BB33" i="7"/>
  <c r="BA33" i="7"/>
  <c r="AZ33" i="7"/>
  <c r="AY33" i="7"/>
  <c r="AV33" i="7"/>
  <c r="BB79" i="7"/>
  <c r="BA79" i="7"/>
  <c r="AZ79" i="7"/>
  <c r="AX79" i="7"/>
  <c r="AW79" i="7"/>
  <c r="AV79" i="7"/>
  <c r="A114" i="11"/>
  <c r="B113" i="11"/>
  <c r="A115" i="11" l="1"/>
  <c r="B114" i="11"/>
  <c r="A116" i="11" l="1"/>
  <c r="B115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A125" i="11" l="1"/>
  <c r="B124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A135" i="11" l="1"/>
  <c r="B134" i="11"/>
  <c r="A136" i="11" l="1"/>
  <c r="B135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A145" i="11" l="1"/>
  <c r="B144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A155" i="11" l="1"/>
  <c r="B154" i="11"/>
  <c r="A156" i="11" l="1"/>
  <c r="B155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A165" i="11" l="1"/>
  <c r="B164" i="11"/>
  <c r="A166" i="11" l="1"/>
  <c r="B165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A175" i="11" l="1"/>
  <c r="B174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G2" i="11" l="1"/>
  <c r="F2" i="11"/>
  <c r="C2" i="11"/>
  <c r="D2" i="11"/>
  <c r="A185" i="11"/>
  <c r="B184" i="11"/>
  <c r="A186" i="11" l="1"/>
  <c r="B185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A195" i="11" l="1"/>
  <c r="B194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A205" i="11" l="1"/>
  <c r="B204" i="11"/>
  <c r="A206" i="11" l="1"/>
  <c r="B205" i="11"/>
  <c r="A207" i="11" l="1"/>
  <c r="B206" i="11"/>
  <c r="A208" i="11" l="1"/>
  <c r="B207" i="11"/>
  <c r="B208" i="11" l="1"/>
  <c r="A209" i="11"/>
  <c r="A210" i="11" l="1"/>
  <c r="B209" i="11"/>
  <c r="A211" i="11" l="1"/>
  <c r="B210" i="11"/>
  <c r="A212" i="11" l="1"/>
  <c r="B211" i="11"/>
  <c r="A213" i="11" l="1"/>
  <c r="B212" i="11"/>
  <c r="A214" i="11" l="1"/>
  <c r="B213" i="11"/>
  <c r="A215" i="11" l="1"/>
  <c r="B214" i="11"/>
  <c r="A216" i="11" l="1"/>
  <c r="B215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A225" i="11" l="1"/>
  <c r="B224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A235" i="11" l="1"/>
  <c r="B234" i="11"/>
  <c r="A236" i="11" l="1"/>
  <c r="B235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A245" i="11" l="1"/>
  <c r="B244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A255" i="11" l="1"/>
  <c r="B254" i="11"/>
  <c r="A256" i="11" l="1"/>
  <c r="B255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A265" i="11" l="1"/>
  <c r="B264" i="11"/>
  <c r="A266" i="11" l="1"/>
  <c r="B265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A275" i="11" l="1"/>
  <c r="B274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A285" i="11" l="1"/>
  <c r="B284" i="11"/>
  <c r="A286" i="11" l="1"/>
  <c r="B285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A295" i="11" l="1"/>
  <c r="B294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A305" i="11" l="1"/>
  <c r="B304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A324" i="11" l="1"/>
  <c r="B323" i="11"/>
  <c r="A325" i="11" l="1"/>
  <c r="B324" i="11"/>
  <c r="A326" i="11" l="1"/>
  <c r="B325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A334" i="11" l="1"/>
  <c r="B333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A344" i="11" l="1"/>
  <c r="B343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A354" i="11" l="1"/>
  <c r="B353" i="11"/>
  <c r="A355" i="11" l="1"/>
  <c r="B354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A364" i="11" l="1"/>
  <c r="B363" i="11"/>
  <c r="A365" i="11" l="1"/>
  <c r="B364" i="11"/>
  <c r="A366" i="11" l="1"/>
  <c r="B365" i="11"/>
  <c r="A367" i="11" l="1"/>
  <c r="B366" i="11"/>
  <c r="A368" i="11" l="1"/>
  <c r="A369" i="11" s="1"/>
  <c r="B367" i="11"/>
  <c r="A370" i="11" l="1"/>
  <c r="B369" i="11"/>
  <c r="B368" i="11"/>
  <c r="A371" i="11" l="1"/>
  <c r="B370" i="11"/>
  <c r="A372" i="11" l="1"/>
  <c r="B371" i="11"/>
  <c r="A373" i="11" l="1"/>
  <c r="B372" i="11"/>
  <c r="A374" i="11" l="1"/>
  <c r="B373" i="11"/>
  <c r="A375" i="11" l="1"/>
  <c r="B374" i="11"/>
  <c r="A376" i="11" l="1"/>
  <c r="B375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A384" i="11" l="1"/>
  <c r="B383" i="11"/>
  <c r="A385" i="11" l="1"/>
  <c r="B384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A404" i="11" l="1"/>
  <c r="B403" i="11"/>
  <c r="A405" i="11" l="1"/>
  <c r="B404" i="11"/>
  <c r="A406" i="11" l="1"/>
  <c r="B405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A414" i="11" l="1"/>
  <c r="B413" i="11"/>
  <c r="A415" i="11" l="1"/>
  <c r="B414" i="11"/>
  <c r="A416" i="11" l="1"/>
  <c r="B415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A424" i="11" l="1"/>
  <c r="B423" i="11"/>
  <c r="A425" i="11" l="1"/>
  <c r="B424" i="11"/>
  <c r="A426" i="11" l="1"/>
  <c r="B425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A434" i="11" l="1"/>
  <c r="B433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A444" i="11" l="1"/>
  <c r="B443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A454" i="11" l="1"/>
  <c r="B453" i="11"/>
  <c r="A455" i="11" l="1"/>
  <c r="B454" i="11"/>
  <c r="A456" i="11" l="1"/>
  <c r="B455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A464" i="11" l="1"/>
  <c r="B463" i="11"/>
  <c r="A465" i="11" l="1"/>
  <c r="B464" i="11"/>
  <c r="A466" i="11" l="1"/>
  <c r="B465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A474" i="11" l="1"/>
  <c r="B473" i="11"/>
  <c r="A475" i="11" l="1"/>
  <c r="B474" i="11"/>
  <c r="A476" i="11" l="1"/>
  <c r="B475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A484" i="11" l="1"/>
  <c r="B483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A494" i="11" l="1"/>
  <c r="B493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A504" i="11" l="1"/>
  <c r="B503" i="11"/>
  <c r="A505" i="11" l="1"/>
  <c r="B504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A514" i="11" l="1"/>
  <c r="B513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A524" i="11" l="1"/>
  <c r="B523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A534" i="11" l="1"/>
  <c r="B533" i="11"/>
  <c r="A535" i="11" l="1"/>
  <c r="B534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A544" i="11" l="1"/>
  <c r="B543" i="11"/>
  <c r="A545" i="11" l="1"/>
  <c r="B544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A554" i="11" l="1"/>
  <c r="B553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A564" i="11" l="1"/>
  <c r="B563" i="11"/>
  <c r="A565" i="11" l="1"/>
  <c r="B564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A574" i="11" l="1"/>
  <c r="B573" i="11"/>
  <c r="A575" i="11" l="1"/>
  <c r="B574" i="11"/>
  <c r="A576" i="11" l="1"/>
  <c r="B575" i="11"/>
  <c r="A577" i="11" l="1"/>
  <c r="B576" i="11"/>
  <c r="A578" i="11" l="1"/>
  <c r="B577" i="11"/>
  <c r="A579" i="11" l="1"/>
  <c r="B578" i="11"/>
  <c r="B579" i="11" l="1"/>
  <c r="A580" i="11"/>
  <c r="A581" i="11" l="1"/>
  <c r="B580" i="11"/>
  <c r="A582" i="11" l="1"/>
  <c r="B581" i="11"/>
  <c r="A583" i="11" l="1"/>
  <c r="B582" i="11"/>
  <c r="A584" i="11" l="1"/>
  <c r="B583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A594" i="11" l="1"/>
  <c r="B593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A604" i="11" l="1"/>
  <c r="B603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A614" i="11" l="1"/>
  <c r="B613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A624" i="11" l="1"/>
  <c r="B623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A634" i="11" l="1"/>
  <c r="B633" i="11"/>
  <c r="A635" i="11" l="1"/>
  <c r="B634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A644" i="11" l="1"/>
  <c r="B643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A654" i="11" l="1"/>
  <c r="B653" i="11"/>
  <c r="A655" i="11" l="1"/>
  <c r="B654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A664" i="11" l="1"/>
  <c r="B663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A674" i="11" l="1"/>
  <c r="B673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A694" i="11" l="1"/>
  <c r="B693" i="11"/>
  <c r="A695" i="11" l="1"/>
  <c r="B694" i="11"/>
  <c r="A696" i="11" l="1"/>
  <c r="B695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A704" i="11" l="1"/>
  <c r="B703" i="11"/>
  <c r="A705" i="11" l="1"/>
  <c r="B704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A714" i="11" l="1"/>
  <c r="B713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A724" i="11" l="1"/>
  <c r="B723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  <charset val="1"/>
          </rPr>
          <t>Calculado automaticamente ao gerar o painel (não preencher).</t>
        </r>
      </text>
    </comment>
    <comment ref="C14" authorId="0" shapeId="0" xr:uid="{A2DC1C30-B440-463D-9AEC-705741A22417}">
      <text>
        <r>
          <rPr>
            <sz val="11"/>
            <color theme="1"/>
            <rFont val="Aptos Narrow"/>
            <family val="2"/>
            <charset val="1"/>
          </rPr>
          <t>Atividade a ser realizada do km 71+300 ao 104+500</t>
        </r>
      </text>
    </comment>
    <comment ref="C15" authorId="0" shapeId="0" xr:uid="{00000000-0006-0000-0000-000003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6" authorId="0" shapeId="0" xr:uid="{00000000-0006-0000-0000-000004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7" authorId="0" shapeId="0" xr:uid="{00000000-0006-0000-0000-000005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8" authorId="0" shapeId="0" xr:uid="{00000000-0006-0000-0000-000006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9" authorId="0" shapeId="0" xr:uid="{00000000-0006-0000-0000-000007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0" authorId="0" shapeId="0" xr:uid="{00000000-0006-0000-0000-000008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1" authorId="0" shapeId="0" xr:uid="{00000000-0006-0000-0000-000009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2" authorId="0" shapeId="0" xr:uid="{00000000-0006-0000-0000-00000A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3" authorId="0" shapeId="0" xr:uid="{00000000-0006-0000-0000-00000B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4" authorId="0" shapeId="0" xr:uid="{00000000-0006-0000-0000-00000C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7" authorId="0" shapeId="0" xr:uid="{00000000-0006-0000-0000-00000D000000}">
      <text>
        <r>
          <rPr>
            <sz val="11"/>
            <color theme="1"/>
            <rFont val="Aptos Narrow"/>
            <family val="2"/>
            <charset val="1"/>
          </rPr>
          <t>KM previsto da Liberação (vai para ATIVIDADES!B4).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0" authorId="0" shapeId="0" xr:uid="{00000000-0006-0000-0000-00000F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<sst xmlns="http://schemas.openxmlformats.org/spreadsheetml/2006/main" count="793" uniqueCount="241">
  <si>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</si>
  <si>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</si>
  <si>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</si>
  <si>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</si>
  <si>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</si>
  <si>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</si>
  <si>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</si>
  <si>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</si>
  <si>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</si>
  <si>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</si>
  <si>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</si>
  <si>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</si>
  <si>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</si>
  <si>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</si>
  <si>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</si>
  <si>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</si>
  <si>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</si>
  <si>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</si>
  <si>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</si>
  <si>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</si>
  <si>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</si>
  <si>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</si>
  <si>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</si>
  <si>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</si>
  <si>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</si>
  <si>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</si>
  <si>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</si>
  <si>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</si>
  <si>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</si>
  <si>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</si>
  <si>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</si>
  <si>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</si>
  <si>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Dormente de concreto</t>
  </si>
  <si>
    <t>un</t>
  </si>
  <si>
    <t>5 · PRÉ-LASTRO EM COLCHÃO DRENANTE</t>
  </si>
  <si>
    <t>Trechos de colchão drenante — um por linha (status: C = concluído / vazio = pendente):</t>
  </si>
  <si>
    <t>Concluído? (C)</t>
  </si>
  <si>
    <t>Trecho 9</t>
  </si>
  <si>
    <t>Trecho 10</t>
  </si>
  <si>
    <t>Trecho 11</t>
  </si>
  <si>
    <t>Trecho 12</t>
  </si>
  <si>
    <t>PCT 02</t>
  </si>
  <si>
    <t>PCT 03</t>
  </si>
  <si>
    <t>PCT 04</t>
  </si>
  <si>
    <t>PCT 05</t>
  </si>
  <si>
    <t>PCT 06</t>
  </si>
  <si>
    <t>PCT 07</t>
  </si>
  <si>
    <t>PCT 08</t>
  </si>
  <si>
    <t>DESCRIÇÃO</t>
  </si>
  <si>
    <t>DATA</t>
  </si>
  <si>
    <t>PCT 01.1</t>
  </si>
  <si>
    <t>Trecho 13</t>
  </si>
  <si>
    <t>Trecho 14</t>
  </si>
  <si>
    <t>Trecho 15</t>
  </si>
  <si>
    <t>Trecho 16</t>
  </si>
  <si>
    <t>Trecho 17</t>
  </si>
  <si>
    <t>C</t>
  </si>
  <si>
    <t>PLANEJADO</t>
  </si>
  <si>
    <t>TENDÊNCIA</t>
  </si>
  <si>
    <t>REALIZADO</t>
  </si>
  <si>
    <t>PLANEJADO ACUM</t>
  </si>
  <si>
    <t>TENDÊNCIA ACUM</t>
  </si>
  <si>
    <t>REALIZADO ACUM</t>
  </si>
  <si>
    <t>ITEM</t>
  </si>
  <si>
    <t>CURVA S - AVANÇO FÍSICO</t>
  </si>
  <si>
    <t>CURVA FINANCEIRA</t>
  </si>
  <si>
    <t>MÃO DE OBRA DIRETA</t>
  </si>
  <si>
    <t>MÃO DE OBRA INDIRETA</t>
  </si>
  <si>
    <t>EQUIPAMENTOS DIRETOS</t>
  </si>
  <si>
    <t>EQUIPAMENTOS INDIRETOS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</si>
  <si>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</si>
  <si>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</si>
  <si>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</si>
  <si>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</si>
  <si>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</si>
  <si>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</si>
  <si>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</si>
  <si>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</si>
  <si>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</si>
  <si>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</si>
  <si>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</si>
  <si>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</si>
  <si>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</si>
  <si>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</si>
  <si>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</si>
  <si>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</si>
  <si>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</si>
  <si>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</si>
  <si>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</si>
  <si>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</si>
  <si>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</si>
  <si>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</si>
  <si>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</si>
  <si>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</si>
  <si>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</si>
  <si>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</si>
  <si>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</si>
  <si>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</si>
  <si>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</si>
  <si>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</si>
  <si>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Mão de obra direta</t>
  </si>
  <si>
    <t>prev.</t>
  </si>
  <si>
    <t>real.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</si>
  <si>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</si>
  <si>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</si>
  <si>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</si>
  <si>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</si>
  <si>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</si>
  <si>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</si>
  <si>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</si>
  <si>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</si>
  <si>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</si>
  <si>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</si>
  <si>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</si>
  <si>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</si>
  <si>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</si>
  <si>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</si>
  <si>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</si>
  <si>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</si>
  <si>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</si>
  <si>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</si>
  <si>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</si>
  <si>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</si>
  <si>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</si>
  <si>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</si>
  <si>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</si>
  <si>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</si>
  <si>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</si>
  <si>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</si>
  <si>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</si>
  <si>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</si>
  <si>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</si>
  <si>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</si>
  <si>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</si>
  <si>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</si>
  <si>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</si>
  <si>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</si>
  <si>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</si>
  <si>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</si>
  <si>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</si>
  <si>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</si>
  <si>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</si>
  <si>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</si>
  <si>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</si>
  <si>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</si>
  <si>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</si>
  <si>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</si>
  <si>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Van</t>
  </si>
  <si>
    <t>Ônibus</t>
  </si>
  <si>
    <t>Caminhão comboio</t>
  </si>
  <si>
    <t>Equipamentos indiretos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</si>
  <si>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</si>
  <si>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</si>
  <si>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</si>
  <si>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</si>
  <si>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</si>
  <si>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</si>
  <si>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Motoniveladora</t>
  </si>
  <si>
    <t>NTC</t>
  </si>
  <si>
    <t>Retroescavadeira</t>
  </si>
  <si>
    <t>Rolo compactador</t>
  </si>
  <si>
    <t>Trator de esteira</t>
  </si>
  <si>
    <t>Vagão de brita</t>
  </si>
  <si>
    <t>Vaiacar</t>
  </si>
  <si>
    <t>Equipamentos diretos</t>
  </si>
  <si>
    <t>delta</t>
  </si>
  <si>
    <t>Máquina de solda</t>
  </si>
  <si>
    <t>Pá carregadeira</t>
  </si>
  <si>
    <t>Reguladora</t>
  </si>
  <si>
    <t>Socadora</t>
  </si>
  <si>
    <t>Viatura</t>
  </si>
  <si>
    <t>Previsto (m)</t>
  </si>
  <si>
    <t>Realizado (m)</t>
  </si>
  <si>
    <t>Tendência (m)</t>
  </si>
  <si>
    <t>Previsto (unid.)</t>
  </si>
  <si>
    <t>Realizado (unid.)</t>
  </si>
  <si>
    <t>Tendência (unid.)</t>
  </si>
  <si>
    <t>Solda elétrica</t>
  </si>
  <si>
    <t>Descarga de brita</t>
  </si>
  <si>
    <t>Previsto (m³)</t>
  </si>
  <si>
    <t>Realizado (m³)</t>
  </si>
  <si>
    <t/>
  </si>
  <si>
    <t>Tendência (m³)</t>
  </si>
  <si>
    <t>Socaria</t>
  </si>
  <si>
    <t>Dias trabalhados</t>
  </si>
  <si>
    <t>Produtividade</t>
  </si>
  <si>
    <t xml:space="preserve">Bela Vista </t>
  </si>
  <si>
    <t xml:space="preserve">Itapaci </t>
  </si>
  <si>
    <t>MÊS</t>
  </si>
  <si>
    <t>PRODUÇÃO (TON)</t>
  </si>
  <si>
    <t>ENTREGA (TON)</t>
  </si>
  <si>
    <t>Hochschild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</si>
  <si>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</si>
  <si>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</si>
  <si>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</si>
  <si>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</si>
  <si>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</si>
  <si>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</si>
  <si>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</si>
  <si>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</si>
  <si>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</si>
  <si>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</si>
  <si>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</si>
  <si>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</si>
  <si>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</si>
  <si>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</si>
  <si>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</si>
  <si>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</si>
  <si>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</si>
  <si>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</si>
  <si>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</si>
  <si>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</si>
  <si>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</si>
  <si>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(TON)</t>
  </si>
  <si>
    <t>Consumo de brita</t>
  </si>
  <si>
    <t>REALIZADO (TON)</t>
  </si>
  <si>
    <t>Nº vagões/dia</t>
  </si>
  <si>
    <t>Pré lastro</t>
  </si>
  <si>
    <t>UNIDADE</t>
  </si>
  <si>
    <t>PCT 01.2</t>
  </si>
  <si>
    <t>TOTAL 1-8</t>
  </si>
  <si>
    <t>QNDE RECEBIDA</t>
  </si>
  <si>
    <t>QNDE CONSUMIDA</t>
  </si>
  <si>
    <t>Trilho</t>
  </si>
  <si>
    <t>t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</si>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</sst>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  <charset val="1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8"/>
      <name val="Aptos Narrow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</font>
    <font>
      <b/>
      <sz val="10"/>
      <name val="Century Gothic"/>
      <family val="2"/>
    </font>
    <font>
      <sz val="1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5">
    <xf numFmtId="0" fontId="0" fillId="0" borderId="0"/>
    <xf numFmtId="0" fontId="3" fillId="0" borderId="0"/>
    <xf numFmtId="9" fontId="20" fillId="0" borderId="0" applyFont="0" applyFill="0" applyBorder="0" applyAlignment="0" applyProtection="0"/>
    <xf numFmtId="0" fontId="2" fillId="0" borderId="0"/>
    <xf numFmtId="0" fontId="1" fillId="0" borderId="0"/>
  </cellStyleXfs>
  <cellXfs count="172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1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3" fillId="8" borderId="0" xfId="0" applyFont="1" applyFill="1"/>
    <xf numFmtId="17" fontId="22" fillId="9" borderId="12" xfId="0" applyNumberFormat="1" applyFont="1" applyFill="1" applyBorder="1" applyAlignment="1">
      <alignment horizontal="centerContinuous" vertical="center"/>
    </xf>
    <xf numFmtId="17" fontId="22" fillId="9" borderId="13" xfId="0" applyNumberFormat="1" applyFont="1" applyFill="1" applyBorder="1" applyAlignment="1">
      <alignment horizontal="centerContinuous" vertical="center"/>
    </xf>
    <xf numFmtId="17" fontId="22" fillId="9" borderId="14" xfId="0" applyNumberFormat="1" applyFont="1" applyFill="1" applyBorder="1" applyAlignment="1">
      <alignment horizontal="centerContinuous" vertical="center"/>
    </xf>
    <xf numFmtId="17" fontId="22" fillId="9" borderId="16" xfId="0" applyNumberFormat="1" applyFont="1" applyFill="1" applyBorder="1" applyAlignment="1">
      <alignment horizontal="center" vertical="center"/>
    </xf>
    <xf numFmtId="17" fontId="22" fillId="9" borderId="17" xfId="0" applyNumberFormat="1" applyFont="1" applyFill="1" applyBorder="1" applyAlignment="1">
      <alignment horizontal="center" vertical="center"/>
    </xf>
    <xf numFmtId="17" fontId="22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2" fillId="9" borderId="31" xfId="0" applyNumberFormat="1" applyFont="1" applyFill="1" applyBorder="1" applyAlignment="1">
      <alignment horizontal="left" vertical="center"/>
    </xf>
    <xf numFmtId="1" fontId="22" fillId="9" borderId="32" xfId="0" applyNumberFormat="1" applyFont="1" applyFill="1" applyBorder="1" applyAlignment="1">
      <alignment horizontal="center" vertical="center"/>
    </xf>
    <xf numFmtId="1" fontId="22" fillId="9" borderId="33" xfId="0" applyNumberFormat="1" applyFont="1" applyFill="1" applyBorder="1" applyAlignment="1">
      <alignment horizontal="center" vertical="center"/>
    </xf>
    <xf numFmtId="1" fontId="22" fillId="9" borderId="34" xfId="0" applyNumberFormat="1" applyFont="1" applyFill="1" applyBorder="1" applyAlignment="1">
      <alignment horizontal="center" vertical="center"/>
    </xf>
    <xf numFmtId="1" fontId="22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4" fillId="10" borderId="25" xfId="0" applyNumberFormat="1" applyFont="1" applyFill="1" applyBorder="1" applyAlignment="1">
      <alignment horizontal="center" vertical="center"/>
    </xf>
    <xf numFmtId="1" fontId="24" fillId="0" borderId="25" xfId="0" applyNumberFormat="1" applyFont="1" applyBorder="1" applyAlignment="1">
      <alignment horizontal="center" vertical="center"/>
    </xf>
    <xf numFmtId="1" fontId="24" fillId="0" borderId="29" xfId="0" applyNumberFormat="1" applyFont="1" applyBorder="1" applyAlignment="1">
      <alignment horizontal="center" vertical="center"/>
    </xf>
    <xf numFmtId="17" fontId="22" fillId="9" borderId="12" xfId="0" applyNumberFormat="1" applyFont="1" applyFill="1" applyBorder="1" applyAlignment="1">
      <alignment horizontal="center" vertical="center"/>
    </xf>
    <xf numFmtId="17" fontId="22" fillId="9" borderId="37" xfId="0" applyNumberFormat="1" applyFont="1" applyFill="1" applyBorder="1" applyAlignment="1">
      <alignment horizontal="center" vertical="center"/>
    </xf>
    <xf numFmtId="17" fontId="22" fillId="9" borderId="38" xfId="0" applyNumberFormat="1" applyFont="1" applyFill="1" applyBorder="1" applyAlignment="1">
      <alignment horizontal="center" vertical="center"/>
    </xf>
    <xf numFmtId="17" fontId="22" fillId="9" borderId="39" xfId="0" applyNumberFormat="1" applyFont="1" applyFill="1" applyBorder="1" applyAlignment="1">
      <alignment horizontal="center" vertical="center"/>
    </xf>
    <xf numFmtId="17" fontId="22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2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2" fillId="9" borderId="26" xfId="0" applyNumberFormat="1" applyFont="1" applyFill="1" applyBorder="1" applyAlignment="1">
      <alignment horizontal="center" vertical="center"/>
    </xf>
    <xf numFmtId="1" fontId="22" fillId="9" borderId="46" xfId="0" applyNumberFormat="1" applyFont="1" applyFill="1" applyBorder="1" applyAlignment="1">
      <alignment horizontal="center" vertical="center"/>
    </xf>
    <xf numFmtId="1" fontId="22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4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2" fillId="13" borderId="47" xfId="0" applyFont="1" applyFill="1" applyBorder="1" applyAlignment="1">
      <alignment vertical="center"/>
    </xf>
    <xf numFmtId="17" fontId="22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 indent="1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5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2" fillId="0" borderId="47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3" fontId="25" fillId="0" borderId="19" xfId="0" applyNumberFormat="1" applyFont="1" applyBorder="1" applyAlignment="1">
      <alignment horizontal="center" wrapText="1"/>
    </xf>
    <xf numFmtId="3" fontId="25" fillId="0" borderId="0" xfId="0" applyNumberFormat="1" applyFont="1" applyAlignment="1">
      <alignment horizontal="center" wrapText="1"/>
    </xf>
    <xf numFmtId="3" fontId="25" fillId="0" borderId="25" xfId="0" applyNumberFormat="1" applyFont="1" applyBorder="1" applyAlignment="1">
      <alignment horizontal="center" wrapText="1"/>
    </xf>
    <xf numFmtId="3" fontId="25" fillId="0" borderId="52" xfId="0" applyNumberFormat="1" applyFont="1" applyBorder="1" applyAlignment="1">
      <alignment horizontal="center" vertical="center" wrapText="1"/>
    </xf>
    <xf numFmtId="3" fontId="25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5" fillId="0" borderId="52" xfId="0" applyFont="1" applyBorder="1" applyAlignment="1">
      <alignment horizontal="center" vertical="center"/>
    </xf>
    <xf numFmtId="0" fontId="25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3" fontId="0" fillId="12" borderId="21" xfId="0" quotePrefix="1" applyNumberFormat="1" applyFill="1" applyBorder="1" applyAlignment="1">
      <alignment horizontal="center" vertical="center"/>
    </xf>
    <xf numFmtId="0" fontId="22" fillId="9" borderId="11" xfId="0" applyFont="1" applyFill="1" applyBorder="1" applyAlignment="1">
      <alignment vertical="center"/>
    </xf>
    <xf numFmtId="0" fontId="22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6" fillId="17" borderId="0" xfId="0" applyNumberFormat="1" applyFont="1" applyFill="1" applyAlignment="1">
      <alignment horizontal="center"/>
    </xf>
    <xf numFmtId="14" fontId="27" fillId="0" borderId="47" xfId="0" applyNumberFormat="1" applyFont="1" applyBorder="1" applyAlignment="1">
      <alignment horizontal="center" vertical="center"/>
    </xf>
    <xf numFmtId="3" fontId="28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9" fillId="18" borderId="0" xfId="1" applyFont="1" applyFill="1" applyAlignment="1">
      <alignment vertical="center"/>
    </xf>
    <xf numFmtId="4" fontId="29" fillId="18" borderId="0" xfId="1" applyNumberFormat="1" applyFont="1" applyFill="1" applyAlignment="1">
      <alignment horizontal="center" vertical="center"/>
    </xf>
    <xf numFmtId="49" fontId="30" fillId="0" borderId="2" xfId="3" applyNumberFormat="1" applyFont="1" applyBorder="1" applyAlignment="1">
      <alignment horizontal="left" vertical="center" wrapText="1"/>
    </xf>
    <xf numFmtId="0" fontId="30" fillId="0" borderId="2" xfId="4" applyFont="1" applyBorder="1" applyAlignment="1" applyProtection="1">
      <alignment horizontal="center" vertical="center" wrapText="1"/>
      <protection locked="0"/>
    </xf>
    <xf numFmtId="3" fontId="30" fillId="0" borderId="2" xfId="1" applyNumberFormat="1" applyFont="1" applyBorder="1" applyAlignment="1">
      <alignment horizontal="center" vertical="center"/>
    </xf>
    <xf numFmtId="3" fontId="30" fillId="19" borderId="2" xfId="1" applyNumberFormat="1" applyFont="1" applyFill="1" applyBorder="1" applyAlignment="1">
      <alignment horizontal="center" vertical="center"/>
    </xf>
    <xf numFmtId="3" fontId="30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30" fillId="0" borderId="0" xfId="1" applyNumberFormat="1" applyFont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2" fillId="9" borderId="11" xfId="0" applyFont="1" applyFill="1" applyBorder="1" applyAlignment="1">
      <alignment horizontal="center" vertical="center"/>
    </xf>
    <xf numFmtId="0" fontId="22" fillId="9" borderId="15" xfId="0" applyFont="1" applyFill="1" applyBorder="1" applyAlignment="1">
      <alignment horizontal="center" vertical="center"/>
    </xf>
    <xf numFmtId="0" fontId="22" fillId="9" borderId="36" xfId="0" applyFont="1" applyFill="1" applyBorder="1" applyAlignment="1">
      <alignment horizontal="center" vertical="center"/>
    </xf>
    <xf numFmtId="0" fontId="25" fillId="0" borderId="49" xfId="0" applyFont="1" applyBorder="1" applyAlignment="1">
      <alignment horizontal="center" wrapText="1"/>
    </xf>
    <xf numFmtId="0" fontId="25" fillId="0" borderId="51" xfId="0" applyFont="1" applyBorder="1" applyAlignment="1">
      <alignment horizontal="center" wrapText="1"/>
    </xf>
    <xf numFmtId="0" fontId="25" fillId="0" borderId="50" xfId="0" applyFont="1" applyBorder="1" applyAlignment="1">
      <alignment horizontal="center" wrapText="1"/>
    </xf>
  </cellXfs>
  <cellStyles count="5">
    <cellStyle name="Normal" xfId="0" builtinId="0"/>
    <cellStyle name="Normal 10" xfId="4" xr:uid="{AB8D9E9E-F28D-4C91-B1E3-0E433BC492F8}"/>
    <cellStyle name="Normal 10 10" xfId="1" xr:uid="{00000000-0005-0000-0000-000006000000}"/>
    <cellStyle name="Normal_Licitadas" xfId="3" xr:uid="{DBB80EFC-082F-44D6-A301-326433BAB5F3}"/>
    <cellStyle name="Porcentagem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zoomScaleNormal="100" workbookViewId="0">
      <pane ySplit="8" topLeftCell="A9" activePane="bottomLeft" state="frozen"/>
      <selection activeCell="E14" sqref="E14"/>
      <selection pane="bottomLeft" activeCell="F14" sqref="F14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56" t="s">
        <v>0</v>
      </c>
      <c r="C2" s="157"/>
      <c r="D2" s="157"/>
      <c r="E2" s="157"/>
      <c r="F2" s="157"/>
      <c r="G2" s="157"/>
    </row>
    <row r="3" spans="2:7" ht="15" hidden="1" customHeight="1" x14ac:dyDescent="0.35">
      <c r="B3" s="158" t="s">
        <v>1</v>
      </c>
      <c r="C3" s="159"/>
      <c r="D3" s="159"/>
      <c r="E3" s="159"/>
      <c r="F3" s="159"/>
      <c r="G3" s="160"/>
    </row>
    <row r="4" spans="2:7" ht="15" hidden="1" customHeight="1" x14ac:dyDescent="0.35">
      <c r="B4" s="161"/>
      <c r="C4" s="157"/>
      <c r="D4" s="157"/>
      <c r="E4" s="157"/>
      <c r="F4" s="157"/>
      <c r="G4" s="162"/>
    </row>
    <row r="5" spans="2:7" ht="15" hidden="1" customHeight="1" x14ac:dyDescent="0.35">
      <c r="B5" s="161"/>
      <c r="C5" s="157"/>
      <c r="D5" s="157"/>
      <c r="E5" s="157"/>
      <c r="F5" s="157"/>
      <c r="G5" s="162"/>
    </row>
    <row r="6" spans="2:7" ht="15" hidden="1" customHeight="1" x14ac:dyDescent="0.35">
      <c r="B6" s="161"/>
      <c r="C6" s="157"/>
      <c r="D6" s="157"/>
      <c r="E6" s="157"/>
      <c r="F6" s="157"/>
      <c r="G6" s="162"/>
    </row>
    <row r="7" spans="2:7" ht="15" hidden="1" customHeight="1" x14ac:dyDescent="0.35">
      <c r="B7" s="163"/>
      <c r="C7" s="164"/>
      <c r="D7" s="164"/>
      <c r="E7" s="164"/>
      <c r="F7" s="164"/>
      <c r="G7" s="165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46199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217</v>
      </c>
      <c r="C14" s="6">
        <v>87000</v>
      </c>
      <c r="D14" s="7">
        <f>C14</f>
        <v>87000</v>
      </c>
    </row>
    <row r="15" spans="2:7" ht="15" customHeight="1" x14ac:dyDescent="0.35">
      <c r="B15" s="5" t="s">
        <v>8</v>
      </c>
      <c r="C15" s="6">
        <v>67050</v>
      </c>
      <c r="D15" s="7"/>
    </row>
    <row r="16" spans="2:7" ht="15" customHeight="1" x14ac:dyDescent="0.35">
      <c r="B16" s="5" t="s">
        <v>9</v>
      </c>
      <c r="C16" s="6">
        <v>55700</v>
      </c>
      <c r="D16" s="7"/>
    </row>
    <row r="17" spans="2:4" ht="15" customHeight="1" x14ac:dyDescent="0.35">
      <c r="B17" s="5" t="s">
        <v>10</v>
      </c>
      <c r="C17" s="6">
        <v>54980</v>
      </c>
      <c r="D17" s="7"/>
    </row>
    <row r="18" spans="2:4" ht="15" customHeight="1" x14ac:dyDescent="0.35">
      <c r="B18" s="5" t="s">
        <v>11</v>
      </c>
      <c r="C18" s="6">
        <v>54200</v>
      </c>
      <c r="D18" s="7"/>
    </row>
    <row r="19" spans="2:4" ht="15" customHeight="1" x14ac:dyDescent="0.35">
      <c r="B19" s="5" t="s">
        <v>12</v>
      </c>
      <c r="C19" s="6">
        <v>30540</v>
      </c>
      <c r="D19" s="7"/>
    </row>
    <row r="20" spans="2:4" ht="15" customHeight="1" x14ac:dyDescent="0.35">
      <c r="B20" s="5" t="s">
        <v>13</v>
      </c>
      <c r="C20" s="6">
        <v>39000</v>
      </c>
      <c r="D20" s="7"/>
    </row>
    <row r="21" spans="2:4" ht="15" customHeight="1" x14ac:dyDescent="0.35">
      <c r="B21" s="5" t="s">
        <v>14</v>
      </c>
      <c r="C21" s="6">
        <v>26100</v>
      </c>
      <c r="D21" s="7"/>
    </row>
    <row r="22" spans="2:4" ht="15" customHeight="1" x14ac:dyDescent="0.35">
      <c r="B22" s="5" t="s">
        <v>15</v>
      </c>
      <c r="C22" s="6">
        <v>15100</v>
      </c>
      <c r="D22" s="7"/>
    </row>
    <row r="23" spans="2:4" ht="15" customHeight="1" x14ac:dyDescent="0.35">
      <c r="B23" s="5" t="s">
        <v>16</v>
      </c>
      <c r="C23" s="6">
        <v>6780</v>
      </c>
      <c r="D23" s="7"/>
    </row>
    <row r="24" spans="2:4" ht="15" customHeight="1" x14ac:dyDescent="0.35">
      <c r="B24" s="5" t="s">
        <v>17</v>
      </c>
      <c r="C24" s="6">
        <v>49496</v>
      </c>
      <c r="D24" s="7"/>
    </row>
    <row r="26" spans="2:4" ht="15" customHeight="1" x14ac:dyDescent="0.35">
      <c r="B26" s="1" t="s">
        <v>18</v>
      </c>
    </row>
    <row r="27" spans="2:4" ht="15" customHeight="1" x14ac:dyDescent="0.35">
      <c r="B27" s="2" t="s">
        <v>19</v>
      </c>
      <c r="C27" s="6">
        <v>116460</v>
      </c>
    </row>
    <row r="28" spans="2:4" ht="15" customHeight="1" x14ac:dyDescent="0.35">
      <c r="B28" s="8" t="s">
        <v>20</v>
      </c>
    </row>
    <row r="29" spans="2:4" ht="15" customHeight="1" x14ac:dyDescent="0.35">
      <c r="B29" s="4" t="s">
        <v>21</v>
      </c>
      <c r="C29" s="4" t="s">
        <v>22</v>
      </c>
      <c r="D29" s="4" t="s">
        <v>23</v>
      </c>
    </row>
    <row r="30" spans="2:4" ht="15" customHeight="1" x14ac:dyDescent="0.35">
      <c r="B30" s="5" t="s">
        <v>24</v>
      </c>
      <c r="C30" s="6">
        <v>0</v>
      </c>
      <c r="D30" s="6">
        <v>87900</v>
      </c>
    </row>
    <row r="31" spans="2:4" ht="15" customHeight="1" x14ac:dyDescent="0.35">
      <c r="B31" s="5" t="s">
        <v>25</v>
      </c>
      <c r="C31" s="6"/>
      <c r="D31" s="6"/>
    </row>
    <row r="32" spans="2:4" ht="15" customHeight="1" x14ac:dyDescent="0.35">
      <c r="B32" s="5" t="s">
        <v>26</v>
      </c>
      <c r="C32" s="6"/>
      <c r="D32" s="6"/>
    </row>
    <row r="33" spans="2:5" ht="15" customHeight="1" x14ac:dyDescent="0.35">
      <c r="B33" s="5" t="s">
        <v>27</v>
      </c>
      <c r="C33" s="6"/>
      <c r="D33" s="6"/>
    </row>
    <row r="34" spans="2:5" ht="15" customHeight="1" x14ac:dyDescent="0.35">
      <c r="B34" s="5" t="s">
        <v>28</v>
      </c>
      <c r="C34" s="6"/>
      <c r="D34" s="6"/>
    </row>
    <row r="35" spans="2:5" ht="15" customHeight="1" x14ac:dyDescent="0.35">
      <c r="B35" s="5" t="s">
        <v>29</v>
      </c>
      <c r="C35" s="6"/>
      <c r="D35" s="6"/>
    </row>
    <row r="36" spans="2:5" ht="15" customHeight="1" x14ac:dyDescent="0.35">
      <c r="B36" s="5" t="s">
        <v>30</v>
      </c>
      <c r="C36" s="6"/>
      <c r="D36" s="6"/>
    </row>
    <row r="37" spans="2:5" ht="15" customHeight="1" x14ac:dyDescent="0.35">
      <c r="B37" s="5" t="s">
        <v>31</v>
      </c>
      <c r="C37" s="6"/>
      <c r="D37" s="6"/>
    </row>
    <row r="39" spans="2:5" x14ac:dyDescent="0.35">
      <c r="B39" s="13" t="s">
        <v>34</v>
      </c>
    </row>
    <row r="40" spans="2:5" x14ac:dyDescent="0.35">
      <c r="B40" s="14" t="s">
        <v>35</v>
      </c>
    </row>
    <row r="41" spans="2:5" x14ac:dyDescent="0.35">
      <c r="B41" s="15" t="s">
        <v>21</v>
      </c>
      <c r="C41" s="15" t="s">
        <v>22</v>
      </c>
      <c r="D41" s="15" t="s">
        <v>23</v>
      </c>
      <c r="E41" s="15" t="s">
        <v>36</v>
      </c>
    </row>
    <row r="42" spans="2:5" x14ac:dyDescent="0.35">
      <c r="B42" s="16" t="s">
        <v>24</v>
      </c>
      <c r="C42" s="17">
        <v>6820</v>
      </c>
      <c r="D42" s="17">
        <v>7540</v>
      </c>
      <c r="E42" s="17" t="s">
        <v>56</v>
      </c>
    </row>
    <row r="43" spans="2:5" x14ac:dyDescent="0.35">
      <c r="B43" s="16" t="s">
        <v>25</v>
      </c>
      <c r="C43" s="17">
        <v>7760</v>
      </c>
      <c r="D43" s="17">
        <v>8580</v>
      </c>
      <c r="E43" s="17" t="s">
        <v>56</v>
      </c>
    </row>
    <row r="44" spans="2:5" x14ac:dyDescent="0.35">
      <c r="B44" s="16" t="s">
        <v>26</v>
      </c>
      <c r="C44" s="17">
        <v>9680</v>
      </c>
      <c r="D44" s="17">
        <v>9700</v>
      </c>
      <c r="E44" s="17" t="s">
        <v>56</v>
      </c>
    </row>
    <row r="45" spans="2:5" x14ac:dyDescent="0.35">
      <c r="B45" s="16" t="s">
        <v>27</v>
      </c>
      <c r="C45" s="17">
        <v>9960</v>
      </c>
      <c r="D45" s="17">
        <v>10160</v>
      </c>
      <c r="E45" s="17" t="s">
        <v>56</v>
      </c>
    </row>
    <row r="46" spans="2:5" x14ac:dyDescent="0.35">
      <c r="B46" s="16" t="s">
        <v>28</v>
      </c>
      <c r="C46" s="17">
        <v>10780</v>
      </c>
      <c r="D46" s="17">
        <v>10980</v>
      </c>
      <c r="E46" s="17" t="s">
        <v>56</v>
      </c>
    </row>
    <row r="47" spans="2:5" x14ac:dyDescent="0.35">
      <c r="B47" s="16" t="s">
        <v>29</v>
      </c>
      <c r="C47" s="17">
        <v>11460</v>
      </c>
      <c r="D47" s="17">
        <v>11760</v>
      </c>
      <c r="E47" s="17" t="s">
        <v>56</v>
      </c>
    </row>
    <row r="48" spans="2:5" x14ac:dyDescent="0.35">
      <c r="B48" s="16" t="s">
        <v>30</v>
      </c>
      <c r="C48" s="17">
        <v>21540</v>
      </c>
      <c r="D48" s="17">
        <v>23020</v>
      </c>
      <c r="E48" s="17" t="s">
        <v>56</v>
      </c>
    </row>
    <row r="49" spans="2:6" x14ac:dyDescent="0.35">
      <c r="B49" s="16" t="s">
        <v>31</v>
      </c>
      <c r="C49" s="17">
        <v>23600</v>
      </c>
      <c r="D49" s="17">
        <v>26440</v>
      </c>
      <c r="E49" s="17" t="s">
        <v>56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56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56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56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56</v>
      </c>
      <c r="F53" s="153"/>
    </row>
    <row r="54" spans="2:6" x14ac:dyDescent="0.35">
      <c r="B54" s="16" t="s">
        <v>51</v>
      </c>
      <c r="C54" s="17">
        <v>82660</v>
      </c>
      <c r="D54" s="17">
        <v>82860</v>
      </c>
      <c r="E54" s="155" t="s">
        <v>56</v>
      </c>
    </row>
    <row r="55" spans="2:6" x14ac:dyDescent="0.35">
      <c r="B55" s="16" t="s">
        <v>52</v>
      </c>
      <c r="C55" s="17">
        <v>83580</v>
      </c>
      <c r="D55" s="17">
        <v>84000</v>
      </c>
      <c r="E55" s="155" t="s">
        <v>56</v>
      </c>
    </row>
    <row r="56" spans="2:6" x14ac:dyDescent="0.35">
      <c r="B56" s="16" t="s">
        <v>53</v>
      </c>
      <c r="C56" s="17">
        <v>84750</v>
      </c>
      <c r="D56" s="17">
        <v>85200</v>
      </c>
      <c r="E56" s="155" t="s">
        <v>56</v>
      </c>
    </row>
    <row r="57" spans="2:6" x14ac:dyDescent="0.35">
      <c r="B57" s="16" t="s">
        <v>54</v>
      </c>
      <c r="C57" s="17">
        <v>89140</v>
      </c>
      <c r="D57" s="17">
        <v>89400</v>
      </c>
      <c r="E57" s="17"/>
    </row>
    <row r="58" spans="2:6" x14ac:dyDescent="0.35">
      <c r="B58" s="16" t="s">
        <v>55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phoneticPr fontId="19" type="noConversion"/>
  <dataValidations count="1">
    <dataValidation type="list" allowBlank="1" sqref="E42:E53" xr:uid="{00000000-0002-0000-0000-000000000000}">
      <formula1>"C,"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BAA6F-B094-4870-B646-3E66FE1EE6FE}">
  <dimension ref="A1:AM37"/>
  <sheetViews>
    <sheetView workbookViewId="0">
      <selection activeCell="E14" sqref="E14"/>
    </sheetView>
  </sheetViews>
  <sheetFormatPr defaultRowHeight="14.5" x14ac:dyDescent="0.35"/>
  <cols>
    <col min="1" max="1" width="17.26953125" style="20" bestFit="1" customWidth="1"/>
    <col min="2" max="24" width="8.7265625" style="20"/>
    <col min="25" max="39" width="8.7265625" style="9"/>
  </cols>
  <sheetData>
    <row r="1" spans="1:24" x14ac:dyDescent="0.35">
      <c r="A1" s="23" t="s">
        <v>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63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57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60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58</v>
      </c>
      <c r="B5" s="19"/>
      <c r="C5" s="19"/>
      <c r="D5" s="19"/>
      <c r="E5" s="19"/>
      <c r="F5" s="19"/>
      <c r="G5" s="19"/>
      <c r="H5" s="19"/>
      <c r="I5" s="18">
        <f>I6-H8</f>
        <v>5.5681122612536646E-2</v>
      </c>
      <c r="J5" s="18">
        <f>J6-I6</f>
        <v>6.0126232841078542E-2</v>
      </c>
      <c r="K5" s="18">
        <f t="shared" ref="K5:X5" si="1">K6-J6</f>
        <v>7.4787238135729905E-2</v>
      </c>
      <c r="L5" s="18">
        <f t="shared" si="1"/>
        <v>0.10018226433277233</v>
      </c>
      <c r="M5" s="18">
        <f t="shared" si="1"/>
        <v>7.5895784248031228E-2</v>
      </c>
      <c r="N5" s="18">
        <f t="shared" si="1"/>
        <v>2.9970372856917615E-2</v>
      </c>
      <c r="O5" s="18">
        <f t="shared" si="1"/>
        <v>5.1248471111156824E-2</v>
      </c>
      <c r="P5" s="18">
        <f t="shared" si="1"/>
        <v>5.8632920006427058E-2</v>
      </c>
      <c r="Q5" s="18">
        <f t="shared" si="1"/>
        <v>5.6407645053120459E-2</v>
      </c>
      <c r="R5" s="18">
        <f t="shared" si="1"/>
        <v>6.0917381831679496E-2</v>
      </c>
      <c r="S5" s="18">
        <f t="shared" si="1"/>
        <v>6.274495142708858E-2</v>
      </c>
      <c r="T5" s="18">
        <f t="shared" si="1"/>
        <v>6.8887452206161437E-2</v>
      </c>
      <c r="U5" s="18">
        <f t="shared" si="1"/>
        <v>4.5998290001694753E-2</v>
      </c>
      <c r="V5" s="18">
        <f t="shared" si="1"/>
        <v>6.9874482363482371E-2</v>
      </c>
      <c r="W5" s="18">
        <f t="shared" si="1"/>
        <v>4.269644674781492E-2</v>
      </c>
      <c r="X5" s="18">
        <f t="shared" si="1"/>
        <v>1.6489442243078356E-3</v>
      </c>
    </row>
    <row r="6" spans="1:24" x14ac:dyDescent="0.35">
      <c r="A6" s="20" t="s">
        <v>61</v>
      </c>
      <c r="B6" s="19"/>
      <c r="C6" s="19"/>
      <c r="D6" s="19"/>
      <c r="E6" s="19"/>
      <c r="F6" s="19"/>
      <c r="G6" s="19"/>
      <c r="H6" s="19"/>
      <c r="I6" s="18">
        <v>0.13998112261253665</v>
      </c>
      <c r="J6" s="18">
        <v>0.20010735545361519</v>
      </c>
      <c r="K6" s="18">
        <v>0.27489459358934509</v>
      </c>
      <c r="L6" s="18">
        <v>0.37507685792211742</v>
      </c>
      <c r="M6" s="18">
        <v>0.45097264217014865</v>
      </c>
      <c r="N6" s="18">
        <v>0.48094301502706627</v>
      </c>
      <c r="O6" s="18">
        <v>0.53219148613822309</v>
      </c>
      <c r="P6" s="18">
        <v>0.59082440614465015</v>
      </c>
      <c r="Q6" s="18">
        <v>0.64723205119777061</v>
      </c>
      <c r="R6" s="18">
        <v>0.7081494330294501</v>
      </c>
      <c r="S6" s="18">
        <v>0.77089438445653868</v>
      </c>
      <c r="T6" s="18">
        <v>0.83978183666270012</v>
      </c>
      <c r="U6" s="18">
        <v>0.88578012666439487</v>
      </c>
      <c r="V6" s="18">
        <v>0.95565460902787724</v>
      </c>
      <c r="W6" s="18">
        <v>0.99835105577569216</v>
      </c>
      <c r="X6" s="18">
        <v>1</v>
      </c>
    </row>
    <row r="7" spans="1:24" x14ac:dyDescent="0.35">
      <c r="A7" s="20" t="s">
        <v>59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3.0899999999999997E-2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62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0.1152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65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63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57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60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58</v>
      </c>
      <c r="B14" s="19"/>
      <c r="C14" s="19"/>
      <c r="D14" s="19"/>
      <c r="E14" s="19"/>
      <c r="F14" s="19"/>
      <c r="G14" s="19"/>
      <c r="H14" s="18">
        <f>H16</f>
        <v>3.0753542478033292E-2</v>
      </c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61</v>
      </c>
      <c r="B15" s="19"/>
      <c r="C15" s="19"/>
      <c r="D15" s="19"/>
      <c r="E15" s="19"/>
      <c r="F15" s="19"/>
      <c r="G15" s="19"/>
      <c r="H15" s="18">
        <f>H17</f>
        <v>0.10590449752699597</v>
      </c>
      <c r="I15" s="18">
        <f>I14+H15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59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8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62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8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66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63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57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59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3">
        <f>HISTOGRAMA!Q33</f>
        <v>214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67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63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57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59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3">
        <f>HISTOGRAMA!Q79</f>
        <v>96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68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63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57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59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3">
        <f>HISTOGRAMA!Q116</f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69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63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57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59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3">
        <f>HISTOGRAMA!Q90</f>
        <v>43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6F1F-C0D7-43E4-BBCA-F0E8F422D280}">
  <dimension ref="A1:BR135"/>
  <sheetViews>
    <sheetView workbookViewId="0">
      <selection activeCell="E14" sqref="E14"/>
    </sheetView>
  </sheetViews>
  <sheetFormatPr defaultRowHeight="14.5" outlineLevelCol="1" x14ac:dyDescent="0.35"/>
  <cols>
    <col min="1" max="1" width="31.6328125" bestFit="1" customWidth="1"/>
    <col min="2" max="47" width="8.7265625" customWidth="1" outlineLevel="1"/>
    <col min="48" max="70" width="8.7265625" customWidth="1"/>
  </cols>
  <sheetData>
    <row r="1" spans="1:70" ht="15" thickBot="1" x14ac:dyDescent="0.4">
      <c r="A1" s="131" t="s">
        <v>100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ht="15" thickBot="1" x14ac:dyDescent="0.4">
      <c r="A2" s="132"/>
      <c r="B2" s="27" t="s">
        <v>101</v>
      </c>
      <c r="C2" s="28" t="s">
        <v>102</v>
      </c>
      <c r="D2" s="27" t="s">
        <v>101</v>
      </c>
      <c r="E2" s="28" t="s">
        <v>102</v>
      </c>
      <c r="F2" s="27" t="s">
        <v>101</v>
      </c>
      <c r="G2" s="28" t="s">
        <v>102</v>
      </c>
      <c r="H2" s="27" t="s">
        <v>101</v>
      </c>
      <c r="I2" s="28" t="s">
        <v>102</v>
      </c>
      <c r="J2" s="27" t="s">
        <v>101</v>
      </c>
      <c r="K2" s="28" t="s">
        <v>102</v>
      </c>
      <c r="L2" s="27" t="s">
        <v>101</v>
      </c>
      <c r="M2" s="28" t="s">
        <v>102</v>
      </c>
      <c r="N2" s="27" t="s">
        <v>101</v>
      </c>
      <c r="O2" s="28" t="s">
        <v>102</v>
      </c>
      <c r="P2" s="27" t="s">
        <v>101</v>
      </c>
      <c r="Q2" s="28" t="s">
        <v>102</v>
      </c>
      <c r="R2" s="27" t="s">
        <v>101</v>
      </c>
      <c r="S2" s="28" t="s">
        <v>102</v>
      </c>
      <c r="T2" s="27" t="s">
        <v>101</v>
      </c>
      <c r="U2" s="28" t="s">
        <v>102</v>
      </c>
      <c r="V2" s="27" t="s">
        <v>101</v>
      </c>
      <c r="W2" s="28" t="s">
        <v>102</v>
      </c>
      <c r="X2" s="27" t="s">
        <v>101</v>
      </c>
      <c r="Y2" s="28" t="s">
        <v>102</v>
      </c>
      <c r="Z2" s="27" t="s">
        <v>101</v>
      </c>
      <c r="AA2" s="28" t="s">
        <v>102</v>
      </c>
      <c r="AB2" s="27" t="s">
        <v>101</v>
      </c>
      <c r="AC2" s="28" t="s">
        <v>102</v>
      </c>
      <c r="AD2" s="27" t="s">
        <v>101</v>
      </c>
      <c r="AE2" s="28" t="s">
        <v>102</v>
      </c>
      <c r="AF2" s="27" t="s">
        <v>101</v>
      </c>
      <c r="AG2" s="28" t="s">
        <v>102</v>
      </c>
      <c r="AH2" s="27" t="s">
        <v>101</v>
      </c>
      <c r="AI2" s="28" t="s">
        <v>102</v>
      </c>
      <c r="AJ2" s="27" t="s">
        <v>101</v>
      </c>
      <c r="AK2" s="28" t="s">
        <v>102</v>
      </c>
      <c r="AL2" s="27" t="s">
        <v>101</v>
      </c>
      <c r="AM2" s="28" t="s">
        <v>102</v>
      </c>
      <c r="AN2" s="27" t="s">
        <v>101</v>
      </c>
      <c r="AO2" s="28" t="s">
        <v>102</v>
      </c>
      <c r="AP2" s="27" t="s">
        <v>101</v>
      </c>
      <c r="AQ2" s="28" t="s">
        <v>102</v>
      </c>
      <c r="AR2" s="27" t="s">
        <v>101</v>
      </c>
      <c r="AS2" s="28" t="s">
        <v>102</v>
      </c>
      <c r="AT2" s="27" t="s">
        <v>101</v>
      </c>
      <c r="AU2" s="29" t="s">
        <v>102</v>
      </c>
      <c r="AV2" s="66" t="s">
        <v>165</v>
      </c>
      <c r="AW2" s="27" t="s">
        <v>165</v>
      </c>
      <c r="AX2" s="27" t="s">
        <v>165</v>
      </c>
      <c r="AY2" s="27" t="s">
        <v>165</v>
      </c>
      <c r="AZ2" s="27" t="s">
        <v>165</v>
      </c>
      <c r="BA2" s="27" t="s">
        <v>165</v>
      </c>
      <c r="BB2" s="27" t="s">
        <v>165</v>
      </c>
      <c r="BC2" s="27" t="s">
        <v>165</v>
      </c>
      <c r="BD2" s="27" t="s">
        <v>165</v>
      </c>
      <c r="BE2" s="27" t="s">
        <v>165</v>
      </c>
      <c r="BF2" s="27" t="s">
        <v>165</v>
      </c>
      <c r="BG2" s="27" t="s">
        <v>165</v>
      </c>
      <c r="BH2" s="27" t="s">
        <v>165</v>
      </c>
      <c r="BI2" s="27" t="s">
        <v>165</v>
      </c>
      <c r="BJ2" s="27" t="s">
        <v>165</v>
      </c>
      <c r="BK2" s="27" t="s">
        <v>165</v>
      </c>
      <c r="BL2" s="27" t="s">
        <v>165</v>
      </c>
      <c r="BM2" s="27" t="s">
        <v>165</v>
      </c>
      <c r="BN2" s="27" t="s">
        <v>165</v>
      </c>
      <c r="BO2" s="27" t="s">
        <v>165</v>
      </c>
      <c r="BP2" s="27" t="s">
        <v>165</v>
      </c>
      <c r="BQ2" s="27" t="s">
        <v>165</v>
      </c>
      <c r="BR2" s="67" t="s">
        <v>165</v>
      </c>
    </row>
    <row r="3" spans="1:70" x14ac:dyDescent="0.35">
      <c r="A3" s="30" t="s">
        <v>70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71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45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-51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72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>
        <v>0</v>
      </c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73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74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75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>
        <v>5</v>
      </c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1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76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77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78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79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>
        <v>0</v>
      </c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80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81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2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0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82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83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84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58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35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85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86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29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7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87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14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-4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88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89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90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91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>
        <v>0</v>
      </c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92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93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94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>
        <v>0</v>
      </c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95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96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97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0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-1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98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0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-2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ht="15" thickBot="1" x14ac:dyDescent="0.4">
      <c r="A32" s="41" t="s">
        <v>99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ht="15" thickBot="1" x14ac:dyDescent="0.4">
      <c r="A33" s="48" t="s">
        <v>103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214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-46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ht="15" thickBot="1" x14ac:dyDescent="0.4">
      <c r="O34" s="45"/>
    </row>
    <row r="35" spans="1:70" ht="15" thickBot="1" x14ac:dyDescent="0.4">
      <c r="A35" s="166" t="s">
        <v>104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ht="15" thickBot="1" x14ac:dyDescent="0.4">
      <c r="A36" s="167"/>
      <c r="B36" s="27" t="s">
        <v>101</v>
      </c>
      <c r="C36" s="28" t="s">
        <v>102</v>
      </c>
      <c r="D36" s="27" t="s">
        <v>101</v>
      </c>
      <c r="E36" s="28" t="s">
        <v>102</v>
      </c>
      <c r="F36" s="27" t="s">
        <v>101</v>
      </c>
      <c r="G36" s="28" t="s">
        <v>102</v>
      </c>
      <c r="H36" s="27" t="s">
        <v>101</v>
      </c>
      <c r="I36" s="28" t="s">
        <v>102</v>
      </c>
      <c r="J36" s="27" t="s">
        <v>101</v>
      </c>
      <c r="K36" s="28" t="s">
        <v>102</v>
      </c>
      <c r="L36" s="27" t="s">
        <v>101</v>
      </c>
      <c r="M36" s="28" t="s">
        <v>102</v>
      </c>
      <c r="N36" s="27" t="s">
        <v>101</v>
      </c>
      <c r="O36" s="28" t="s">
        <v>102</v>
      </c>
      <c r="P36" s="27" t="s">
        <v>101</v>
      </c>
      <c r="Q36" s="28" t="s">
        <v>102</v>
      </c>
      <c r="R36" s="27" t="s">
        <v>101</v>
      </c>
      <c r="S36" s="28" t="s">
        <v>102</v>
      </c>
      <c r="T36" s="27" t="s">
        <v>101</v>
      </c>
      <c r="U36" s="28" t="s">
        <v>102</v>
      </c>
      <c r="V36" s="27" t="s">
        <v>101</v>
      </c>
      <c r="W36" s="28" t="s">
        <v>102</v>
      </c>
      <c r="X36" s="27" t="s">
        <v>101</v>
      </c>
      <c r="Y36" s="28" t="s">
        <v>102</v>
      </c>
      <c r="Z36" s="27" t="s">
        <v>101</v>
      </c>
      <c r="AA36" s="28" t="s">
        <v>102</v>
      </c>
      <c r="AB36" s="27" t="s">
        <v>101</v>
      </c>
      <c r="AC36" s="28" t="s">
        <v>102</v>
      </c>
      <c r="AD36" s="27" t="s">
        <v>101</v>
      </c>
      <c r="AE36" s="28" t="s">
        <v>102</v>
      </c>
      <c r="AF36" s="27" t="s">
        <v>101</v>
      </c>
      <c r="AG36" s="28" t="s">
        <v>102</v>
      </c>
      <c r="AH36" s="27" t="s">
        <v>101</v>
      </c>
      <c r="AI36" s="28" t="s">
        <v>102</v>
      </c>
      <c r="AJ36" s="27" t="s">
        <v>101</v>
      </c>
      <c r="AK36" s="28" t="s">
        <v>102</v>
      </c>
      <c r="AL36" s="27" t="s">
        <v>101</v>
      </c>
      <c r="AM36" s="28" t="s">
        <v>102</v>
      </c>
      <c r="AN36" s="27" t="s">
        <v>101</v>
      </c>
      <c r="AO36" s="28" t="s">
        <v>102</v>
      </c>
      <c r="AP36" s="27" t="s">
        <v>101</v>
      </c>
      <c r="AQ36" s="28" t="s">
        <v>102</v>
      </c>
      <c r="AR36" s="27" t="s">
        <v>101</v>
      </c>
      <c r="AS36" s="28" t="s">
        <v>102</v>
      </c>
      <c r="AT36" s="27" t="s">
        <v>101</v>
      </c>
      <c r="AU36" s="29" t="s">
        <v>102</v>
      </c>
      <c r="AV36" s="66" t="s">
        <v>165</v>
      </c>
      <c r="AW36" s="27" t="s">
        <v>165</v>
      </c>
      <c r="AX36" s="27" t="s">
        <v>165</v>
      </c>
      <c r="AY36" s="27" t="s">
        <v>165</v>
      </c>
      <c r="AZ36" s="27" t="s">
        <v>165</v>
      </c>
      <c r="BA36" s="27" t="s">
        <v>165</v>
      </c>
      <c r="BB36" s="27" t="s">
        <v>165</v>
      </c>
      <c r="BC36" s="27" t="s">
        <v>165</v>
      </c>
      <c r="BD36" s="27" t="s">
        <v>165</v>
      </c>
      <c r="BE36" s="27" t="s">
        <v>165</v>
      </c>
      <c r="BF36" s="27" t="s">
        <v>165</v>
      </c>
      <c r="BG36" s="27" t="s">
        <v>165</v>
      </c>
      <c r="BH36" s="27" t="s">
        <v>165</v>
      </c>
      <c r="BI36" s="27" t="s">
        <v>165</v>
      </c>
      <c r="BJ36" s="27" t="s">
        <v>165</v>
      </c>
      <c r="BK36" s="27" t="s">
        <v>165</v>
      </c>
      <c r="BL36" s="27" t="s">
        <v>165</v>
      </c>
      <c r="BM36" s="27" t="s">
        <v>165</v>
      </c>
      <c r="BN36" s="27" t="s">
        <v>165</v>
      </c>
      <c r="BO36" s="27" t="s">
        <v>165</v>
      </c>
      <c r="BP36" s="27" t="s">
        <v>165</v>
      </c>
      <c r="BQ36" s="27" t="s">
        <v>165</v>
      </c>
      <c r="BR36" s="67" t="s">
        <v>165</v>
      </c>
    </row>
    <row r="37" spans="1:70" x14ac:dyDescent="0.35">
      <c r="A37" s="30" t="s">
        <v>105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5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2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106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107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108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>
        <v>0</v>
      </c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109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110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>
        <v>0</v>
      </c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111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1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-3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112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113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>
        <v>0</v>
      </c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114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115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116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117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118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>
        <v>1</v>
      </c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-1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119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120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121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122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2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0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123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124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125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126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127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128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129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>
        <v>0</v>
      </c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130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>
        <v>0</v>
      </c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131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7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5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132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133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134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135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136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137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>
        <v>0</v>
      </c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138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>
        <v>0</v>
      </c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139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140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141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142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143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144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145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>
        <v>0</v>
      </c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ht="15" thickBot="1" x14ac:dyDescent="0.4">
      <c r="A78" s="41" t="s">
        <v>146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ht="15" thickBot="1" x14ac:dyDescent="0.4">
      <c r="A79" s="48" t="s">
        <v>103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96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-11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ht="15" thickBot="1" x14ac:dyDescent="0.4">
      <c r="O80" s="45"/>
    </row>
    <row r="81" spans="1:70" ht="15" thickBot="1" x14ac:dyDescent="0.4">
      <c r="A81" s="166" t="s">
        <v>150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ht="15" thickBot="1" x14ac:dyDescent="0.4">
      <c r="A82" s="168"/>
      <c r="B82" s="27" t="s">
        <v>101</v>
      </c>
      <c r="C82" s="28" t="s">
        <v>102</v>
      </c>
      <c r="D82" s="27" t="s">
        <v>101</v>
      </c>
      <c r="E82" s="28" t="s">
        <v>102</v>
      </c>
      <c r="F82" s="27" t="s">
        <v>101</v>
      </c>
      <c r="G82" s="28" t="s">
        <v>102</v>
      </c>
      <c r="H82" s="27" t="s">
        <v>101</v>
      </c>
      <c r="I82" s="28" t="s">
        <v>102</v>
      </c>
      <c r="J82" s="27" t="s">
        <v>101</v>
      </c>
      <c r="K82" s="28" t="s">
        <v>102</v>
      </c>
      <c r="L82" s="27" t="s">
        <v>101</v>
      </c>
      <c r="M82" s="28" t="s">
        <v>102</v>
      </c>
      <c r="N82" s="27" t="s">
        <v>101</v>
      </c>
      <c r="O82" s="28" t="s">
        <v>102</v>
      </c>
      <c r="P82" s="27" t="s">
        <v>101</v>
      </c>
      <c r="Q82" s="28" t="s">
        <v>102</v>
      </c>
      <c r="R82" s="27" t="s">
        <v>101</v>
      </c>
      <c r="S82" s="28" t="s">
        <v>102</v>
      </c>
      <c r="T82" s="27" t="s">
        <v>101</v>
      </c>
      <c r="U82" s="28" t="s">
        <v>102</v>
      </c>
      <c r="V82" s="27" t="s">
        <v>101</v>
      </c>
      <c r="W82" s="28" t="s">
        <v>102</v>
      </c>
      <c r="X82" s="27" t="s">
        <v>101</v>
      </c>
      <c r="Y82" s="28" t="s">
        <v>102</v>
      </c>
      <c r="Z82" s="27" t="s">
        <v>101</v>
      </c>
      <c r="AA82" s="28" t="s">
        <v>102</v>
      </c>
      <c r="AB82" s="27" t="s">
        <v>101</v>
      </c>
      <c r="AC82" s="28" t="s">
        <v>102</v>
      </c>
      <c r="AD82" s="27" t="s">
        <v>101</v>
      </c>
      <c r="AE82" s="28" t="s">
        <v>102</v>
      </c>
      <c r="AF82" s="27" t="s">
        <v>101</v>
      </c>
      <c r="AG82" s="28" t="s">
        <v>102</v>
      </c>
      <c r="AH82" s="27" t="s">
        <v>101</v>
      </c>
      <c r="AI82" s="28" t="s">
        <v>102</v>
      </c>
      <c r="AJ82" s="27" t="s">
        <v>101</v>
      </c>
      <c r="AK82" s="28" t="s">
        <v>102</v>
      </c>
      <c r="AL82" s="27" t="s">
        <v>101</v>
      </c>
      <c r="AM82" s="28" t="s">
        <v>102</v>
      </c>
      <c r="AN82" s="27" t="s">
        <v>101</v>
      </c>
      <c r="AO82" s="28" t="s">
        <v>102</v>
      </c>
      <c r="AP82" s="27" t="s">
        <v>101</v>
      </c>
      <c r="AQ82" s="28" t="s">
        <v>102</v>
      </c>
      <c r="AR82" s="27" t="s">
        <v>101</v>
      </c>
      <c r="AS82" s="28" t="s">
        <v>102</v>
      </c>
      <c r="AT82" s="27" t="s">
        <v>101</v>
      </c>
      <c r="AU82" s="29" t="s">
        <v>102</v>
      </c>
      <c r="AV82" s="66" t="s">
        <v>165</v>
      </c>
      <c r="AW82" s="27" t="s">
        <v>165</v>
      </c>
      <c r="AX82" s="27" t="s">
        <v>165</v>
      </c>
      <c r="AY82" s="27" t="s">
        <v>165</v>
      </c>
      <c r="AZ82" s="27" t="s">
        <v>165</v>
      </c>
      <c r="BA82" s="27" t="s">
        <v>165</v>
      </c>
      <c r="BB82" s="27" t="s">
        <v>165</v>
      </c>
      <c r="BC82" s="27" t="s">
        <v>165</v>
      </c>
      <c r="BD82" s="27" t="s">
        <v>165</v>
      </c>
      <c r="BE82" s="27" t="s">
        <v>165</v>
      </c>
      <c r="BF82" s="27" t="s">
        <v>165</v>
      </c>
      <c r="BG82" s="27" t="s">
        <v>165</v>
      </c>
      <c r="BH82" s="27" t="s">
        <v>165</v>
      </c>
      <c r="BI82" s="27" t="s">
        <v>165</v>
      </c>
      <c r="BJ82" s="27" t="s">
        <v>165</v>
      </c>
      <c r="BK82" s="27" t="s">
        <v>165</v>
      </c>
      <c r="BL82" s="27" t="s">
        <v>165</v>
      </c>
      <c r="BM82" s="27" t="s">
        <v>165</v>
      </c>
      <c r="BN82" s="27" t="s">
        <v>165</v>
      </c>
      <c r="BO82" s="27" t="s">
        <v>165</v>
      </c>
      <c r="BP82" s="27" t="s">
        <v>165</v>
      </c>
      <c r="BQ82" s="27" t="s">
        <v>165</v>
      </c>
      <c r="BR82" s="67" t="s">
        <v>165</v>
      </c>
    </row>
    <row r="83" spans="1:70" x14ac:dyDescent="0.35">
      <c r="A83" s="30" t="s">
        <v>170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170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8">C84-B84</f>
        <v>0</v>
      </c>
      <c r="AW84" s="36">
        <f t="shared" ref="AW84:AW87" si="59">E84-D84</f>
        <v>-1</v>
      </c>
      <c r="AX84" s="36">
        <f t="shared" ref="AX84:AX87" si="60">G84-F84</f>
        <v>0</v>
      </c>
      <c r="AY84" s="36">
        <f t="shared" ref="AY84:AY87" si="61">I84-H84</f>
        <v>-7</v>
      </c>
      <c r="AZ84" s="36">
        <f t="shared" ref="AZ84:AZ87" si="62">K84-J84</f>
        <v>-7</v>
      </c>
      <c r="BA84" s="36">
        <f t="shared" ref="BA84:BA87" si="63">M84-L84</f>
        <v>-7</v>
      </c>
      <c r="BB84" s="36">
        <f t="shared" ref="BB84:BB87" si="64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170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/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8"/>
        <v>0</v>
      </c>
      <c r="AW85" s="39">
        <f t="shared" si="59"/>
        <v>0</v>
      </c>
      <c r="AX85" s="39">
        <f t="shared" si="60"/>
        <v>-3</v>
      </c>
      <c r="AY85" s="39">
        <f t="shared" si="61"/>
        <v>-5</v>
      </c>
      <c r="AZ85" s="39">
        <f t="shared" si="62"/>
        <v>-7</v>
      </c>
      <c r="BA85" s="39">
        <f t="shared" si="63"/>
        <v>-7</v>
      </c>
      <c r="BB85" s="39">
        <f t="shared" si="64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170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8"/>
        <v>0</v>
      </c>
      <c r="AW86" s="36">
        <f t="shared" si="59"/>
        <v>1</v>
      </c>
      <c r="AX86" s="36">
        <f t="shared" si="60"/>
        <v>1</v>
      </c>
      <c r="AY86" s="36">
        <f t="shared" si="61"/>
        <v>1</v>
      </c>
      <c r="AZ86" s="36">
        <f t="shared" si="62"/>
        <v>1</v>
      </c>
      <c r="BA86" s="36">
        <f t="shared" si="63"/>
        <v>1</v>
      </c>
      <c r="BB86" s="36">
        <f t="shared" si="64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147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8"/>
        <v>0</v>
      </c>
      <c r="AW87" s="39">
        <f t="shared" si="59"/>
        <v>0</v>
      </c>
      <c r="AX87" s="39">
        <f t="shared" si="60"/>
        <v>0</v>
      </c>
      <c r="AY87" s="39">
        <f t="shared" si="61"/>
        <v>-1</v>
      </c>
      <c r="AZ87" s="39">
        <f t="shared" si="62"/>
        <v>-1</v>
      </c>
      <c r="BA87" s="39">
        <f t="shared" si="63"/>
        <v>-1</v>
      </c>
      <c r="BB87" s="39">
        <f t="shared" si="64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148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5">C88-B88</f>
        <v>0</v>
      </c>
      <c r="AW88" s="36">
        <f t="shared" ref="AW88:AW89" si="66">E88-D88</f>
        <v>6</v>
      </c>
      <c r="AX88" s="36">
        <f t="shared" ref="AX88:AX89" si="67">G88-F88</f>
        <v>0</v>
      </c>
      <c r="AY88" s="36">
        <f t="shared" ref="AY88:AY89" si="68">I88-H88</f>
        <v>-1</v>
      </c>
      <c r="AZ88" s="36">
        <f t="shared" ref="AZ88:AZ89" si="69">K88-J88</f>
        <v>-1</v>
      </c>
      <c r="BA88" s="36">
        <f t="shared" ref="BA88:BA89" si="70">M88-L88</f>
        <v>-1</v>
      </c>
      <c r="BB88" s="36">
        <f t="shared" ref="BB88:BB89" si="71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ht="15" thickBot="1" x14ac:dyDescent="0.4">
      <c r="A89" s="53" t="s">
        <v>149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v>3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5"/>
        <v>0</v>
      </c>
      <c r="AW89" s="39">
        <f t="shared" si="66"/>
        <v>0</v>
      </c>
      <c r="AX89" s="39">
        <f t="shared" si="67"/>
        <v>0</v>
      </c>
      <c r="AY89" s="39">
        <f t="shared" si="68"/>
        <v>-1</v>
      </c>
      <c r="AZ89" s="39">
        <f t="shared" si="69"/>
        <v>-1</v>
      </c>
      <c r="BA89" s="39">
        <f t="shared" si="70"/>
        <v>-1</v>
      </c>
      <c r="BB89" s="39">
        <f t="shared" si="71"/>
        <v>-1</v>
      </c>
      <c r="BC89" s="39">
        <f t="shared" si="57"/>
        <v>0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ht="15" thickBot="1" x14ac:dyDescent="0.4">
      <c r="A90" s="48" t="s">
        <v>103</v>
      </c>
      <c r="B90" s="49">
        <f>SUM(B83:B89)</f>
        <v>0</v>
      </c>
      <c r="C90" s="49">
        <f t="shared" ref="C90:AU90" si="72">SUM(C83:C89)</f>
        <v>0</v>
      </c>
      <c r="D90" s="49">
        <f t="shared" si="72"/>
        <v>4</v>
      </c>
      <c r="E90" s="49">
        <f t="shared" si="72"/>
        <v>13</v>
      </c>
      <c r="F90" s="49">
        <f t="shared" si="72"/>
        <v>20</v>
      </c>
      <c r="G90" s="49">
        <f t="shared" si="72"/>
        <v>25</v>
      </c>
      <c r="H90" s="49">
        <f t="shared" si="72"/>
        <v>32</v>
      </c>
      <c r="I90" s="49">
        <f t="shared" si="72"/>
        <v>25</v>
      </c>
      <c r="J90" s="49">
        <f t="shared" si="72"/>
        <v>34</v>
      </c>
      <c r="K90" s="49">
        <f t="shared" si="72"/>
        <v>38</v>
      </c>
      <c r="L90" s="49">
        <f t="shared" si="72"/>
        <v>34</v>
      </c>
      <c r="M90" s="49">
        <f t="shared" si="72"/>
        <v>41</v>
      </c>
      <c r="N90" s="49">
        <f t="shared" si="72"/>
        <v>34</v>
      </c>
      <c r="O90" s="49">
        <f t="shared" si="72"/>
        <v>42</v>
      </c>
      <c r="P90" s="49">
        <f t="shared" si="72"/>
        <v>34</v>
      </c>
      <c r="Q90" s="49">
        <f t="shared" si="72"/>
        <v>43</v>
      </c>
      <c r="R90" s="49">
        <f t="shared" si="72"/>
        <v>34</v>
      </c>
      <c r="S90" s="49">
        <f t="shared" si="72"/>
        <v>0</v>
      </c>
      <c r="T90" s="49">
        <f t="shared" si="72"/>
        <v>34</v>
      </c>
      <c r="U90" s="49">
        <f t="shared" si="72"/>
        <v>0</v>
      </c>
      <c r="V90" s="49">
        <f t="shared" si="72"/>
        <v>34</v>
      </c>
      <c r="W90" s="49">
        <f t="shared" si="72"/>
        <v>0</v>
      </c>
      <c r="X90" s="49">
        <f t="shared" si="72"/>
        <v>34</v>
      </c>
      <c r="Y90" s="49">
        <f t="shared" si="72"/>
        <v>0</v>
      </c>
      <c r="Z90" s="49">
        <f t="shared" si="72"/>
        <v>34</v>
      </c>
      <c r="AA90" s="49">
        <f t="shared" si="72"/>
        <v>0</v>
      </c>
      <c r="AB90" s="49">
        <f t="shared" si="72"/>
        <v>34</v>
      </c>
      <c r="AC90" s="49">
        <f t="shared" si="72"/>
        <v>0</v>
      </c>
      <c r="AD90" s="49">
        <f t="shared" si="72"/>
        <v>34</v>
      </c>
      <c r="AE90" s="49">
        <f t="shared" si="72"/>
        <v>0</v>
      </c>
      <c r="AF90" s="49">
        <f t="shared" si="72"/>
        <v>35</v>
      </c>
      <c r="AG90" s="49">
        <f t="shared" si="72"/>
        <v>0</v>
      </c>
      <c r="AH90" s="49">
        <f t="shared" si="72"/>
        <v>35</v>
      </c>
      <c r="AI90" s="49">
        <f t="shared" si="72"/>
        <v>0</v>
      </c>
      <c r="AJ90" s="49">
        <f t="shared" si="72"/>
        <v>35</v>
      </c>
      <c r="AK90" s="49">
        <f t="shared" si="72"/>
        <v>0</v>
      </c>
      <c r="AL90" s="49">
        <f t="shared" si="72"/>
        <v>35</v>
      </c>
      <c r="AM90" s="49">
        <f t="shared" si="72"/>
        <v>0</v>
      </c>
      <c r="AN90" s="49">
        <f t="shared" si="72"/>
        <v>35</v>
      </c>
      <c r="AO90" s="49">
        <f t="shared" si="72"/>
        <v>0</v>
      </c>
      <c r="AP90" s="49">
        <f t="shared" si="72"/>
        <v>35</v>
      </c>
      <c r="AQ90" s="49">
        <f t="shared" si="72"/>
        <v>0</v>
      </c>
      <c r="AR90" s="49">
        <f t="shared" si="72"/>
        <v>32</v>
      </c>
      <c r="AS90" s="49">
        <f t="shared" si="72"/>
        <v>0</v>
      </c>
      <c r="AT90" s="49">
        <f t="shared" si="72"/>
        <v>15</v>
      </c>
      <c r="AU90" s="52">
        <f t="shared" si="72"/>
        <v>0</v>
      </c>
      <c r="AV90" s="74">
        <f>SUM(AV83:AV89)</f>
        <v>0</v>
      </c>
      <c r="AW90" s="75">
        <f t="shared" ref="AW90:BR90" si="73">SUM(AW83:AW89)</f>
        <v>9</v>
      </c>
      <c r="AX90" s="75">
        <f t="shared" si="73"/>
        <v>5</v>
      </c>
      <c r="AY90" s="75">
        <f t="shared" si="73"/>
        <v>-7</v>
      </c>
      <c r="AZ90" s="75">
        <f t="shared" si="73"/>
        <v>4</v>
      </c>
      <c r="BA90" s="75">
        <f t="shared" si="73"/>
        <v>7</v>
      </c>
      <c r="BB90" s="75">
        <f t="shared" si="73"/>
        <v>8</v>
      </c>
      <c r="BC90" s="75">
        <f t="shared" si="73"/>
        <v>9</v>
      </c>
      <c r="BD90" s="75">
        <f t="shared" si="73"/>
        <v>0</v>
      </c>
      <c r="BE90" s="75">
        <f t="shared" si="73"/>
        <v>0</v>
      </c>
      <c r="BF90" s="75">
        <f t="shared" si="73"/>
        <v>0</v>
      </c>
      <c r="BG90" s="75">
        <f t="shared" si="73"/>
        <v>0</v>
      </c>
      <c r="BH90" s="75">
        <f t="shared" si="73"/>
        <v>0</v>
      </c>
      <c r="BI90" s="75">
        <f t="shared" si="73"/>
        <v>0</v>
      </c>
      <c r="BJ90" s="75">
        <f t="shared" si="73"/>
        <v>0</v>
      </c>
      <c r="BK90" s="75">
        <f t="shared" si="73"/>
        <v>0</v>
      </c>
      <c r="BL90" s="75">
        <f t="shared" si="73"/>
        <v>0</v>
      </c>
      <c r="BM90" s="75">
        <f t="shared" si="73"/>
        <v>0</v>
      </c>
      <c r="BN90" s="75">
        <f t="shared" si="73"/>
        <v>0</v>
      </c>
      <c r="BO90" s="75">
        <f t="shared" si="73"/>
        <v>0</v>
      </c>
      <c r="BP90" s="75">
        <f t="shared" si="73"/>
        <v>0</v>
      </c>
      <c r="BQ90" s="75">
        <f t="shared" si="73"/>
        <v>0</v>
      </c>
      <c r="BR90" s="76">
        <f t="shared" si="73"/>
        <v>0</v>
      </c>
    </row>
    <row r="91" spans="1:70" ht="15" thickBot="1" x14ac:dyDescent="0.4">
      <c r="O91" s="45"/>
    </row>
    <row r="92" spans="1:70" ht="15" thickBot="1" x14ac:dyDescent="0.4">
      <c r="A92" s="166" t="s">
        <v>164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ht="15" thickBot="1" x14ac:dyDescent="0.4">
      <c r="A93" s="167"/>
      <c r="B93" s="27" t="s">
        <v>101</v>
      </c>
      <c r="C93" s="28" t="s">
        <v>102</v>
      </c>
      <c r="D93" s="27" t="s">
        <v>101</v>
      </c>
      <c r="E93" s="28" t="s">
        <v>102</v>
      </c>
      <c r="F93" s="27" t="s">
        <v>101</v>
      </c>
      <c r="G93" s="28" t="s">
        <v>102</v>
      </c>
      <c r="H93" s="27" t="s">
        <v>101</v>
      </c>
      <c r="I93" s="28" t="s">
        <v>102</v>
      </c>
      <c r="J93" s="27" t="s">
        <v>101</v>
      </c>
      <c r="K93" s="28" t="s">
        <v>102</v>
      </c>
      <c r="L93" s="27" t="s">
        <v>101</v>
      </c>
      <c r="M93" s="28" t="s">
        <v>102</v>
      </c>
      <c r="N93" s="27" t="s">
        <v>101</v>
      </c>
      <c r="O93" s="28" t="s">
        <v>102</v>
      </c>
      <c r="P93" s="27" t="s">
        <v>101</v>
      </c>
      <c r="Q93" s="28" t="s">
        <v>102</v>
      </c>
      <c r="R93" s="27" t="s">
        <v>101</v>
      </c>
      <c r="S93" s="28" t="s">
        <v>102</v>
      </c>
      <c r="T93" s="27" t="s">
        <v>101</v>
      </c>
      <c r="U93" s="28" t="s">
        <v>102</v>
      </c>
      <c r="V93" s="27" t="s">
        <v>101</v>
      </c>
      <c r="W93" s="28" t="s">
        <v>102</v>
      </c>
      <c r="X93" s="27" t="s">
        <v>101</v>
      </c>
      <c r="Y93" s="28" t="s">
        <v>102</v>
      </c>
      <c r="Z93" s="27" t="s">
        <v>101</v>
      </c>
      <c r="AA93" s="28" t="s">
        <v>102</v>
      </c>
      <c r="AB93" s="27" t="s">
        <v>101</v>
      </c>
      <c r="AC93" s="28" t="s">
        <v>102</v>
      </c>
      <c r="AD93" s="27" t="s">
        <v>101</v>
      </c>
      <c r="AE93" s="28" t="s">
        <v>102</v>
      </c>
      <c r="AF93" s="27" t="s">
        <v>101</v>
      </c>
      <c r="AG93" s="28" t="s">
        <v>102</v>
      </c>
      <c r="AH93" s="27" t="s">
        <v>101</v>
      </c>
      <c r="AI93" s="28" t="s">
        <v>102</v>
      </c>
      <c r="AJ93" s="27" t="s">
        <v>101</v>
      </c>
      <c r="AK93" s="28" t="s">
        <v>102</v>
      </c>
      <c r="AL93" s="27" t="s">
        <v>101</v>
      </c>
      <c r="AM93" s="28" t="s">
        <v>102</v>
      </c>
      <c r="AN93" s="27" t="s">
        <v>101</v>
      </c>
      <c r="AO93" s="28" t="s">
        <v>102</v>
      </c>
      <c r="AP93" s="27" t="s">
        <v>101</v>
      </c>
      <c r="AQ93" s="28" t="s">
        <v>102</v>
      </c>
      <c r="AR93" s="27" t="s">
        <v>101</v>
      </c>
      <c r="AS93" s="28" t="s">
        <v>102</v>
      </c>
      <c r="AT93" s="27" t="s">
        <v>101</v>
      </c>
      <c r="AU93" s="29" t="s">
        <v>102</v>
      </c>
      <c r="AV93" s="66" t="s">
        <v>165</v>
      </c>
      <c r="AW93" s="27" t="s">
        <v>165</v>
      </c>
      <c r="AX93" s="27" t="s">
        <v>165</v>
      </c>
      <c r="AY93" s="27" t="s">
        <v>165</v>
      </c>
      <c r="AZ93" s="27" t="s">
        <v>165</v>
      </c>
      <c r="BA93" s="27" t="s">
        <v>165</v>
      </c>
      <c r="BB93" s="27" t="s">
        <v>165</v>
      </c>
      <c r="BC93" s="27" t="s">
        <v>165</v>
      </c>
      <c r="BD93" s="27" t="s">
        <v>165</v>
      </c>
      <c r="BE93" s="27" t="s">
        <v>165</v>
      </c>
      <c r="BF93" s="27" t="s">
        <v>165</v>
      </c>
      <c r="BG93" s="27" t="s">
        <v>165</v>
      </c>
      <c r="BH93" s="27" t="s">
        <v>165</v>
      </c>
      <c r="BI93" s="27" t="s">
        <v>165</v>
      </c>
      <c r="BJ93" s="27" t="s">
        <v>165</v>
      </c>
      <c r="BK93" s="27" t="s">
        <v>165</v>
      </c>
      <c r="BL93" s="27" t="s">
        <v>165</v>
      </c>
      <c r="BM93" s="27" t="s">
        <v>165</v>
      </c>
      <c r="BN93" s="27" t="s">
        <v>165</v>
      </c>
      <c r="BO93" s="27" t="s">
        <v>165</v>
      </c>
      <c r="BP93" s="27" t="s">
        <v>165</v>
      </c>
      <c r="BQ93" s="27" t="s">
        <v>165</v>
      </c>
      <c r="BR93" s="67" t="s">
        <v>165</v>
      </c>
    </row>
    <row r="94" spans="1:70" x14ac:dyDescent="0.35">
      <c r="A94" s="34" t="s">
        <v>151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130">
        <v>7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4">Q94-P94</f>
        <v>4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152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5">C95-B95</f>
        <v>0</v>
      </c>
      <c r="AW95" s="45">
        <f t="shared" ref="AW95:AW115" si="76">E95-D95</f>
        <v>0</v>
      </c>
      <c r="AX95" s="45">
        <f t="shared" ref="AX95:AX115" si="77">G95-F95</f>
        <v>-1</v>
      </c>
      <c r="AY95" s="45">
        <f t="shared" ref="AY95:AY115" si="78">I95-H95</f>
        <v>-3</v>
      </c>
      <c r="AZ95" s="45">
        <f t="shared" ref="AZ95:AZ115" si="79">K95-J95</f>
        <v>-2</v>
      </c>
      <c r="BA95" s="45">
        <f t="shared" ref="BA95:BA115" si="80">M95-L95</f>
        <v>-2</v>
      </c>
      <c r="BB95" s="45">
        <f t="shared" ref="BB95:BB115" si="81">O95-N95</f>
        <v>0</v>
      </c>
      <c r="BC95" s="45">
        <f t="shared" si="74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153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7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5"/>
        <v>0</v>
      </c>
      <c r="AW96" s="46">
        <f t="shared" si="76"/>
        <v>1</v>
      </c>
      <c r="AX96" s="46">
        <f t="shared" si="77"/>
        <v>-2</v>
      </c>
      <c r="AY96" s="46">
        <f t="shared" si="78"/>
        <v>-3</v>
      </c>
      <c r="AZ96" s="46">
        <f t="shared" si="79"/>
        <v>-4</v>
      </c>
      <c r="BA96" s="46">
        <f t="shared" si="80"/>
        <v>0</v>
      </c>
      <c r="BB96" s="46">
        <f t="shared" si="81"/>
        <v>0</v>
      </c>
      <c r="BC96" s="46">
        <f t="shared" si="74"/>
        <v>2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154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5"/>
        <v>0</v>
      </c>
      <c r="AW97" s="45">
        <f t="shared" si="76"/>
        <v>1</v>
      </c>
      <c r="AX97" s="45">
        <f t="shared" si="77"/>
        <v>0</v>
      </c>
      <c r="AY97" s="45">
        <f t="shared" si="78"/>
        <v>0</v>
      </c>
      <c r="AZ97" s="45">
        <f t="shared" si="79"/>
        <v>0</v>
      </c>
      <c r="BA97" s="45">
        <f t="shared" si="80"/>
        <v>0</v>
      </c>
      <c r="BB97" s="45">
        <f t="shared" si="81"/>
        <v>0</v>
      </c>
      <c r="BC97" s="45">
        <f t="shared" si="74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155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/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5"/>
        <v>0</v>
      </c>
      <c r="AW98" s="46">
        <f t="shared" si="76"/>
        <v>0</v>
      </c>
      <c r="AX98" s="46">
        <f t="shared" si="77"/>
        <v>-1</v>
      </c>
      <c r="AY98" s="46">
        <f t="shared" si="78"/>
        <v>-1</v>
      </c>
      <c r="AZ98" s="46">
        <f t="shared" si="79"/>
        <v>-1</v>
      </c>
      <c r="BA98" s="46">
        <f t="shared" si="80"/>
        <v>-1</v>
      </c>
      <c r="BB98" s="46">
        <f t="shared" si="81"/>
        <v>-1</v>
      </c>
      <c r="BC98" s="46">
        <f t="shared" si="74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155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5"/>
        <v>0</v>
      </c>
      <c r="AW99" s="45">
        <f t="shared" si="76"/>
        <v>1</v>
      </c>
      <c r="AX99" s="45">
        <f t="shared" si="77"/>
        <v>0</v>
      </c>
      <c r="AY99" s="45">
        <f t="shared" si="78"/>
        <v>1</v>
      </c>
      <c r="AZ99" s="45">
        <f t="shared" si="79"/>
        <v>1</v>
      </c>
      <c r="BA99" s="45">
        <f t="shared" si="80"/>
        <v>1</v>
      </c>
      <c r="BB99" s="45">
        <f t="shared" si="81"/>
        <v>1</v>
      </c>
      <c r="BC99" s="45">
        <f t="shared" si="74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156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5"/>
        <v>0</v>
      </c>
      <c r="AW100" s="83">
        <f t="shared" si="76"/>
        <v>1</v>
      </c>
      <c r="AX100" s="83">
        <f t="shared" si="77"/>
        <v>2</v>
      </c>
      <c r="AY100" s="83">
        <f t="shared" si="78"/>
        <v>3</v>
      </c>
      <c r="AZ100" s="83">
        <f t="shared" si="79"/>
        <v>5</v>
      </c>
      <c r="BA100" s="83">
        <f t="shared" si="80"/>
        <v>5</v>
      </c>
      <c r="BB100" s="83">
        <f t="shared" si="81"/>
        <v>5</v>
      </c>
      <c r="BC100" s="83">
        <f t="shared" si="74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166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5"/>
        <v>0</v>
      </c>
      <c r="AW101" s="45">
        <f t="shared" si="76"/>
        <v>0</v>
      </c>
      <c r="AX101" s="45">
        <f t="shared" si="77"/>
        <v>-1</v>
      </c>
      <c r="AY101" s="45">
        <f t="shared" si="78"/>
        <v>-1</v>
      </c>
      <c r="AZ101" s="45">
        <f t="shared" si="79"/>
        <v>-1</v>
      </c>
      <c r="BA101" s="45">
        <f t="shared" si="80"/>
        <v>-1</v>
      </c>
      <c r="BB101" s="45">
        <f t="shared" si="81"/>
        <v>0</v>
      </c>
      <c r="BC101" s="45">
        <f t="shared" si="74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157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5"/>
        <v>0</v>
      </c>
      <c r="AW102" s="46">
        <f t="shared" si="76"/>
        <v>1</v>
      </c>
      <c r="AX102" s="46">
        <f t="shared" si="77"/>
        <v>0</v>
      </c>
      <c r="AY102" s="46">
        <f t="shared" si="78"/>
        <v>-1</v>
      </c>
      <c r="AZ102" s="46">
        <f t="shared" si="79"/>
        <v>-1</v>
      </c>
      <c r="BA102" s="46">
        <f t="shared" si="80"/>
        <v>-1</v>
      </c>
      <c r="BB102" s="46">
        <f t="shared" si="81"/>
        <v>-1</v>
      </c>
      <c r="BC102" s="46">
        <f t="shared" si="74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158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5"/>
        <v>0</v>
      </c>
      <c r="AW103" s="83">
        <f t="shared" si="76"/>
        <v>1</v>
      </c>
      <c r="AX103" s="83">
        <f t="shared" si="77"/>
        <v>1</v>
      </c>
      <c r="AY103" s="83">
        <f t="shared" si="78"/>
        <v>1</v>
      </c>
      <c r="AZ103" s="83">
        <f t="shared" si="79"/>
        <v>1</v>
      </c>
      <c r="BA103" s="83">
        <f t="shared" si="80"/>
        <v>1</v>
      </c>
      <c r="BB103" s="83">
        <f t="shared" si="81"/>
        <v>1</v>
      </c>
      <c r="BC103" s="83">
        <f t="shared" si="74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167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5"/>
        <v>0</v>
      </c>
      <c r="AW104" s="46">
        <f t="shared" si="76"/>
        <v>1</v>
      </c>
      <c r="AX104" s="46">
        <f t="shared" si="77"/>
        <v>-1</v>
      </c>
      <c r="AY104" s="46">
        <f t="shared" si="78"/>
        <v>-1</v>
      </c>
      <c r="AZ104" s="46">
        <f t="shared" si="79"/>
        <v>-1</v>
      </c>
      <c r="BA104" s="46">
        <f t="shared" si="80"/>
        <v>-2</v>
      </c>
      <c r="BB104" s="46">
        <f t="shared" si="81"/>
        <v>-2</v>
      </c>
      <c r="BC104" s="46">
        <f t="shared" si="74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167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5"/>
        <v>0</v>
      </c>
      <c r="AW105" s="45">
        <f t="shared" si="76"/>
        <v>2</v>
      </c>
      <c r="AX105" s="45">
        <f t="shared" si="77"/>
        <v>-1</v>
      </c>
      <c r="AY105" s="45">
        <f t="shared" si="78"/>
        <v>-1</v>
      </c>
      <c r="AZ105" s="45">
        <f t="shared" si="79"/>
        <v>0</v>
      </c>
      <c r="BA105" s="45">
        <f t="shared" si="80"/>
        <v>1</v>
      </c>
      <c r="BB105" s="45">
        <f t="shared" si="81"/>
        <v>1</v>
      </c>
      <c r="BC105" s="45">
        <f t="shared" si="74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167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5"/>
        <v>0</v>
      </c>
      <c r="AW106" s="46">
        <f t="shared" si="76"/>
        <v>0</v>
      </c>
      <c r="AX106" s="46">
        <f t="shared" si="77"/>
        <v>-1</v>
      </c>
      <c r="AY106" s="46">
        <f t="shared" si="78"/>
        <v>-1</v>
      </c>
      <c r="AZ106" s="46">
        <f t="shared" si="79"/>
        <v>-1</v>
      </c>
      <c r="BA106" s="46">
        <f t="shared" si="80"/>
        <v>0</v>
      </c>
      <c r="BB106" s="46">
        <f t="shared" si="81"/>
        <v>1</v>
      </c>
      <c r="BC106" s="46">
        <f t="shared" si="74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168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5"/>
        <v>0</v>
      </c>
      <c r="AW107" s="45">
        <f t="shared" si="76"/>
        <v>0</v>
      </c>
      <c r="AX107" s="45">
        <f t="shared" si="77"/>
        <v>0</v>
      </c>
      <c r="AY107" s="45">
        <f t="shared" si="78"/>
        <v>-1</v>
      </c>
      <c r="AZ107" s="45">
        <f t="shared" si="79"/>
        <v>0</v>
      </c>
      <c r="BA107" s="45">
        <f t="shared" si="80"/>
        <v>1</v>
      </c>
      <c r="BB107" s="45">
        <f t="shared" si="81"/>
        <v>1</v>
      </c>
      <c r="BC107" s="45">
        <f t="shared" si="74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168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/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5"/>
        <v>0</v>
      </c>
      <c r="AW108" s="46">
        <f t="shared" si="76"/>
        <v>0</v>
      </c>
      <c r="AX108" s="46">
        <f t="shared" si="77"/>
        <v>0</v>
      </c>
      <c r="AY108" s="46">
        <f t="shared" si="78"/>
        <v>-1</v>
      </c>
      <c r="AZ108" s="46">
        <f t="shared" si="79"/>
        <v>-2</v>
      </c>
      <c r="BA108" s="46">
        <f t="shared" si="80"/>
        <v>-2</v>
      </c>
      <c r="BB108" s="46">
        <f t="shared" si="81"/>
        <v>-2</v>
      </c>
      <c r="BC108" s="46">
        <f t="shared" si="74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159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5"/>
        <v>0</v>
      </c>
      <c r="AW109" s="45">
        <f t="shared" si="76"/>
        <v>2</v>
      </c>
      <c r="AX109" s="45">
        <f t="shared" si="77"/>
        <v>1</v>
      </c>
      <c r="AY109" s="45">
        <f t="shared" si="78"/>
        <v>0</v>
      </c>
      <c r="AZ109" s="45">
        <f t="shared" si="79"/>
        <v>0</v>
      </c>
      <c r="BA109" s="45">
        <f t="shared" si="80"/>
        <v>0</v>
      </c>
      <c r="BB109" s="45">
        <f t="shared" si="81"/>
        <v>-1</v>
      </c>
      <c r="BC109" s="45">
        <f t="shared" si="74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160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/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5"/>
        <v>0</v>
      </c>
      <c r="AW110" s="46">
        <f t="shared" si="76"/>
        <v>0</v>
      </c>
      <c r="AX110" s="46">
        <f t="shared" si="77"/>
        <v>0</v>
      </c>
      <c r="AY110" s="46">
        <f t="shared" si="78"/>
        <v>-1</v>
      </c>
      <c r="AZ110" s="46">
        <f t="shared" si="79"/>
        <v>-1</v>
      </c>
      <c r="BA110" s="46">
        <f t="shared" si="80"/>
        <v>-1</v>
      </c>
      <c r="BB110" s="46">
        <f t="shared" si="81"/>
        <v>-1</v>
      </c>
      <c r="BC110" s="46">
        <f t="shared" si="74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169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5"/>
        <v>0</v>
      </c>
      <c r="AW111" s="45">
        <f t="shared" si="76"/>
        <v>0</v>
      </c>
      <c r="AX111" s="45">
        <f t="shared" si="77"/>
        <v>0</v>
      </c>
      <c r="AY111" s="45">
        <f t="shared" si="78"/>
        <v>-1</v>
      </c>
      <c r="AZ111" s="45">
        <f t="shared" si="79"/>
        <v>-1</v>
      </c>
      <c r="BA111" s="45">
        <f t="shared" si="80"/>
        <v>-1</v>
      </c>
      <c r="BB111" s="45">
        <f t="shared" si="81"/>
        <v>0</v>
      </c>
      <c r="BC111" s="45">
        <f t="shared" si="74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169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5"/>
        <v>0</v>
      </c>
      <c r="AW112" s="46">
        <f t="shared" si="76"/>
        <v>0</v>
      </c>
      <c r="AX112" s="46">
        <f t="shared" si="77"/>
        <v>0</v>
      </c>
      <c r="AY112" s="46">
        <f t="shared" si="78"/>
        <v>-1</v>
      </c>
      <c r="AZ112" s="46">
        <f t="shared" si="79"/>
        <v>0</v>
      </c>
      <c r="BA112" s="46">
        <f t="shared" si="80"/>
        <v>0</v>
      </c>
      <c r="BB112" s="46">
        <f t="shared" si="81"/>
        <v>0</v>
      </c>
      <c r="BC112" s="46">
        <f t="shared" si="74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161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5"/>
        <v>0</v>
      </c>
      <c r="AW113" s="45">
        <f t="shared" si="76"/>
        <v>0</v>
      </c>
      <c r="AX113" s="45">
        <f t="shared" si="77"/>
        <v>1</v>
      </c>
      <c r="AY113" s="45">
        <f t="shared" si="78"/>
        <v>1</v>
      </c>
      <c r="AZ113" s="45">
        <f t="shared" si="79"/>
        <v>1</v>
      </c>
      <c r="BA113" s="45">
        <f t="shared" si="80"/>
        <v>1</v>
      </c>
      <c r="BB113" s="45">
        <f t="shared" si="81"/>
        <v>1</v>
      </c>
      <c r="BC113" s="45">
        <f t="shared" si="74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162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5"/>
        <v>0</v>
      </c>
      <c r="AW114" s="83">
        <f t="shared" si="76"/>
        <v>44</v>
      </c>
      <c r="AX114" s="83">
        <f t="shared" si="77"/>
        <v>44</v>
      </c>
      <c r="AY114" s="83">
        <f t="shared" si="78"/>
        <v>44</v>
      </c>
      <c r="AZ114" s="83">
        <f t="shared" si="79"/>
        <v>57</v>
      </c>
      <c r="BA114" s="83">
        <f t="shared" si="80"/>
        <v>57</v>
      </c>
      <c r="BB114" s="83">
        <f t="shared" si="81"/>
        <v>57</v>
      </c>
      <c r="BC114" s="83">
        <f t="shared" si="74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ht="15" thickBot="1" x14ac:dyDescent="0.4">
      <c r="A115" s="53" t="s">
        <v>163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5"/>
        <v>0</v>
      </c>
      <c r="AW115" s="56">
        <f t="shared" si="76"/>
        <v>0</v>
      </c>
      <c r="AX115" s="56">
        <f t="shared" si="77"/>
        <v>0</v>
      </c>
      <c r="AY115" s="56">
        <f t="shared" si="78"/>
        <v>0</v>
      </c>
      <c r="AZ115" s="56">
        <f t="shared" si="79"/>
        <v>0</v>
      </c>
      <c r="BA115" s="56">
        <f t="shared" si="80"/>
        <v>0</v>
      </c>
      <c r="BB115" s="56">
        <f t="shared" si="81"/>
        <v>0</v>
      </c>
      <c r="BC115" s="56">
        <f t="shared" si="74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ht="15" thickBot="1" x14ac:dyDescent="0.4">
      <c r="A116" s="48" t="s">
        <v>103</v>
      </c>
      <c r="B116" s="49">
        <f>SUM(B94:B99,B101:B102,B104:B113,B115)</f>
        <v>1</v>
      </c>
      <c r="C116" s="49">
        <f t="shared" ref="C116:BC116" si="82">SUM(C94:C99,C101:C102,C104:C113,C115)</f>
        <v>1</v>
      </c>
      <c r="D116" s="49">
        <f t="shared" si="82"/>
        <v>1</v>
      </c>
      <c r="E116" s="49">
        <f t="shared" si="82"/>
        <v>11</v>
      </c>
      <c r="F116" s="49">
        <f t="shared" si="82"/>
        <v>21</v>
      </c>
      <c r="G116" s="49">
        <f t="shared" si="82"/>
        <v>17</v>
      </c>
      <c r="H116" s="49">
        <f t="shared" si="82"/>
        <v>36</v>
      </c>
      <c r="I116" s="49">
        <f t="shared" si="82"/>
        <v>21</v>
      </c>
      <c r="J116" s="49">
        <f t="shared" si="82"/>
        <v>39</v>
      </c>
      <c r="K116" s="49">
        <f t="shared" si="82"/>
        <v>26</v>
      </c>
      <c r="L116" s="49">
        <f t="shared" si="82"/>
        <v>39</v>
      </c>
      <c r="M116" s="49">
        <f t="shared" si="82"/>
        <v>32</v>
      </c>
      <c r="N116" s="49">
        <f t="shared" si="82"/>
        <v>39</v>
      </c>
      <c r="O116" s="49">
        <f t="shared" si="82"/>
        <v>38</v>
      </c>
      <c r="P116" s="49">
        <f t="shared" si="82"/>
        <v>39</v>
      </c>
      <c r="Q116" s="49">
        <f t="shared" si="82"/>
        <v>43</v>
      </c>
      <c r="R116" s="49">
        <f t="shared" si="82"/>
        <v>39</v>
      </c>
      <c r="S116" s="49">
        <f t="shared" si="82"/>
        <v>0</v>
      </c>
      <c r="T116" s="49">
        <f t="shared" si="82"/>
        <v>39</v>
      </c>
      <c r="U116" s="49">
        <f t="shared" si="82"/>
        <v>0</v>
      </c>
      <c r="V116" s="49">
        <f t="shared" si="82"/>
        <v>39</v>
      </c>
      <c r="W116" s="49">
        <f t="shared" si="82"/>
        <v>0</v>
      </c>
      <c r="X116" s="49">
        <f t="shared" si="82"/>
        <v>37</v>
      </c>
      <c r="Y116" s="49">
        <f t="shared" si="82"/>
        <v>0</v>
      </c>
      <c r="Z116" s="49">
        <f t="shared" si="82"/>
        <v>37</v>
      </c>
      <c r="AA116" s="49">
        <f t="shared" si="82"/>
        <v>0</v>
      </c>
      <c r="AB116" s="49">
        <f t="shared" si="82"/>
        <v>37</v>
      </c>
      <c r="AC116" s="49">
        <f t="shared" si="82"/>
        <v>0</v>
      </c>
      <c r="AD116" s="49">
        <f t="shared" si="82"/>
        <v>39</v>
      </c>
      <c r="AE116" s="49">
        <f t="shared" si="82"/>
        <v>0</v>
      </c>
      <c r="AF116" s="49">
        <f t="shared" si="82"/>
        <v>39</v>
      </c>
      <c r="AG116" s="49">
        <f t="shared" si="82"/>
        <v>0</v>
      </c>
      <c r="AH116" s="49">
        <f t="shared" si="82"/>
        <v>39</v>
      </c>
      <c r="AI116" s="49">
        <f t="shared" si="82"/>
        <v>0</v>
      </c>
      <c r="AJ116" s="49">
        <f t="shared" si="82"/>
        <v>39</v>
      </c>
      <c r="AK116" s="49">
        <f t="shared" si="82"/>
        <v>0</v>
      </c>
      <c r="AL116" s="49">
        <f t="shared" si="82"/>
        <v>39</v>
      </c>
      <c r="AM116" s="49">
        <f t="shared" si="82"/>
        <v>0</v>
      </c>
      <c r="AN116" s="49">
        <f t="shared" si="82"/>
        <v>39</v>
      </c>
      <c r="AO116" s="49">
        <f t="shared" si="82"/>
        <v>0</v>
      </c>
      <c r="AP116" s="49">
        <f t="shared" si="82"/>
        <v>39</v>
      </c>
      <c r="AQ116" s="49">
        <f t="shared" si="82"/>
        <v>0</v>
      </c>
      <c r="AR116" s="49">
        <f t="shared" si="82"/>
        <v>31</v>
      </c>
      <c r="AS116" s="49">
        <f t="shared" si="82"/>
        <v>0</v>
      </c>
      <c r="AT116" s="49">
        <f t="shared" si="82"/>
        <v>4.5</v>
      </c>
      <c r="AU116" s="49">
        <f t="shared" si="82"/>
        <v>0</v>
      </c>
      <c r="AV116" s="49">
        <f t="shared" si="82"/>
        <v>0</v>
      </c>
      <c r="AW116" s="49">
        <f t="shared" si="82"/>
        <v>10</v>
      </c>
      <c r="AX116" s="49">
        <f t="shared" si="82"/>
        <v>-4</v>
      </c>
      <c r="AY116" s="49">
        <f t="shared" si="82"/>
        <v>-15</v>
      </c>
      <c r="AZ116" s="49">
        <f t="shared" si="82"/>
        <v>-13</v>
      </c>
      <c r="BA116" s="49">
        <f t="shared" si="82"/>
        <v>-7</v>
      </c>
      <c r="BB116" s="49">
        <f t="shared" si="82"/>
        <v>-1</v>
      </c>
      <c r="BC116" s="49">
        <f t="shared" si="82"/>
        <v>4</v>
      </c>
      <c r="BD116" s="49">
        <f t="shared" ref="BD116" si="83">SUM(BD94:BD99,BD101:BD102,BD104:BD113,BD115)</f>
        <v>0</v>
      </c>
      <c r="BE116" s="49">
        <f t="shared" ref="BE116" si="84">SUM(BE94:BE99,BE101:BE102,BE104:BE113,BE115)</f>
        <v>0</v>
      </c>
      <c r="BF116" s="49">
        <f t="shared" ref="BF116" si="85">SUM(BF94:BF99,BF101:BF102,BF104:BF113,BF115)</f>
        <v>0</v>
      </c>
      <c r="BG116" s="49">
        <f t="shared" ref="BG116" si="86">SUM(BG94:BG99,BG101:BG102,BG104:BG113,BG115)</f>
        <v>0</v>
      </c>
      <c r="BH116" s="49">
        <f t="shared" ref="BH116" si="87">SUM(BH94:BH99,BH101:BH102,BH104:BH113,BH115)</f>
        <v>0</v>
      </c>
      <c r="BI116" s="49">
        <f t="shared" ref="BI116" si="88">SUM(BI94:BI99,BI101:BI102,BI104:BI113,BI115)</f>
        <v>0</v>
      </c>
      <c r="BJ116" s="49">
        <f t="shared" ref="BJ116" si="89">SUM(BJ94:BJ99,BJ101:BJ102,BJ104:BJ113,BJ115)</f>
        <v>0</v>
      </c>
      <c r="BK116" s="49">
        <f t="shared" ref="BK116" si="90">SUM(BK94:BK99,BK101:BK102,BK104:BK113,BK115)</f>
        <v>0</v>
      </c>
      <c r="BL116" s="49">
        <f t="shared" ref="BL116" si="91">SUM(BL94:BL99,BL101:BL102,BL104:BL113,BL115)</f>
        <v>0</v>
      </c>
      <c r="BM116" s="49">
        <f t="shared" ref="BM116" si="92">SUM(BM94:BM99,BM101:BM102,BM104:BM113,BM115)</f>
        <v>0</v>
      </c>
      <c r="BN116" s="49">
        <f t="shared" ref="BN116" si="93">SUM(BN94:BN99,BN101:BN102,BN104:BN113,BN115)</f>
        <v>0</v>
      </c>
      <c r="BO116" s="49">
        <f t="shared" ref="BO116" si="94">SUM(BO94:BO99,BO101:BO102,BO104:BO113,BO115)</f>
        <v>0</v>
      </c>
      <c r="BP116" s="49">
        <f t="shared" ref="BP116" si="95">SUM(BP94:BP99,BP101:BP102,BP104:BP113,BP115)</f>
        <v>0</v>
      </c>
      <c r="BQ116" s="49">
        <f t="shared" ref="BQ116" si="96">SUM(BQ94:BQ99,BQ101:BQ102,BQ104:BQ113,BQ115)</f>
        <v>0</v>
      </c>
      <c r="BR116" s="49">
        <f t="shared" ref="BR116" si="97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7243-9902-4A8A-B44F-916AFE4F4563}">
  <dimension ref="A1:AS69"/>
  <sheetViews>
    <sheetView workbookViewId="0">
      <selection activeCell="E14" sqref="E14"/>
    </sheetView>
  </sheetViews>
  <sheetFormatPr defaultRowHeight="14.5" x14ac:dyDescent="0.35"/>
  <cols>
    <col min="1" max="1" width="19.453125" bestFit="1" customWidth="1"/>
    <col min="2" max="3" width="10.08984375" bestFit="1" customWidth="1"/>
    <col min="24" max="24" width="12.26953125" bestFit="1" customWidth="1"/>
    <col min="29" max="29" width="10.26953125" bestFit="1" customWidth="1"/>
    <col min="30" max="44" width="10.08984375" bestFit="1" customWidth="1"/>
  </cols>
  <sheetData>
    <row r="1" spans="1:45" ht="15" thickBot="1" x14ac:dyDescent="0.4">
      <c r="A1" s="90" t="s">
        <v>177</v>
      </c>
      <c r="B1" s="91" t="s">
        <v>192</v>
      </c>
      <c r="C1" s="91" t="s">
        <v>193</v>
      </c>
      <c r="D1" s="91" t="s">
        <v>194</v>
      </c>
      <c r="E1" s="91" t="s">
        <v>195</v>
      </c>
      <c r="F1" s="91" t="s">
        <v>196</v>
      </c>
      <c r="G1" s="91" t="s">
        <v>197</v>
      </c>
      <c r="H1" s="91" t="s">
        <v>198</v>
      </c>
      <c r="I1" s="91" t="s">
        <v>199</v>
      </c>
      <c r="J1" s="91" t="s">
        <v>200</v>
      </c>
      <c r="K1" s="91" t="s">
        <v>201</v>
      </c>
      <c r="L1" s="91" t="s">
        <v>202</v>
      </c>
      <c r="M1" s="91" t="s">
        <v>203</v>
      </c>
      <c r="N1" s="91" t="s">
        <v>204</v>
      </c>
      <c r="O1" s="91" t="s">
        <v>205</v>
      </c>
      <c r="P1" s="91" t="s">
        <v>206</v>
      </c>
      <c r="Q1" s="91" t="s">
        <v>207</v>
      </c>
      <c r="R1" s="91" t="s">
        <v>208</v>
      </c>
      <c r="S1" s="91" t="s">
        <v>209</v>
      </c>
      <c r="T1" s="91" t="s">
        <v>210</v>
      </c>
      <c r="U1" s="91" t="s">
        <v>211</v>
      </c>
      <c r="V1" s="91" t="s">
        <v>212</v>
      </c>
      <c r="W1" s="104"/>
      <c r="X1" s="104"/>
      <c r="Y1" s="109"/>
      <c r="Z1" s="109"/>
      <c r="AA1" s="109"/>
      <c r="AB1" s="109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09"/>
    </row>
    <row r="2" spans="1:45" s="104" customFormat="1" ht="15" thickBot="1" x14ac:dyDescent="0.4">
      <c r="A2" s="92" t="s">
        <v>174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4">
        <v>46234</v>
      </c>
      <c r="AD2" s="134">
        <v>46265</v>
      </c>
      <c r="AE2" s="134">
        <v>46295</v>
      </c>
      <c r="AF2" s="134">
        <v>46326</v>
      </c>
      <c r="AG2" s="134">
        <v>46356</v>
      </c>
      <c r="AH2" s="134">
        <v>46375</v>
      </c>
      <c r="AI2" s="134">
        <v>46418</v>
      </c>
      <c r="AJ2" s="134">
        <v>46446</v>
      </c>
      <c r="AK2" s="134">
        <v>46477</v>
      </c>
      <c r="AL2" s="134">
        <v>46507</v>
      </c>
      <c r="AM2" s="134">
        <v>46538</v>
      </c>
      <c r="AN2" s="134">
        <v>46568</v>
      </c>
      <c r="AO2" s="134">
        <v>46599</v>
      </c>
      <c r="AP2" s="134">
        <v>46630</v>
      </c>
      <c r="AQ2" s="134">
        <v>46660</v>
      </c>
      <c r="AR2" s="134">
        <v>46691</v>
      </c>
      <c r="AS2" s="106"/>
    </row>
    <row r="3" spans="1:45" s="104" customFormat="1" ht="15" thickBot="1" x14ac:dyDescent="0.4">
      <c r="A3" s="99" t="s">
        <v>184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ht="15" thickBot="1" x14ac:dyDescent="0.4">
      <c r="A4" s="99" t="s">
        <v>185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ht="15" thickBot="1" x14ac:dyDescent="0.4">
      <c r="A5" s="94" t="s">
        <v>175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888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ht="15" thickBot="1" x14ac:dyDescent="0.4">
      <c r="A6" s="99" t="s">
        <v>184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ht="15" thickBot="1" x14ac:dyDescent="0.4">
      <c r="A7" s="99" t="s">
        <v>185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88.8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ht="15" thickBot="1" x14ac:dyDescent="0.4">
      <c r="A8" s="96" t="s">
        <v>176</v>
      </c>
      <c r="B8" s="97"/>
      <c r="C8" s="97"/>
      <c r="D8" s="97"/>
      <c r="E8" s="97"/>
      <c r="F8" s="97"/>
      <c r="G8" s="97">
        <v>1490.9</v>
      </c>
      <c r="H8" s="97">
        <v>1331.2999999999997</v>
      </c>
      <c r="I8" s="97">
        <v>1331.3000000000002</v>
      </c>
      <c r="J8" s="97">
        <v>1331.3000000000002</v>
      </c>
      <c r="K8" s="97">
        <v>1204.4999999999991</v>
      </c>
      <c r="L8" s="97">
        <v>887.5</v>
      </c>
      <c r="M8" s="97">
        <v>1204.5</v>
      </c>
      <c r="N8" s="97">
        <v>1267.8999999999996</v>
      </c>
      <c r="O8" s="97">
        <v>1458</v>
      </c>
      <c r="P8" s="97">
        <v>1394.7000000000007</v>
      </c>
      <c r="Q8" s="97">
        <v>1331.2999999999993</v>
      </c>
      <c r="R8" s="97">
        <v>1394.6999999999989</v>
      </c>
      <c r="S8" s="97">
        <v>946.40000000000146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ht="15" thickBot="1" x14ac:dyDescent="0.4">
      <c r="A9" s="99" t="s">
        <v>184</v>
      </c>
      <c r="B9" s="98"/>
      <c r="C9" s="98"/>
      <c r="D9" s="98"/>
      <c r="E9" s="98"/>
      <c r="F9" s="98"/>
      <c r="G9" s="136">
        <v>27</v>
      </c>
      <c r="H9" s="136">
        <v>26</v>
      </c>
      <c r="I9" s="136">
        <v>26</v>
      </c>
      <c r="J9" s="136">
        <v>27</v>
      </c>
      <c r="K9" s="136">
        <v>25</v>
      </c>
      <c r="L9" s="136">
        <v>17</v>
      </c>
      <c r="M9" s="136">
        <v>24</v>
      </c>
      <c r="N9" s="136">
        <v>24</v>
      </c>
      <c r="O9" s="136">
        <v>27</v>
      </c>
      <c r="P9" s="136">
        <v>26</v>
      </c>
      <c r="Q9" s="136">
        <v>26</v>
      </c>
      <c r="R9" s="136">
        <v>26</v>
      </c>
      <c r="S9" s="136">
        <v>27</v>
      </c>
      <c r="T9" s="136">
        <v>0</v>
      </c>
      <c r="U9" s="136">
        <v>0</v>
      </c>
      <c r="V9" s="136">
        <v>0</v>
      </c>
    </row>
    <row r="10" spans="1:45" s="104" customFormat="1" ht="15" thickBot="1" x14ac:dyDescent="0.4">
      <c r="A10" s="99" t="s">
        <v>185</v>
      </c>
      <c r="B10" s="98"/>
      <c r="C10" s="98"/>
      <c r="D10" s="98"/>
      <c r="E10" s="98"/>
      <c r="F10" s="98"/>
      <c r="G10" s="98">
        <f t="shared" ref="G10:U10" si="6">IFERROR(G8/G9,0)</f>
        <v>55.218518518518522</v>
      </c>
      <c r="H10" s="98">
        <f t="shared" si="6"/>
        <v>51.203846153846143</v>
      </c>
      <c r="I10" s="98">
        <f t="shared" si="6"/>
        <v>51.203846153846158</v>
      </c>
      <c r="J10" s="98">
        <f t="shared" si="6"/>
        <v>49.307407407407418</v>
      </c>
      <c r="K10" s="98">
        <f t="shared" si="6"/>
        <v>48.179999999999964</v>
      </c>
      <c r="L10" s="98">
        <f t="shared" si="6"/>
        <v>52.205882352941174</v>
      </c>
      <c r="M10" s="98">
        <f t="shared" si="6"/>
        <v>50.1875</v>
      </c>
      <c r="N10" s="98">
        <f t="shared" si="6"/>
        <v>52.829166666666652</v>
      </c>
      <c r="O10" s="98">
        <f t="shared" si="6"/>
        <v>54</v>
      </c>
      <c r="P10" s="98">
        <f t="shared" si="6"/>
        <v>53.642307692307718</v>
      </c>
      <c r="Q10" s="98">
        <f t="shared" si="6"/>
        <v>51.203846153846129</v>
      </c>
      <c r="R10" s="98">
        <f t="shared" si="6"/>
        <v>53.642307692307654</v>
      </c>
      <c r="S10" s="98">
        <f t="shared" si="6"/>
        <v>35.051851851851907</v>
      </c>
      <c r="T10" s="98">
        <f t="shared" si="6"/>
        <v>0</v>
      </c>
      <c r="U10" s="98">
        <f t="shared" si="6"/>
        <v>0</v>
      </c>
      <c r="V10" s="136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ht="15" thickBot="1" x14ac:dyDescent="0.4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ht="15" thickBot="1" x14ac:dyDescent="0.4">
      <c r="A12" s="90" t="s">
        <v>8</v>
      </c>
      <c r="B12" s="91" t="s">
        <v>192</v>
      </c>
      <c r="C12" s="91" t="s">
        <v>193</v>
      </c>
      <c r="D12" s="91" t="s">
        <v>194</v>
      </c>
      <c r="E12" s="91" t="s">
        <v>195</v>
      </c>
      <c r="F12" s="91" t="s">
        <v>196</v>
      </c>
      <c r="G12" s="91" t="s">
        <v>197</v>
      </c>
      <c r="H12" s="91" t="s">
        <v>198</v>
      </c>
      <c r="I12" s="91" t="s">
        <v>199</v>
      </c>
      <c r="J12" s="91" t="s">
        <v>200</v>
      </c>
      <c r="K12" s="91" t="s">
        <v>201</v>
      </c>
      <c r="L12" s="91" t="s">
        <v>202</v>
      </c>
      <c r="M12" s="91" t="s">
        <v>203</v>
      </c>
      <c r="N12" s="91" t="s">
        <v>204</v>
      </c>
      <c r="O12" s="91" t="s">
        <v>205</v>
      </c>
      <c r="P12" s="91" t="s">
        <v>206</v>
      </c>
      <c r="Q12" s="91" t="s">
        <v>207</v>
      </c>
      <c r="R12" s="91" t="s">
        <v>208</v>
      </c>
      <c r="S12" s="91" t="s">
        <v>209</v>
      </c>
      <c r="T12" s="91" t="s">
        <v>210</v>
      </c>
      <c r="U12" s="91" t="s">
        <v>211</v>
      </c>
      <c r="V12" s="91" t="s">
        <v>212</v>
      </c>
    </row>
    <row r="13" spans="1:45" s="104" customFormat="1" ht="15" thickBot="1" x14ac:dyDescent="0.4">
      <c r="A13" s="92" t="s">
        <v>171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ht="15" thickBot="1" x14ac:dyDescent="0.4">
      <c r="A14" s="99" t="s">
        <v>184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ht="15" thickBot="1" x14ac:dyDescent="0.4">
      <c r="A15" s="99" t="s">
        <v>185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ht="15" thickBot="1" x14ac:dyDescent="0.4">
      <c r="A16" s="94" t="s">
        <v>172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7784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ht="15" thickBot="1" x14ac:dyDescent="0.4">
      <c r="A17" s="99" t="s">
        <v>184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ht="15" thickBot="1" x14ac:dyDescent="0.4">
      <c r="A18" s="99" t="s">
        <v>185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1297.3333333333333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ht="15" thickBot="1" x14ac:dyDescent="0.4">
      <c r="A19" s="96" t="s">
        <v>173</v>
      </c>
      <c r="B19" s="97"/>
      <c r="C19" s="97"/>
      <c r="D19" s="97"/>
      <c r="E19" s="97"/>
      <c r="F19" s="97"/>
      <c r="G19" s="97">
        <v>23930.899999999994</v>
      </c>
      <c r="H19" s="97">
        <v>17019.300000000003</v>
      </c>
      <c r="I19" s="97">
        <v>21088.599999999991</v>
      </c>
      <c r="J19" s="97">
        <v>18909.800000000003</v>
      </c>
      <c r="K19" s="97">
        <v>10305.999999999985</v>
      </c>
      <c r="L19" s="97">
        <v>9806.2000000000116</v>
      </c>
      <c r="M19" s="97">
        <v>17328.899999999994</v>
      </c>
      <c r="N19" s="97">
        <v>17331.700000000012</v>
      </c>
      <c r="O19" s="97">
        <v>19074.200000000012</v>
      </c>
      <c r="P19" s="97">
        <v>18869</v>
      </c>
      <c r="Q19" s="97">
        <v>19500.899999999994</v>
      </c>
      <c r="R19" s="97">
        <v>21784.299999999988</v>
      </c>
      <c r="S19" s="97">
        <v>21509.099999999977</v>
      </c>
      <c r="T19" s="97">
        <v>20466.200000000012</v>
      </c>
      <c r="U19" s="97">
        <v>0</v>
      </c>
      <c r="V19" s="97">
        <v>0</v>
      </c>
      <c r="X19" s="105"/>
    </row>
    <row r="20" spans="1:24" s="104" customFormat="1" ht="15" thickBot="1" x14ac:dyDescent="0.4">
      <c r="A20" s="99" t="s">
        <v>184</v>
      </c>
      <c r="B20" s="98"/>
      <c r="C20" s="98"/>
      <c r="D20" s="98"/>
      <c r="E20" s="98"/>
      <c r="F20" s="98"/>
      <c r="G20" s="136">
        <v>27</v>
      </c>
      <c r="H20" s="136">
        <v>26</v>
      </c>
      <c r="I20" s="136">
        <v>26</v>
      </c>
      <c r="J20" s="136">
        <v>27</v>
      </c>
      <c r="K20" s="136">
        <v>25</v>
      </c>
      <c r="L20" s="136">
        <v>17</v>
      </c>
      <c r="M20" s="136">
        <v>24</v>
      </c>
      <c r="N20" s="136">
        <v>24</v>
      </c>
      <c r="O20" s="136">
        <v>27</v>
      </c>
      <c r="P20" s="136">
        <v>26</v>
      </c>
      <c r="Q20" s="136">
        <v>26</v>
      </c>
      <c r="R20" s="136">
        <v>26</v>
      </c>
      <c r="S20" s="136">
        <v>27</v>
      </c>
      <c r="T20" s="136">
        <v>26</v>
      </c>
      <c r="U20" s="136">
        <v>0</v>
      </c>
      <c r="V20" s="136">
        <v>0</v>
      </c>
    </row>
    <row r="21" spans="1:24" s="104" customFormat="1" ht="15" thickBot="1" x14ac:dyDescent="0.4">
      <c r="A21" s="99" t="s">
        <v>185</v>
      </c>
      <c r="B21" s="98"/>
      <c r="C21" s="98"/>
      <c r="D21" s="98"/>
      <c r="E21" s="98"/>
      <c r="F21" s="98"/>
      <c r="G21" s="98">
        <f t="shared" ref="G21:U21" si="31">IFERROR(G19/G20,0)</f>
        <v>886.32962962962938</v>
      </c>
      <c r="H21" s="98">
        <f t="shared" si="31"/>
        <v>654.58846153846162</v>
      </c>
      <c r="I21" s="98">
        <f t="shared" si="31"/>
        <v>811.09999999999968</v>
      </c>
      <c r="J21" s="98">
        <f t="shared" si="31"/>
        <v>700.36296296296302</v>
      </c>
      <c r="K21" s="98">
        <f t="shared" si="31"/>
        <v>412.23999999999944</v>
      </c>
      <c r="L21" s="98">
        <f t="shared" si="31"/>
        <v>576.83529411764778</v>
      </c>
      <c r="M21" s="98">
        <f t="shared" si="31"/>
        <v>722.0374999999998</v>
      </c>
      <c r="N21" s="98">
        <f t="shared" si="31"/>
        <v>722.15416666666715</v>
      </c>
      <c r="O21" s="98">
        <f t="shared" si="31"/>
        <v>706.45185185185233</v>
      </c>
      <c r="P21" s="98">
        <f t="shared" si="31"/>
        <v>725.73076923076928</v>
      </c>
      <c r="Q21" s="98">
        <f t="shared" si="31"/>
        <v>750.03461538461511</v>
      </c>
      <c r="R21" s="98">
        <f t="shared" si="31"/>
        <v>837.85769230769188</v>
      </c>
      <c r="S21" s="98">
        <f t="shared" si="31"/>
        <v>796.63333333333242</v>
      </c>
      <c r="T21" s="98">
        <f t="shared" si="31"/>
        <v>787.16153846153895</v>
      </c>
      <c r="U21" s="98">
        <f t="shared" si="31"/>
        <v>0</v>
      </c>
      <c r="V21" s="98">
        <v>0</v>
      </c>
    </row>
    <row r="22" spans="1:24" s="104" customFormat="1" ht="15" thickBot="1" x14ac:dyDescent="0.4"/>
    <row r="23" spans="1:24" s="104" customFormat="1" ht="15" thickBot="1" x14ac:dyDescent="0.4">
      <c r="A23" s="90" t="s">
        <v>178</v>
      </c>
      <c r="B23" s="91" t="s">
        <v>192</v>
      </c>
      <c r="C23" s="91" t="s">
        <v>193</v>
      </c>
      <c r="D23" s="91" t="s">
        <v>194</v>
      </c>
      <c r="E23" s="91" t="s">
        <v>195</v>
      </c>
      <c r="F23" s="91" t="s">
        <v>196</v>
      </c>
      <c r="G23" s="91" t="s">
        <v>197</v>
      </c>
      <c r="H23" s="91" t="s">
        <v>198</v>
      </c>
      <c r="I23" s="91" t="s">
        <v>199</v>
      </c>
      <c r="J23" s="91" t="s">
        <v>200</v>
      </c>
      <c r="K23" s="91" t="s">
        <v>201</v>
      </c>
      <c r="L23" s="91" t="s">
        <v>202</v>
      </c>
      <c r="M23" s="91" t="s">
        <v>203</v>
      </c>
      <c r="N23" s="91" t="s">
        <v>204</v>
      </c>
      <c r="O23" s="91" t="s">
        <v>205</v>
      </c>
      <c r="P23" s="91" t="s">
        <v>206</v>
      </c>
      <c r="Q23" s="91" t="s">
        <v>207</v>
      </c>
      <c r="R23" s="91" t="s">
        <v>208</v>
      </c>
      <c r="S23" s="91" t="s">
        <v>209</v>
      </c>
      <c r="T23" s="91" t="s">
        <v>210</v>
      </c>
      <c r="U23" s="91" t="s">
        <v>211</v>
      </c>
      <c r="V23" s="91" t="s">
        <v>212</v>
      </c>
    </row>
    <row r="24" spans="1:24" s="104" customFormat="1" ht="15" thickBot="1" x14ac:dyDescent="0.4">
      <c r="A24" s="92" t="s">
        <v>179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ht="15" thickBot="1" x14ac:dyDescent="0.4">
      <c r="A25" s="99" t="s">
        <v>184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ht="15" thickBot="1" x14ac:dyDescent="0.4">
      <c r="A26" s="99" t="s">
        <v>185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ht="15" thickBot="1" x14ac:dyDescent="0.4">
      <c r="A27" s="94" t="s">
        <v>180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28161</v>
      </c>
      <c r="H27" s="95" t="s">
        <v>181</v>
      </c>
      <c r="I27" s="95" t="s">
        <v>181</v>
      </c>
      <c r="J27" s="95" t="s">
        <v>181</v>
      </c>
      <c r="K27" s="95" t="s">
        <v>181</v>
      </c>
      <c r="L27" s="95" t="s">
        <v>181</v>
      </c>
      <c r="M27" s="95" t="s">
        <v>181</v>
      </c>
      <c r="N27" s="95" t="s">
        <v>181</v>
      </c>
      <c r="O27" s="95" t="s">
        <v>181</v>
      </c>
      <c r="P27" s="95" t="s">
        <v>181</v>
      </c>
      <c r="Q27" s="95" t="s">
        <v>181</v>
      </c>
      <c r="R27" s="95" t="s">
        <v>181</v>
      </c>
      <c r="S27" s="95" t="s">
        <v>181</v>
      </c>
      <c r="T27" s="95" t="s">
        <v>181</v>
      </c>
      <c r="U27" s="95" t="s">
        <v>181</v>
      </c>
      <c r="V27" s="95" t="s">
        <v>181</v>
      </c>
      <c r="X27" s="105"/>
    </row>
    <row r="28" spans="1:24" s="104" customFormat="1" ht="15" thickBot="1" x14ac:dyDescent="0.4">
      <c r="A28" s="99" t="s">
        <v>184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ht="15" thickBot="1" x14ac:dyDescent="0.4">
      <c r="A29" s="99" t="s">
        <v>185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3129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ht="15" thickBot="1" x14ac:dyDescent="0.4">
      <c r="A30" s="96" t="s">
        <v>182</v>
      </c>
      <c r="B30" s="97"/>
      <c r="C30" s="97"/>
      <c r="D30" s="97"/>
      <c r="E30" s="97"/>
      <c r="F30" s="97"/>
      <c r="G30" s="97">
        <v>40443.199999999997</v>
      </c>
      <c r="H30" s="97">
        <v>55913.8</v>
      </c>
      <c r="I30" s="97">
        <v>56177.200000000012</v>
      </c>
      <c r="J30" s="97">
        <v>98513.799999999988</v>
      </c>
      <c r="K30" s="97">
        <v>37410.200000000012</v>
      </c>
      <c r="L30" s="97">
        <v>15534.200000000012</v>
      </c>
      <c r="M30" s="97">
        <v>38995.200000000012</v>
      </c>
      <c r="N30" s="97">
        <v>43842.799999999988</v>
      </c>
      <c r="O30" s="97">
        <v>39746.099999999977</v>
      </c>
      <c r="P30" s="97">
        <v>45170.400000000023</v>
      </c>
      <c r="Q30" s="97">
        <v>53192.699999999953</v>
      </c>
      <c r="R30" s="97">
        <v>29823.5</v>
      </c>
      <c r="S30" s="97">
        <v>9024</v>
      </c>
      <c r="T30" s="97">
        <v>57127.400000000023</v>
      </c>
      <c r="U30" s="97">
        <v>63163.099999999977</v>
      </c>
      <c r="V30" s="97">
        <v>0</v>
      </c>
      <c r="X30" s="105"/>
    </row>
    <row r="31" spans="1:24" s="104" customFormat="1" ht="15" thickBot="1" x14ac:dyDescent="0.4">
      <c r="A31" s="99" t="s">
        <v>184</v>
      </c>
      <c r="B31" s="98"/>
      <c r="C31" s="98"/>
      <c r="D31" s="98"/>
      <c r="E31" s="98"/>
      <c r="F31" s="98"/>
      <c r="G31" s="136">
        <v>27</v>
      </c>
      <c r="H31" s="136">
        <v>26</v>
      </c>
      <c r="I31" s="136">
        <v>26</v>
      </c>
      <c r="J31" s="136">
        <v>27</v>
      </c>
      <c r="K31" s="136">
        <v>25</v>
      </c>
      <c r="L31" s="136">
        <v>17</v>
      </c>
      <c r="M31" s="136">
        <v>24</v>
      </c>
      <c r="N31" s="136">
        <v>24</v>
      </c>
      <c r="O31" s="136">
        <v>27</v>
      </c>
      <c r="P31" s="136">
        <v>26</v>
      </c>
      <c r="Q31" s="136">
        <v>26</v>
      </c>
      <c r="R31" s="136">
        <v>26</v>
      </c>
      <c r="S31" s="136">
        <v>27</v>
      </c>
      <c r="T31" s="136">
        <v>26</v>
      </c>
      <c r="U31" s="136">
        <v>26</v>
      </c>
      <c r="V31" s="136">
        <v>0</v>
      </c>
    </row>
    <row r="32" spans="1:24" s="104" customFormat="1" ht="15" thickBot="1" x14ac:dyDescent="0.4">
      <c r="A32" s="99" t="s">
        <v>216</v>
      </c>
      <c r="B32" s="98"/>
      <c r="C32" s="98"/>
      <c r="D32" s="98"/>
      <c r="E32" s="98"/>
      <c r="F32" s="98"/>
      <c r="G32" s="98">
        <f t="shared" ref="G32:U32" si="56">IFERROR(G30/G31,0)</f>
        <v>1497.8962962962962</v>
      </c>
      <c r="H32" s="98">
        <f t="shared" si="56"/>
        <v>2150.5307692307692</v>
      </c>
      <c r="I32" s="98">
        <f t="shared" si="56"/>
        <v>2160.6615384615388</v>
      </c>
      <c r="J32" s="98">
        <f t="shared" si="56"/>
        <v>3648.6592592592588</v>
      </c>
      <c r="K32" s="98">
        <f t="shared" si="56"/>
        <v>1496.4080000000004</v>
      </c>
      <c r="L32" s="98">
        <f t="shared" si="56"/>
        <v>913.77647058823595</v>
      </c>
      <c r="M32" s="98">
        <f t="shared" si="56"/>
        <v>1624.8000000000004</v>
      </c>
      <c r="N32" s="98">
        <f t="shared" si="56"/>
        <v>1826.7833333333328</v>
      </c>
      <c r="O32" s="98">
        <f t="shared" si="56"/>
        <v>1472.0777777777769</v>
      </c>
      <c r="P32" s="98">
        <f t="shared" si="56"/>
        <v>1737.3230769230779</v>
      </c>
      <c r="Q32" s="98">
        <f t="shared" si="56"/>
        <v>2045.8730769230751</v>
      </c>
      <c r="R32" s="98">
        <f t="shared" si="56"/>
        <v>1147.0576923076924</v>
      </c>
      <c r="S32" s="98">
        <f t="shared" si="56"/>
        <v>334.22222222222223</v>
      </c>
      <c r="T32" s="98">
        <f t="shared" si="56"/>
        <v>2197.2076923076934</v>
      </c>
      <c r="U32" s="98">
        <f t="shared" si="56"/>
        <v>2429.349999999999</v>
      </c>
      <c r="V32" s="98">
        <v>0</v>
      </c>
    </row>
    <row r="33" spans="1:24" s="104" customFormat="1" ht="15" thickBot="1" x14ac:dyDescent="0.4"/>
    <row r="34" spans="1:24" s="104" customFormat="1" ht="15" thickBot="1" x14ac:dyDescent="0.4">
      <c r="A34" s="90" t="s">
        <v>17</v>
      </c>
      <c r="B34" s="91" t="s">
        <v>192</v>
      </c>
      <c r="C34" s="91" t="s">
        <v>193</v>
      </c>
      <c r="D34" s="91" t="s">
        <v>194</v>
      </c>
      <c r="E34" s="91" t="s">
        <v>195</v>
      </c>
      <c r="F34" s="91" t="s">
        <v>196</v>
      </c>
      <c r="G34" s="91" t="s">
        <v>197</v>
      </c>
      <c r="H34" s="91" t="s">
        <v>198</v>
      </c>
      <c r="I34" s="91" t="s">
        <v>199</v>
      </c>
      <c r="J34" s="91" t="s">
        <v>200</v>
      </c>
      <c r="K34" s="91" t="s">
        <v>201</v>
      </c>
      <c r="L34" s="91" t="s">
        <v>202</v>
      </c>
      <c r="M34" s="91" t="s">
        <v>203</v>
      </c>
      <c r="N34" s="91" t="s">
        <v>204</v>
      </c>
      <c r="O34" s="91" t="s">
        <v>205</v>
      </c>
      <c r="P34" s="91" t="s">
        <v>206</v>
      </c>
      <c r="Q34" s="91" t="s">
        <v>207</v>
      </c>
      <c r="R34" s="91" t="s">
        <v>208</v>
      </c>
      <c r="S34" s="91" t="s">
        <v>209</v>
      </c>
      <c r="T34" s="91" t="s">
        <v>210</v>
      </c>
      <c r="U34" s="91" t="s">
        <v>211</v>
      </c>
      <c r="V34" s="91" t="s">
        <v>212</v>
      </c>
    </row>
    <row r="35" spans="1:24" s="104" customFormat="1" ht="15" thickBot="1" x14ac:dyDescent="0.4">
      <c r="A35" s="92" t="s">
        <v>174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ht="15" thickBot="1" x14ac:dyDescent="0.4">
      <c r="A36" s="99" t="s">
        <v>184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ht="15" thickBot="1" x14ac:dyDescent="0.4">
      <c r="A37" s="99" t="s">
        <v>185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ht="15" thickBot="1" x14ac:dyDescent="0.4">
      <c r="A38" s="94" t="s">
        <v>175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105</v>
      </c>
      <c r="H38" s="95" t="s">
        <v>181</v>
      </c>
      <c r="I38" s="95" t="s">
        <v>181</v>
      </c>
      <c r="J38" s="95" t="s">
        <v>181</v>
      </c>
      <c r="K38" s="95" t="s">
        <v>181</v>
      </c>
      <c r="L38" s="95" t="s">
        <v>181</v>
      </c>
      <c r="M38" s="95" t="s">
        <v>181</v>
      </c>
      <c r="N38" s="95" t="s">
        <v>181</v>
      </c>
      <c r="O38" s="95" t="s">
        <v>181</v>
      </c>
      <c r="P38" s="95" t="s">
        <v>181</v>
      </c>
      <c r="Q38" s="95" t="s">
        <v>181</v>
      </c>
      <c r="R38" s="95" t="s">
        <v>181</v>
      </c>
      <c r="S38" s="95" t="s">
        <v>181</v>
      </c>
      <c r="T38" s="95" t="s">
        <v>181</v>
      </c>
      <c r="U38" s="95" t="s">
        <v>181</v>
      </c>
      <c r="V38" s="95" t="s">
        <v>181</v>
      </c>
      <c r="X38" s="105"/>
    </row>
    <row r="39" spans="1:24" s="104" customFormat="1" ht="15" thickBot="1" x14ac:dyDescent="0.4">
      <c r="A39" s="99" t="s">
        <v>184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ht="15" thickBot="1" x14ac:dyDescent="0.4">
      <c r="A40" s="99" t="s">
        <v>185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10.5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ht="15" thickBot="1" x14ac:dyDescent="0.4">
      <c r="A41" s="96" t="s">
        <v>176</v>
      </c>
      <c r="B41" s="97"/>
      <c r="C41" s="97"/>
      <c r="D41" s="97"/>
      <c r="E41" s="97"/>
      <c r="F41" s="97"/>
      <c r="G41" s="97">
        <v>198.8</v>
      </c>
      <c r="H41" s="97">
        <v>253.3</v>
      </c>
      <c r="I41" s="97">
        <v>234.89999999999998</v>
      </c>
      <c r="J41" s="97">
        <v>334.29999999999995</v>
      </c>
      <c r="K41" s="97">
        <v>171.70000000000005</v>
      </c>
      <c r="L41" s="97">
        <v>137.40000000000009</v>
      </c>
      <c r="M41" s="97">
        <v>156.59999999999991</v>
      </c>
      <c r="N41" s="97">
        <v>147.90000000000009</v>
      </c>
      <c r="O41" s="97">
        <v>220.80000000000018</v>
      </c>
      <c r="P41" s="97">
        <v>238.59999999999991</v>
      </c>
      <c r="Q41" s="97">
        <v>222.59999999999991</v>
      </c>
      <c r="R41" s="97">
        <v>204.90000000000009</v>
      </c>
      <c r="S41" s="97">
        <v>203</v>
      </c>
      <c r="T41" s="97">
        <v>248.30000000000018</v>
      </c>
      <c r="U41" s="97">
        <v>77.800000000000182</v>
      </c>
      <c r="V41" s="97">
        <v>0</v>
      </c>
      <c r="X41" s="105"/>
    </row>
    <row r="42" spans="1:24" s="104" customFormat="1" ht="15" thickBot="1" x14ac:dyDescent="0.4">
      <c r="A42" s="99" t="s">
        <v>184</v>
      </c>
      <c r="B42" s="98"/>
      <c r="C42" s="98"/>
      <c r="D42" s="98"/>
      <c r="E42" s="98"/>
      <c r="F42" s="98"/>
      <c r="G42" s="136">
        <v>27</v>
      </c>
      <c r="H42" s="136">
        <v>26</v>
      </c>
      <c r="I42" s="136">
        <v>26</v>
      </c>
      <c r="J42" s="136">
        <v>27</v>
      </c>
      <c r="K42" s="136">
        <v>25</v>
      </c>
      <c r="L42" s="136">
        <v>17</v>
      </c>
      <c r="M42" s="136">
        <v>24</v>
      </c>
      <c r="N42" s="136">
        <v>24</v>
      </c>
      <c r="O42" s="136">
        <v>27</v>
      </c>
      <c r="P42" s="136">
        <v>26</v>
      </c>
      <c r="Q42" s="136">
        <v>26</v>
      </c>
      <c r="R42" s="136">
        <v>26</v>
      </c>
      <c r="S42" s="136">
        <v>27</v>
      </c>
      <c r="T42" s="136">
        <v>26</v>
      </c>
      <c r="U42" s="136">
        <v>26</v>
      </c>
      <c r="V42" s="136">
        <v>0</v>
      </c>
    </row>
    <row r="43" spans="1:24" s="104" customFormat="1" ht="15" thickBot="1" x14ac:dyDescent="0.4">
      <c r="A43" s="99" t="s">
        <v>185</v>
      </c>
      <c r="B43" s="98"/>
      <c r="C43" s="98"/>
      <c r="D43" s="98"/>
      <c r="E43" s="98"/>
      <c r="F43" s="98"/>
      <c r="G43" s="98">
        <f t="shared" ref="G43:U43" si="81">IFERROR(G41/G42,0)</f>
        <v>7.3629629629629632</v>
      </c>
      <c r="H43" s="98">
        <f t="shared" si="81"/>
        <v>9.7423076923076923</v>
      </c>
      <c r="I43" s="98">
        <f t="shared" si="81"/>
        <v>9.0346153846153836</v>
      </c>
      <c r="J43" s="98">
        <f t="shared" si="81"/>
        <v>12.38148148148148</v>
      </c>
      <c r="K43" s="98">
        <f t="shared" si="81"/>
        <v>6.8680000000000021</v>
      </c>
      <c r="L43" s="98">
        <f t="shared" si="81"/>
        <v>8.0823529411764756</v>
      </c>
      <c r="M43" s="98">
        <f t="shared" si="81"/>
        <v>6.5249999999999959</v>
      </c>
      <c r="N43" s="98">
        <f t="shared" si="81"/>
        <v>6.1625000000000041</v>
      </c>
      <c r="O43" s="98">
        <f t="shared" si="81"/>
        <v>8.1777777777777843</v>
      </c>
      <c r="P43" s="98">
        <f t="shared" si="81"/>
        <v>9.1769230769230727</v>
      </c>
      <c r="Q43" s="98">
        <f t="shared" si="81"/>
        <v>8.5615384615384578</v>
      </c>
      <c r="R43" s="98">
        <f t="shared" si="81"/>
        <v>7.8807692307692339</v>
      </c>
      <c r="S43" s="98">
        <f t="shared" si="81"/>
        <v>7.5185185185185182</v>
      </c>
      <c r="T43" s="98">
        <f t="shared" si="81"/>
        <v>9.5500000000000078</v>
      </c>
      <c r="U43" s="98">
        <f t="shared" si="81"/>
        <v>2.9923076923076994</v>
      </c>
      <c r="V43" s="98">
        <v>0</v>
      </c>
    </row>
    <row r="44" spans="1:24" s="104" customFormat="1" ht="15" thickBot="1" x14ac:dyDescent="0.4"/>
    <row r="45" spans="1:24" s="104" customFormat="1" ht="15" thickBot="1" x14ac:dyDescent="0.4">
      <c r="A45" s="90" t="s">
        <v>183</v>
      </c>
      <c r="B45" s="91" t="s">
        <v>192</v>
      </c>
      <c r="C45" s="91" t="s">
        <v>193</v>
      </c>
      <c r="D45" s="91" t="s">
        <v>194</v>
      </c>
      <c r="E45" s="91" t="s">
        <v>195</v>
      </c>
      <c r="F45" s="91" t="s">
        <v>196</v>
      </c>
      <c r="G45" s="91" t="s">
        <v>197</v>
      </c>
      <c r="H45" s="91" t="s">
        <v>198</v>
      </c>
      <c r="I45" s="91" t="s">
        <v>199</v>
      </c>
      <c r="J45" s="91" t="s">
        <v>200</v>
      </c>
      <c r="K45" s="91" t="s">
        <v>201</v>
      </c>
      <c r="L45" s="91" t="s">
        <v>202</v>
      </c>
      <c r="M45" s="91" t="s">
        <v>203</v>
      </c>
      <c r="N45" s="91" t="s">
        <v>204</v>
      </c>
      <c r="O45" s="91" t="s">
        <v>205</v>
      </c>
      <c r="P45" s="91" t="s">
        <v>206</v>
      </c>
      <c r="Q45" s="91" t="s">
        <v>207</v>
      </c>
      <c r="R45" s="91" t="s">
        <v>208</v>
      </c>
      <c r="S45" s="91" t="s">
        <v>209</v>
      </c>
      <c r="T45" s="91" t="s">
        <v>210</v>
      </c>
      <c r="U45" s="91" t="s">
        <v>211</v>
      </c>
      <c r="V45" s="91" t="s">
        <v>212</v>
      </c>
    </row>
    <row r="46" spans="1:24" s="104" customFormat="1" ht="15" thickBot="1" x14ac:dyDescent="0.4">
      <c r="A46" s="92" t="s">
        <v>171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ht="15" thickBot="1" x14ac:dyDescent="0.4">
      <c r="A47" s="99" t="s">
        <v>184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ht="15" thickBot="1" x14ac:dyDescent="0.4">
      <c r="A48" s="99" t="s">
        <v>185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ht="15" thickBot="1" x14ac:dyDescent="0.4">
      <c r="A49" s="94" t="s">
        <v>172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13476</v>
      </c>
      <c r="H49" s="95" t="s">
        <v>181</v>
      </c>
      <c r="I49" s="95" t="s">
        <v>181</v>
      </c>
      <c r="J49" s="95" t="s">
        <v>181</v>
      </c>
      <c r="K49" s="95" t="s">
        <v>181</v>
      </c>
      <c r="L49" s="95" t="s">
        <v>181</v>
      </c>
      <c r="M49" s="95" t="s">
        <v>181</v>
      </c>
      <c r="N49" s="95" t="s">
        <v>181</v>
      </c>
      <c r="O49" s="95" t="s">
        <v>181</v>
      </c>
      <c r="P49" s="95" t="s">
        <v>181</v>
      </c>
      <c r="Q49" s="95" t="s">
        <v>181</v>
      </c>
      <c r="R49" s="95" t="s">
        <v>181</v>
      </c>
      <c r="S49" s="95" t="s">
        <v>181</v>
      </c>
      <c r="T49" s="95" t="s">
        <v>181</v>
      </c>
      <c r="U49" s="95" t="s">
        <v>181</v>
      </c>
      <c r="V49" s="95" t="s">
        <v>181</v>
      </c>
      <c r="X49" s="105"/>
    </row>
    <row r="50" spans="1:24" s="104" customFormat="1" ht="15" thickBot="1" x14ac:dyDescent="0.4">
      <c r="A50" s="99" t="s">
        <v>184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ht="15" thickBot="1" x14ac:dyDescent="0.4">
      <c r="A51" s="99" t="s">
        <v>185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1684.5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ht="15" thickBot="1" x14ac:dyDescent="0.4">
      <c r="A52" s="96" t="s">
        <v>173</v>
      </c>
      <c r="B52" s="97"/>
      <c r="C52" s="97"/>
      <c r="D52" s="97"/>
      <c r="E52" s="97"/>
      <c r="F52" s="97"/>
      <c r="G52" s="97">
        <v>14673.599999999999</v>
      </c>
      <c r="H52" s="97">
        <v>16529.400000000001</v>
      </c>
      <c r="I52" s="97">
        <v>27357</v>
      </c>
      <c r="J52" s="97">
        <v>32248</v>
      </c>
      <c r="K52" s="97">
        <v>27381.200000000012</v>
      </c>
      <c r="L52" s="97">
        <v>8738.7000000000116</v>
      </c>
      <c r="M52" s="97">
        <v>17364.799999999988</v>
      </c>
      <c r="N52" s="97">
        <v>19010.5</v>
      </c>
      <c r="O52" s="97">
        <v>19227.899999999994</v>
      </c>
      <c r="P52" s="97">
        <v>16677.299999999988</v>
      </c>
      <c r="Q52" s="97">
        <v>17862.700000000012</v>
      </c>
      <c r="R52" s="97">
        <v>18365.200000000012</v>
      </c>
      <c r="S52" s="97">
        <v>4094.5</v>
      </c>
      <c r="T52" s="97">
        <v>28737.699999999983</v>
      </c>
      <c r="U52" s="97">
        <v>22051.5</v>
      </c>
      <c r="V52" s="97">
        <v>0</v>
      </c>
      <c r="X52" s="105"/>
    </row>
    <row r="53" spans="1:24" s="104" customFormat="1" ht="15" thickBot="1" x14ac:dyDescent="0.4">
      <c r="A53" s="99" t="s">
        <v>184</v>
      </c>
      <c r="B53" s="98"/>
      <c r="C53" s="98"/>
      <c r="D53" s="98"/>
      <c r="E53" s="98"/>
      <c r="F53" s="98"/>
      <c r="G53" s="136">
        <v>27</v>
      </c>
      <c r="H53" s="136">
        <v>26</v>
      </c>
      <c r="I53" s="136">
        <v>26</v>
      </c>
      <c r="J53" s="136">
        <v>27</v>
      </c>
      <c r="K53" s="136">
        <v>25</v>
      </c>
      <c r="L53" s="136">
        <v>17</v>
      </c>
      <c r="M53" s="136">
        <v>24</v>
      </c>
      <c r="N53" s="136">
        <v>24</v>
      </c>
      <c r="O53" s="136">
        <v>27</v>
      </c>
      <c r="P53" s="136">
        <v>26</v>
      </c>
      <c r="Q53" s="136">
        <v>26</v>
      </c>
      <c r="R53" s="136">
        <v>26</v>
      </c>
      <c r="S53" s="136">
        <v>27</v>
      </c>
      <c r="T53" s="136">
        <v>26</v>
      </c>
      <c r="U53" s="136">
        <v>26</v>
      </c>
      <c r="V53" s="136">
        <v>0</v>
      </c>
    </row>
    <row r="54" spans="1:24" s="104" customFormat="1" ht="15" thickBot="1" x14ac:dyDescent="0.4">
      <c r="A54" s="99" t="s">
        <v>185</v>
      </c>
      <c r="B54" s="98"/>
      <c r="C54" s="98"/>
      <c r="D54" s="98"/>
      <c r="E54" s="98"/>
      <c r="F54" s="98"/>
      <c r="G54" s="98">
        <f t="shared" ref="G54:U54" si="106">IFERROR(G52/G53,0)</f>
        <v>543.46666666666658</v>
      </c>
      <c r="H54" s="98">
        <f t="shared" si="106"/>
        <v>635.7461538461539</v>
      </c>
      <c r="I54" s="98">
        <f t="shared" si="106"/>
        <v>1052.1923076923076</v>
      </c>
      <c r="J54" s="98">
        <f t="shared" si="106"/>
        <v>1194.3703703703704</v>
      </c>
      <c r="K54" s="98">
        <f t="shared" si="106"/>
        <v>1095.2480000000005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792.10416666666663</v>
      </c>
      <c r="O54" s="98">
        <f t="shared" si="106"/>
        <v>712.14444444444428</v>
      </c>
      <c r="P54" s="98">
        <f t="shared" si="106"/>
        <v>641.43461538461497</v>
      </c>
      <c r="Q54" s="98">
        <f t="shared" si="106"/>
        <v>687.02692307692348</v>
      </c>
      <c r="R54" s="98">
        <f t="shared" si="106"/>
        <v>706.35384615384658</v>
      </c>
      <c r="S54" s="98">
        <f t="shared" si="106"/>
        <v>151.64814814814815</v>
      </c>
      <c r="T54" s="98">
        <f t="shared" si="106"/>
        <v>1105.2961538461532</v>
      </c>
      <c r="U54" s="98">
        <f t="shared" si="106"/>
        <v>848.13461538461536</v>
      </c>
      <c r="V54" s="98">
        <f t="shared" ref="V54" si="107">IFERROR(V52/V53,0)</f>
        <v>0</v>
      </c>
    </row>
    <row r="55" spans="1:24" s="104" customFormat="1" ht="15" thickBot="1" x14ac:dyDescent="0.4"/>
    <row r="56" spans="1:24" s="104" customFormat="1" ht="15" thickBot="1" x14ac:dyDescent="0.4">
      <c r="A56" s="90" t="s">
        <v>16</v>
      </c>
      <c r="B56" s="91" t="s">
        <v>192</v>
      </c>
      <c r="C56" s="91" t="s">
        <v>193</v>
      </c>
      <c r="D56" s="91" t="s">
        <v>194</v>
      </c>
      <c r="E56" s="91" t="s">
        <v>195</v>
      </c>
      <c r="F56" s="91" t="s">
        <v>196</v>
      </c>
      <c r="G56" s="91" t="s">
        <v>197</v>
      </c>
      <c r="H56" s="91" t="s">
        <v>198</v>
      </c>
      <c r="I56" s="91" t="s">
        <v>199</v>
      </c>
      <c r="J56" s="91" t="s">
        <v>200</v>
      </c>
      <c r="K56" s="91" t="s">
        <v>201</v>
      </c>
      <c r="L56" s="91" t="s">
        <v>202</v>
      </c>
      <c r="M56" s="91" t="s">
        <v>203</v>
      </c>
      <c r="N56" s="91" t="s">
        <v>204</v>
      </c>
      <c r="O56" s="91" t="s">
        <v>205</v>
      </c>
      <c r="P56" s="91" t="s">
        <v>206</v>
      </c>
      <c r="Q56" s="91" t="s">
        <v>207</v>
      </c>
      <c r="R56" s="91" t="s">
        <v>208</v>
      </c>
      <c r="S56" s="91" t="s">
        <v>209</v>
      </c>
      <c r="T56" s="91" t="s">
        <v>210</v>
      </c>
      <c r="U56" s="91" t="s">
        <v>211</v>
      </c>
      <c r="V56" s="91" t="s">
        <v>212</v>
      </c>
    </row>
    <row r="57" spans="1:24" s="104" customFormat="1" ht="15" thickBot="1" x14ac:dyDescent="0.4">
      <c r="A57" s="92" t="s">
        <v>171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ht="15" thickBot="1" x14ac:dyDescent="0.4">
      <c r="A58" s="99" t="s">
        <v>184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ht="15" thickBot="1" x14ac:dyDescent="0.4">
      <c r="A59" s="99" t="s">
        <v>185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ht="15" thickBot="1" x14ac:dyDescent="0.4">
      <c r="A60" s="94" t="s">
        <v>172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181</v>
      </c>
      <c r="I60" s="95" t="s">
        <v>181</v>
      </c>
      <c r="J60" s="95" t="s">
        <v>181</v>
      </c>
      <c r="K60" s="95" t="s">
        <v>181</v>
      </c>
      <c r="L60" s="95" t="s">
        <v>181</v>
      </c>
      <c r="M60" s="95" t="s">
        <v>181</v>
      </c>
      <c r="N60" s="95" t="s">
        <v>181</v>
      </c>
      <c r="O60" s="95" t="s">
        <v>181</v>
      </c>
      <c r="P60" s="95" t="s">
        <v>181</v>
      </c>
      <c r="Q60" s="95" t="s">
        <v>181</v>
      </c>
      <c r="R60" s="95" t="s">
        <v>181</v>
      </c>
      <c r="S60" s="95" t="s">
        <v>181</v>
      </c>
      <c r="T60" s="95" t="s">
        <v>181</v>
      </c>
      <c r="U60" s="95" t="s">
        <v>181</v>
      </c>
      <c r="V60" s="95" t="s">
        <v>181</v>
      </c>
      <c r="X60" s="105"/>
    </row>
    <row r="61" spans="1:24" s="104" customFormat="1" ht="15" thickBot="1" x14ac:dyDescent="0.4">
      <c r="A61" s="99" t="s">
        <v>184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ht="15" thickBot="1" x14ac:dyDescent="0.4">
      <c r="A62" s="99" t="s">
        <v>185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ht="15" thickBot="1" x14ac:dyDescent="0.4">
      <c r="A63" s="96" t="s">
        <v>176</v>
      </c>
      <c r="B63" s="97"/>
      <c r="C63" s="97"/>
      <c r="D63" s="97"/>
      <c r="E63" s="97"/>
      <c r="F63" s="97"/>
      <c r="G63" s="97">
        <v>4709</v>
      </c>
      <c r="H63" s="97">
        <v>50282.2</v>
      </c>
      <c r="I63" s="97">
        <v>46936</v>
      </c>
      <c r="J63" s="97">
        <v>85497.39999999998</v>
      </c>
      <c r="K63" s="97">
        <v>92587.700000000012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78872.800000000047</v>
      </c>
      <c r="U63" s="97">
        <v>33802.599999999977</v>
      </c>
      <c r="V63" s="97">
        <v>0</v>
      </c>
      <c r="X63" s="105"/>
    </row>
    <row r="64" spans="1:24" s="104" customFormat="1" ht="15" thickBot="1" x14ac:dyDescent="0.4">
      <c r="A64" s="99" t="s">
        <v>184</v>
      </c>
      <c r="B64" s="98"/>
      <c r="C64" s="98"/>
      <c r="D64" s="98"/>
      <c r="E64" s="98"/>
      <c r="F64" s="98"/>
      <c r="G64" s="136">
        <v>27</v>
      </c>
      <c r="H64" s="136">
        <v>26</v>
      </c>
      <c r="I64" s="136">
        <v>26</v>
      </c>
      <c r="J64" s="136">
        <v>27</v>
      </c>
      <c r="K64" s="136">
        <v>25</v>
      </c>
      <c r="L64" s="136">
        <v>17</v>
      </c>
      <c r="M64" s="136">
        <v>24</v>
      </c>
      <c r="N64" s="136">
        <v>24</v>
      </c>
      <c r="O64" s="136">
        <v>27</v>
      </c>
      <c r="P64" s="136">
        <v>26</v>
      </c>
      <c r="Q64" s="136">
        <v>26</v>
      </c>
      <c r="R64" s="136">
        <v>26</v>
      </c>
      <c r="S64" s="136">
        <v>27</v>
      </c>
      <c r="T64" s="136">
        <v>26</v>
      </c>
      <c r="U64" s="136">
        <v>26</v>
      </c>
      <c r="V64" s="136">
        <v>0</v>
      </c>
    </row>
    <row r="65" spans="1:22" s="104" customFormat="1" ht="15" thickBot="1" x14ac:dyDescent="0.4">
      <c r="A65" s="99" t="s">
        <v>185</v>
      </c>
      <c r="B65" s="98"/>
      <c r="C65" s="98"/>
      <c r="D65" s="98"/>
      <c r="E65" s="98"/>
      <c r="F65" s="98"/>
      <c r="G65" s="98">
        <f t="shared" ref="G65:U65" si="132">IFERROR(G63/G64,0)</f>
        <v>174.40740740740742</v>
      </c>
      <c r="H65" s="98">
        <f t="shared" si="132"/>
        <v>1933.9307692307691</v>
      </c>
      <c r="I65" s="98">
        <f t="shared" si="132"/>
        <v>1805.2307692307693</v>
      </c>
      <c r="J65" s="98">
        <f t="shared" si="132"/>
        <v>3166.5703703703698</v>
      </c>
      <c r="K65" s="98">
        <f t="shared" si="132"/>
        <v>3703.5080000000003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3033.5692307692325</v>
      </c>
      <c r="U65" s="98">
        <f t="shared" si="132"/>
        <v>1300.099999999999</v>
      </c>
      <c r="V65" s="98">
        <v>0</v>
      </c>
    </row>
    <row r="68" spans="1:22" x14ac:dyDescent="0.35">
      <c r="G68" s="137"/>
    </row>
    <row r="69" spans="1:22" x14ac:dyDescent="0.35">
      <c r="G69" s="13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E34-4917-42A4-B0BF-CA5C73AF8E70}">
  <dimension ref="A1:AA788"/>
  <sheetViews>
    <sheetView topLeftCell="A195" workbookViewId="0">
      <selection activeCell="D199" sqref="D199"/>
    </sheetView>
  </sheetViews>
  <sheetFormatPr defaultRowHeight="14.5" x14ac:dyDescent="0.35"/>
  <cols>
    <col min="1" max="1" width="10.08984375" bestFit="1" customWidth="1"/>
    <col min="3" max="3" width="15.90625" style="102" bestFit="1" customWidth="1"/>
    <col min="4" max="4" width="15.90625" style="101" bestFit="1" customWidth="1"/>
    <col min="5" max="5" width="15.90625" style="101" customWidth="1"/>
    <col min="6" max="7" width="15.90625" style="101" bestFit="1" customWidth="1"/>
    <col min="8" max="8" width="15.90625" style="101" customWidth="1"/>
    <col min="9" max="13" width="15.90625" style="101" bestFit="1" customWidth="1"/>
    <col min="14" max="14" width="0.632812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69" t="s">
        <v>186</v>
      </c>
      <c r="D1" s="171"/>
      <c r="E1" s="170"/>
      <c r="F1" s="169" t="s">
        <v>187</v>
      </c>
      <c r="G1" s="171"/>
      <c r="H1" s="170"/>
      <c r="I1" s="169" t="s">
        <v>191</v>
      </c>
      <c r="J1" s="171"/>
      <c r="K1" s="170"/>
      <c r="L1" s="169" t="s">
        <v>214</v>
      </c>
      <c r="M1" s="170"/>
      <c r="N1" s="110"/>
      <c r="P1" s="100"/>
    </row>
    <row r="2" spans="1:27" x14ac:dyDescent="0.35">
      <c r="A2" s="123"/>
      <c r="B2" s="124"/>
      <c r="C2" s="111">
        <f>SUM(C4:C733)</f>
        <v>82430.330000000016</v>
      </c>
      <c r="D2" s="112">
        <f t="shared" ref="D2:M2" si="0">SUM(D4:D733)</f>
        <v>80918.5</v>
      </c>
      <c r="E2" s="113">
        <f t="shared" si="0"/>
        <v>56240</v>
      </c>
      <c r="F2" s="111">
        <f t="shared" si="0"/>
        <v>103426.09699999998</v>
      </c>
      <c r="G2" s="112">
        <f t="shared" si="0"/>
        <v>103842.42000000003</v>
      </c>
      <c r="H2" s="113">
        <f t="shared" si="0"/>
        <v>72000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134641.94000000003</v>
      </c>
      <c r="M2" s="113">
        <f t="shared" si="0"/>
        <v>932691.01145969867</v>
      </c>
      <c r="N2" s="100"/>
    </row>
    <row r="3" spans="1:27" s="12" customFormat="1" ht="15" thickBot="1" x14ac:dyDescent="0.4">
      <c r="A3" s="125" t="s">
        <v>49</v>
      </c>
      <c r="B3" s="126" t="s">
        <v>188</v>
      </c>
      <c r="C3" s="114" t="s">
        <v>189</v>
      </c>
      <c r="D3" s="103" t="s">
        <v>190</v>
      </c>
      <c r="E3" s="115" t="s">
        <v>213</v>
      </c>
      <c r="F3" s="114" t="s">
        <v>189</v>
      </c>
      <c r="G3" s="103" t="s">
        <v>190</v>
      </c>
      <c r="H3" s="115" t="s">
        <v>213</v>
      </c>
      <c r="I3" s="114" t="s">
        <v>189</v>
      </c>
      <c r="J3" s="103" t="s">
        <v>190</v>
      </c>
      <c r="K3" s="115" t="s">
        <v>213</v>
      </c>
      <c r="L3" s="114" t="s">
        <v>215</v>
      </c>
      <c r="M3" s="115" t="s">
        <v>213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>
        <v>0</v>
      </c>
      <c r="D4" s="117">
        <v>0</v>
      </c>
      <c r="E4" s="118"/>
      <c r="F4" s="116">
        <v>0</v>
      </c>
      <c r="G4" s="117">
        <v>0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>
        <v>0</v>
      </c>
      <c r="D5" s="117">
        <v>0</v>
      </c>
      <c r="E5" s="118"/>
      <c r="F5" s="116">
        <v>0</v>
      </c>
      <c r="G5" s="117">
        <v>0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>
        <v>0</v>
      </c>
      <c r="D6" s="117">
        <v>0</v>
      </c>
      <c r="E6" s="118"/>
      <c r="F6" s="116">
        <v>0</v>
      </c>
      <c r="G6" s="117">
        <v>0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>
        <v>0</v>
      </c>
      <c r="D7" s="117">
        <v>0</v>
      </c>
      <c r="E7" s="118"/>
      <c r="F7" s="116">
        <v>0</v>
      </c>
      <c r="G7" s="117">
        <v>0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>
        <v>0</v>
      </c>
      <c r="D8" s="117">
        <v>0</v>
      </c>
      <c r="E8" s="118"/>
      <c r="F8" s="116">
        <v>0</v>
      </c>
      <c r="G8" s="117">
        <v>0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>
        <v>0</v>
      </c>
      <c r="D9" s="117">
        <v>0</v>
      </c>
      <c r="E9" s="118"/>
      <c r="F9" s="116">
        <v>0</v>
      </c>
      <c r="G9" s="117">
        <v>0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>
        <v>0</v>
      </c>
      <c r="D10" s="117">
        <v>0</v>
      </c>
      <c r="E10" s="118"/>
      <c r="F10" s="116">
        <v>0</v>
      </c>
      <c r="G10" s="117">
        <v>0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>
        <v>0</v>
      </c>
      <c r="D11" s="117">
        <v>0</v>
      </c>
      <c r="E11" s="118"/>
      <c r="F11" s="116">
        <v>0</v>
      </c>
      <c r="G11" s="117">
        <v>0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52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>
        <v>0</v>
      </c>
      <c r="D12" s="117">
        <v>0</v>
      </c>
      <c r="E12" s="118"/>
      <c r="F12" s="116">
        <v>0</v>
      </c>
      <c r="G12" s="117">
        <v>0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52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>
        <v>0</v>
      </c>
      <c r="D13" s="117">
        <v>0</v>
      </c>
      <c r="E13" s="118"/>
      <c r="F13" s="116">
        <v>0</v>
      </c>
      <c r="G13" s="117">
        <v>0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>
        <v>0</v>
      </c>
      <c r="D14" s="117">
        <v>0</v>
      </c>
      <c r="E14" s="118"/>
      <c r="F14" s="116">
        <v>0</v>
      </c>
      <c r="G14" s="117">
        <v>0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>
        <v>0</v>
      </c>
      <c r="D15" s="117">
        <v>0</v>
      </c>
      <c r="E15" s="118"/>
      <c r="F15" s="116">
        <v>0</v>
      </c>
      <c r="G15" s="117">
        <v>0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>
        <v>0</v>
      </c>
      <c r="D16" s="117">
        <v>0</v>
      </c>
      <c r="E16" s="118"/>
      <c r="F16" s="116">
        <v>0</v>
      </c>
      <c r="G16" s="117">
        <v>0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>
        <v>0</v>
      </c>
      <c r="D17" s="117">
        <v>0</v>
      </c>
      <c r="E17" s="118"/>
      <c r="F17" s="116">
        <v>0</v>
      </c>
      <c r="G17" s="117">
        <v>0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>
        <v>0</v>
      </c>
      <c r="D18" s="117">
        <v>0</v>
      </c>
      <c r="E18" s="118"/>
      <c r="F18" s="116">
        <v>0</v>
      </c>
      <c r="G18" s="117">
        <v>0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>
        <v>0</v>
      </c>
      <c r="D19" s="117">
        <v>0</v>
      </c>
      <c r="E19" s="118"/>
      <c r="F19" s="116">
        <v>0</v>
      </c>
      <c r="G19" s="117">
        <v>0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>
        <v>0</v>
      </c>
      <c r="D20" s="117">
        <v>0</v>
      </c>
      <c r="E20" s="118"/>
      <c r="F20" s="116">
        <v>0</v>
      </c>
      <c r="G20" s="117">
        <v>0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>
        <v>0</v>
      </c>
      <c r="D21" s="117">
        <v>0</v>
      </c>
      <c r="E21" s="118"/>
      <c r="F21" s="116">
        <v>0</v>
      </c>
      <c r="G21" s="117">
        <v>0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>
        <v>0</v>
      </c>
      <c r="D22" s="117">
        <v>0</v>
      </c>
      <c r="E22" s="118"/>
      <c r="F22" s="116">
        <v>0</v>
      </c>
      <c r="G22" s="117">
        <v>0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>
        <v>0</v>
      </c>
      <c r="D23" s="117">
        <v>0</v>
      </c>
      <c r="E23" s="118"/>
      <c r="F23" s="116">
        <v>0</v>
      </c>
      <c r="G23" s="117">
        <v>0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>
        <v>0</v>
      </c>
      <c r="D24" s="117">
        <v>0</v>
      </c>
      <c r="E24" s="118"/>
      <c r="F24" s="116">
        <v>0</v>
      </c>
      <c r="G24" s="117">
        <v>0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>
        <v>630.4</v>
      </c>
      <c r="D25" s="117">
        <v>0</v>
      </c>
      <c r="E25" s="118"/>
      <c r="F25" s="116">
        <v>0</v>
      </c>
      <c r="G25" s="117">
        <v>0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>
        <v>696.4</v>
      </c>
      <c r="D26" s="117">
        <v>0</v>
      </c>
      <c r="E26" s="118"/>
      <c r="F26" s="116">
        <v>0</v>
      </c>
      <c r="G26" s="117">
        <v>0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>
        <v>665.45</v>
      </c>
      <c r="D27" s="117">
        <v>0</v>
      </c>
      <c r="E27" s="118"/>
      <c r="F27" s="116">
        <v>0</v>
      </c>
      <c r="G27" s="117">
        <v>0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>
        <v>541.72</v>
      </c>
      <c r="D28" s="117">
        <v>0</v>
      </c>
      <c r="E28" s="118"/>
      <c r="F28" s="116">
        <v>0</v>
      </c>
      <c r="G28" s="117">
        <v>0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>
        <v>555.94000000000005</v>
      </c>
      <c r="D29" s="117">
        <v>0</v>
      </c>
      <c r="E29" s="118"/>
      <c r="F29" s="116">
        <v>0</v>
      </c>
      <c r="G29" s="117">
        <v>0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>
        <v>841.38</v>
      </c>
      <c r="D30" s="117">
        <v>0</v>
      </c>
      <c r="E30" s="118"/>
      <c r="F30" s="116">
        <v>0</v>
      </c>
      <c r="G30" s="117">
        <v>0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>
        <v>867.44</v>
      </c>
      <c r="D31" s="117">
        <v>0</v>
      </c>
      <c r="E31" s="118"/>
      <c r="F31" s="116">
        <v>0</v>
      </c>
      <c r="G31" s="117">
        <v>0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>
        <v>810.43</v>
      </c>
      <c r="D32" s="117">
        <v>404.14</v>
      </c>
      <c r="E32" s="118"/>
      <c r="F32" s="116">
        <v>0</v>
      </c>
      <c r="G32" s="117">
        <v>0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>
        <v>938.3</v>
      </c>
      <c r="D33" s="117">
        <v>167.61999999999998</v>
      </c>
      <c r="E33" s="118"/>
      <c r="F33" s="116">
        <v>0</v>
      </c>
      <c r="G33" s="117">
        <v>0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>
        <v>358.38</v>
      </c>
      <c r="D34" s="117">
        <v>132.76</v>
      </c>
      <c r="E34" s="118"/>
      <c r="F34" s="116">
        <v>0</v>
      </c>
      <c r="G34" s="117">
        <v>0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>
        <v>248.42</v>
      </c>
      <c r="D35" s="117">
        <v>0</v>
      </c>
      <c r="E35" s="118"/>
      <c r="F35" s="116">
        <v>0</v>
      </c>
      <c r="G35" s="117">
        <v>0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>
        <v>764.82</v>
      </c>
      <c r="D36" s="117">
        <v>240.88</v>
      </c>
      <c r="E36" s="118"/>
      <c r="F36" s="116">
        <v>0</v>
      </c>
      <c r="G36" s="117">
        <v>0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>
        <v>1057.22</v>
      </c>
      <c r="D37" s="117">
        <v>607.78</v>
      </c>
      <c r="E37" s="118"/>
      <c r="F37" s="116">
        <v>0</v>
      </c>
      <c r="G37" s="117">
        <v>0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>
        <v>746.9</v>
      </c>
      <c r="D38" s="117">
        <v>505.15999999999997</v>
      </c>
      <c r="E38" s="118"/>
      <c r="F38" s="116">
        <v>0</v>
      </c>
      <c r="G38" s="117">
        <v>0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>
        <v>509.06</v>
      </c>
      <c r="D39" s="117">
        <v>606.68000000000018</v>
      </c>
      <c r="E39" s="118"/>
      <c r="F39" s="116">
        <v>0</v>
      </c>
      <c r="G39" s="117">
        <v>0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>
        <v>424.35</v>
      </c>
      <c r="D40" s="117">
        <v>710.34000000000015</v>
      </c>
      <c r="E40" s="118"/>
      <c r="F40" s="116">
        <v>0</v>
      </c>
      <c r="G40" s="117">
        <v>0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>
        <v>616.58000000000004</v>
      </c>
      <c r="D41" s="117">
        <v>245.3</v>
      </c>
      <c r="E41" s="118"/>
      <c r="F41" s="116">
        <v>0</v>
      </c>
      <c r="G41" s="117">
        <v>0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>
        <v>67.599999999999994</v>
      </c>
      <c r="D42" s="117">
        <v>0</v>
      </c>
      <c r="E42" s="118"/>
      <c r="F42" s="116">
        <v>0</v>
      </c>
      <c r="G42" s="117">
        <v>0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>
        <v>799.84</v>
      </c>
      <c r="D43" s="117">
        <v>917</v>
      </c>
      <c r="E43" s="118"/>
      <c r="F43" s="116">
        <v>0</v>
      </c>
      <c r="G43" s="117">
        <v>0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>
        <v>351.86</v>
      </c>
      <c r="D44" s="117">
        <v>977.24</v>
      </c>
      <c r="E44" s="118"/>
      <c r="F44" s="116">
        <v>0</v>
      </c>
      <c r="G44" s="117">
        <v>0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>
        <v>277.65000000000009</v>
      </c>
      <c r="D45" s="117">
        <v>0</v>
      </c>
      <c r="E45" s="118"/>
      <c r="F45" s="116">
        <v>-286.79999999999995</v>
      </c>
      <c r="G45" s="117">
        <v>0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>
        <v>706.17</v>
      </c>
      <c r="D46" s="117">
        <v>0</v>
      </c>
      <c r="E46" s="118"/>
      <c r="F46" s="116">
        <v>0</v>
      </c>
      <c r="G46" s="117">
        <v>0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>
        <v>576.66999999999996</v>
      </c>
      <c r="D47" s="117">
        <v>1019.4200000000001</v>
      </c>
      <c r="E47" s="118"/>
      <c r="F47" s="116">
        <v>0</v>
      </c>
      <c r="G47" s="117">
        <v>0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>
        <v>0</v>
      </c>
      <c r="D48" s="117">
        <v>659.96000000000015</v>
      </c>
      <c r="E48" s="118"/>
      <c r="F48" s="116">
        <v>0</v>
      </c>
      <c r="G48" s="117">
        <v>0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>
        <v>0</v>
      </c>
      <c r="D49" s="117">
        <v>0</v>
      </c>
      <c r="E49" s="118"/>
      <c r="F49" s="116">
        <v>0</v>
      </c>
      <c r="G49" s="117">
        <v>0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>
        <v>637.75</v>
      </c>
      <c r="D50" s="117">
        <v>677.84</v>
      </c>
      <c r="E50" s="118"/>
      <c r="F50" s="116">
        <v>0</v>
      </c>
      <c r="G50" s="117">
        <v>0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>
        <v>644.27</v>
      </c>
      <c r="D51" s="117">
        <v>494.20000000000005</v>
      </c>
      <c r="E51" s="118"/>
      <c r="F51" s="116">
        <v>0</v>
      </c>
      <c r="G51" s="117">
        <v>0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>
        <v>592.14</v>
      </c>
      <c r="D52" s="117">
        <v>724.64</v>
      </c>
      <c r="E52" s="118"/>
      <c r="F52" s="116">
        <v>0</v>
      </c>
      <c r="G52" s="117">
        <v>0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>
        <v>670.33</v>
      </c>
      <c r="D53" s="117">
        <v>753.45999999999992</v>
      </c>
      <c r="E53" s="118"/>
      <c r="F53" s="116">
        <v>0</v>
      </c>
      <c r="G53" s="117">
        <v>0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>
        <v>542.46</v>
      </c>
      <c r="D54" s="117">
        <v>658.38000000000011</v>
      </c>
      <c r="E54" s="118"/>
      <c r="F54" s="116">
        <v>202.5</v>
      </c>
      <c r="G54" s="117">
        <v>0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>
        <v>0</v>
      </c>
      <c r="D55" s="117">
        <v>601.34</v>
      </c>
      <c r="E55" s="118"/>
      <c r="F55" s="116">
        <v>202.5</v>
      </c>
      <c r="G55" s="117">
        <v>0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>
        <v>0</v>
      </c>
      <c r="D56" s="117">
        <v>0</v>
      </c>
      <c r="E56" s="118"/>
      <c r="F56" s="116">
        <v>202.5</v>
      </c>
      <c r="G56" s="117">
        <v>0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>
        <v>0</v>
      </c>
      <c r="D57" s="117">
        <v>0</v>
      </c>
      <c r="E57" s="118"/>
      <c r="F57" s="116">
        <v>202.5</v>
      </c>
      <c r="G57" s="117">
        <v>0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>
        <v>231.32</v>
      </c>
      <c r="D58" s="117">
        <v>297.62</v>
      </c>
      <c r="E58" s="118"/>
      <c r="F58" s="116">
        <v>202.5</v>
      </c>
      <c r="G58" s="117">
        <v>0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>
        <v>0</v>
      </c>
      <c r="D59" s="117">
        <v>405.22000000000008</v>
      </c>
      <c r="E59" s="118"/>
      <c r="F59" s="116">
        <v>202.5</v>
      </c>
      <c r="G59" s="117">
        <v>0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>
        <v>0</v>
      </c>
      <c r="D60" s="117">
        <v>203.07999999999996</v>
      </c>
      <c r="E60" s="118"/>
      <c r="F60" s="116">
        <v>202.5</v>
      </c>
      <c r="G60" s="117">
        <v>0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>
        <v>0</v>
      </c>
      <c r="D61" s="117">
        <v>651.1400000000001</v>
      </c>
      <c r="E61" s="118"/>
      <c r="F61" s="116">
        <v>202.5</v>
      </c>
      <c r="G61" s="117">
        <v>0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>
        <v>0</v>
      </c>
      <c r="D62" s="117">
        <v>0</v>
      </c>
      <c r="E62" s="118"/>
      <c r="F62" s="116">
        <v>0</v>
      </c>
      <c r="G62" s="117">
        <v>0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>
        <v>0</v>
      </c>
      <c r="D63" s="117">
        <v>0</v>
      </c>
      <c r="E63" s="118"/>
      <c r="F63" s="116">
        <v>0</v>
      </c>
      <c r="G63" s="117">
        <v>0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>
        <v>0</v>
      </c>
      <c r="D64" s="117">
        <v>717.22</v>
      </c>
      <c r="E64" s="118"/>
      <c r="F64" s="116">
        <v>0</v>
      </c>
      <c r="G64" s="117">
        <v>0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>
        <v>0</v>
      </c>
      <c r="D65" s="117">
        <v>455.38</v>
      </c>
      <c r="E65" s="118"/>
      <c r="F65" s="116">
        <v>726.75</v>
      </c>
      <c r="G65" s="117">
        <v>0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>
        <v>0</v>
      </c>
      <c r="D66" s="117">
        <v>142.41999999999999</v>
      </c>
      <c r="E66" s="118"/>
      <c r="F66" s="116">
        <v>1020</v>
      </c>
      <c r="G66" s="117">
        <v>0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>
        <v>0</v>
      </c>
      <c r="D67" s="117">
        <v>212.48</v>
      </c>
      <c r="E67" s="118"/>
      <c r="F67" s="116">
        <v>807.5</v>
      </c>
      <c r="G67" s="117">
        <v>0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>
        <v>0</v>
      </c>
      <c r="D68" s="117">
        <v>642.34</v>
      </c>
      <c r="E68" s="118"/>
      <c r="F68" s="116">
        <v>443.7</v>
      </c>
      <c r="G68" s="117">
        <v>0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>
        <v>0</v>
      </c>
      <c r="D69" s="117">
        <v>551.43999999999994</v>
      </c>
      <c r="E69" s="118"/>
      <c r="F69" s="116">
        <v>0</v>
      </c>
      <c r="G69" s="117">
        <v>0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>
        <v>0</v>
      </c>
      <c r="D70" s="117">
        <v>0</v>
      </c>
      <c r="E70" s="118"/>
      <c r="F70" s="116">
        <v>0</v>
      </c>
      <c r="G70" s="117">
        <v>0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>
        <v>0</v>
      </c>
      <c r="D71" s="117">
        <v>114.68</v>
      </c>
      <c r="E71" s="118"/>
      <c r="F71" s="116">
        <v>651.70000000000005</v>
      </c>
      <c r="G71" s="117">
        <v>0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>
        <v>0</v>
      </c>
      <c r="D72" s="117">
        <v>381.64</v>
      </c>
      <c r="E72" s="118"/>
      <c r="F72" s="116">
        <v>755.76</v>
      </c>
      <c r="G72" s="117">
        <v>0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>
        <v>0</v>
      </c>
      <c r="D73" s="117">
        <v>858.69999999999993</v>
      </c>
      <c r="E73" s="118"/>
      <c r="F73" s="116">
        <v>949.03</v>
      </c>
      <c r="G73" s="117">
        <v>0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>
        <v>0</v>
      </c>
      <c r="D74" s="117">
        <v>200.7</v>
      </c>
      <c r="E74" s="118"/>
      <c r="F74" s="116">
        <v>828.75</v>
      </c>
      <c r="G74" s="117">
        <v>0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>
        <v>0</v>
      </c>
      <c r="D75" s="117">
        <v>35.14</v>
      </c>
      <c r="E75" s="118"/>
      <c r="F75" s="116">
        <v>932.66</v>
      </c>
      <c r="G75" s="117">
        <v>0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>
        <v>0</v>
      </c>
      <c r="D76" s="117">
        <v>0</v>
      </c>
      <c r="E76" s="118"/>
      <c r="F76" s="116">
        <v>685.74</v>
      </c>
      <c r="G76" s="117">
        <v>543.44000000000005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>
        <v>0</v>
      </c>
      <c r="D77" s="117">
        <v>0</v>
      </c>
      <c r="E77" s="118"/>
      <c r="F77" s="116">
        <v>0</v>
      </c>
      <c r="G77" s="117">
        <v>0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>
        <v>0</v>
      </c>
      <c r="D78" s="117">
        <v>35.4</v>
      </c>
      <c r="E78" s="118"/>
      <c r="F78" s="116">
        <v>584.59</v>
      </c>
      <c r="G78" s="117">
        <v>1060.7400000000002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>
        <v>0</v>
      </c>
      <c r="D79" s="117">
        <v>0</v>
      </c>
      <c r="E79" s="118"/>
      <c r="F79" s="116">
        <v>816.54</v>
      </c>
      <c r="G79" s="117">
        <v>591.79999999999995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>
        <v>0</v>
      </c>
      <c r="D80" s="117">
        <v>0</v>
      </c>
      <c r="E80" s="118"/>
      <c r="F80" s="116">
        <v>1127.6099999999999</v>
      </c>
      <c r="G80" s="117">
        <v>1052.94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>
        <v>0</v>
      </c>
      <c r="D81" s="117">
        <v>0</v>
      </c>
      <c r="E81" s="118"/>
      <c r="F81" s="116">
        <v>997.31</v>
      </c>
      <c r="G81" s="117">
        <v>1403.3399999999997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>
        <v>0</v>
      </c>
      <c r="D82" s="117">
        <v>0</v>
      </c>
      <c r="E82" s="118"/>
      <c r="F82" s="116">
        <v>862.75</v>
      </c>
      <c r="G82" s="117">
        <v>1580.3000000000004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>
        <v>0</v>
      </c>
      <c r="D83" s="117">
        <v>0</v>
      </c>
      <c r="E83" s="118"/>
      <c r="F83" s="116">
        <v>680.26</v>
      </c>
      <c r="G83" s="117">
        <v>1199.78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>
        <v>0</v>
      </c>
      <c r="D84" s="117">
        <v>0</v>
      </c>
      <c r="E84" s="118"/>
      <c r="F84" s="116">
        <v>0</v>
      </c>
      <c r="G84" s="117">
        <v>0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>
        <v>0</v>
      </c>
      <c r="D85" s="117">
        <v>0</v>
      </c>
      <c r="E85" s="118"/>
      <c r="F85" s="116">
        <v>821.07</v>
      </c>
      <c r="G85" s="117">
        <v>1266.7199999999996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>
        <v>0</v>
      </c>
      <c r="D86" s="117">
        <v>0</v>
      </c>
      <c r="E86" s="118"/>
      <c r="F86" s="116">
        <v>1072.07</v>
      </c>
      <c r="G86" s="117">
        <v>1305.5599999999997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>
        <v>0</v>
      </c>
      <c r="D87" s="117">
        <v>0</v>
      </c>
      <c r="E87" s="118"/>
      <c r="F87" s="116">
        <v>1146.8699999999999</v>
      </c>
      <c r="G87" s="117">
        <v>1077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>
        <v>0</v>
      </c>
      <c r="D88" s="117">
        <v>0</v>
      </c>
      <c r="E88" s="118"/>
      <c r="F88" s="116">
        <v>1227.94</v>
      </c>
      <c r="G88" s="117">
        <v>1110.28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>
        <v>0</v>
      </c>
      <c r="D89" s="117">
        <v>0</v>
      </c>
      <c r="E89" s="118"/>
      <c r="F89" s="116">
        <v>1372.11</v>
      </c>
      <c r="G89" s="117">
        <v>1236.3199999999997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>
        <v>733.89</v>
      </c>
      <c r="D90" s="117">
        <v>0</v>
      </c>
      <c r="E90" s="118"/>
      <c r="F90" s="116">
        <v>480.52</v>
      </c>
      <c r="G90" s="117">
        <v>1063.1599999999999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>
        <v>0</v>
      </c>
      <c r="D91" s="117">
        <v>0</v>
      </c>
      <c r="E91" s="118"/>
      <c r="F91" s="116">
        <v>0</v>
      </c>
      <c r="G91" s="117">
        <v>0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>
        <v>534.38</v>
      </c>
      <c r="D92" s="117">
        <v>0</v>
      </c>
      <c r="E92" s="118"/>
      <c r="F92" s="116">
        <v>1190</v>
      </c>
      <c r="G92" s="117">
        <v>813.9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>
        <v>643.14</v>
      </c>
      <c r="D93" s="117">
        <v>413.56</v>
      </c>
      <c r="E93" s="118"/>
      <c r="F93" s="116">
        <v>1284.04</v>
      </c>
      <c r="G93" s="117">
        <v>1659.9599999999994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>
        <v>766.73</v>
      </c>
      <c r="D94" s="117">
        <v>463.99999999999994</v>
      </c>
      <c r="E94" s="118"/>
      <c r="F94" s="116">
        <v>1344.7</v>
      </c>
      <c r="G94" s="117">
        <v>1245.3599999999997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>
        <v>229.08</v>
      </c>
      <c r="D95" s="117">
        <v>430.3</v>
      </c>
      <c r="E95" s="118"/>
      <c r="F95" s="116">
        <v>1148.78</v>
      </c>
      <c r="G95" s="117">
        <v>2257.1000000000004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>
        <v>0</v>
      </c>
      <c r="D96" s="117">
        <v>0</v>
      </c>
      <c r="E96" s="118"/>
      <c r="F96" s="116">
        <v>0</v>
      </c>
      <c r="G96" s="117">
        <v>121.00000000000001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>
        <v>0</v>
      </c>
      <c r="D97" s="117">
        <v>0</v>
      </c>
      <c r="E97" s="118"/>
      <c r="F97" s="116">
        <v>0</v>
      </c>
      <c r="G97" s="117">
        <v>0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>
        <v>0</v>
      </c>
      <c r="D98" s="117">
        <v>0</v>
      </c>
      <c r="E98" s="118"/>
      <c r="F98" s="116">
        <v>0</v>
      </c>
      <c r="G98" s="117">
        <v>0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>
        <v>614.02</v>
      </c>
      <c r="D99" s="117">
        <v>452.85999999999996</v>
      </c>
      <c r="E99" s="118"/>
      <c r="F99" s="116">
        <v>1168.8599999999999</v>
      </c>
      <c r="G99" s="117">
        <v>1516.8999999999999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>
        <v>807.58</v>
      </c>
      <c r="D100" s="117">
        <v>1073.5199999999998</v>
      </c>
      <c r="E100" s="118"/>
      <c r="F100" s="116">
        <v>1166.17</v>
      </c>
      <c r="G100" s="117">
        <v>982.92000000000007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>
        <v>801.29</v>
      </c>
      <c r="D101" s="117">
        <v>928.04000000000008</v>
      </c>
      <c r="E101" s="118"/>
      <c r="F101" s="116">
        <v>2168.23</v>
      </c>
      <c r="G101" s="117">
        <v>376.48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>
        <v>721.68</v>
      </c>
      <c r="D102" s="117">
        <v>647.29999999999984</v>
      </c>
      <c r="E102" s="118"/>
      <c r="F102" s="116">
        <v>0</v>
      </c>
      <c r="G102" s="117">
        <v>572.56000000000006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>
        <v>457.56</v>
      </c>
      <c r="D103" s="117">
        <v>251.66</v>
      </c>
      <c r="E103" s="118"/>
      <c r="F103" s="116">
        <v>0</v>
      </c>
      <c r="G103" s="117">
        <v>452.65999999999997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>
        <v>534.94000000000005</v>
      </c>
      <c r="D104" s="117">
        <v>1007.6800000000001</v>
      </c>
      <c r="E104" s="118"/>
      <c r="F104" s="116">
        <v>0</v>
      </c>
      <c r="G104" s="117">
        <v>429.4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>
        <v>0</v>
      </c>
      <c r="D105" s="117">
        <v>0</v>
      </c>
      <c r="E105" s="118"/>
      <c r="F105" s="116">
        <v>0</v>
      </c>
      <c r="G105" s="117">
        <v>0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>
        <v>210.65</v>
      </c>
      <c r="D106" s="117">
        <v>495.78</v>
      </c>
      <c r="E106" s="118"/>
      <c r="F106" s="116">
        <v>0</v>
      </c>
      <c r="G106" s="117">
        <v>486.06000000000006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>
        <v>637.78</v>
      </c>
      <c r="D107" s="117">
        <v>364.46000000000004</v>
      </c>
      <c r="E107" s="118"/>
      <c r="F107" s="116">
        <v>0</v>
      </c>
      <c r="G107" s="117">
        <v>611.34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>
        <v>786.99</v>
      </c>
      <c r="D108" s="117">
        <v>865.52</v>
      </c>
      <c r="E108" s="118"/>
      <c r="F108" s="116">
        <v>1210.04</v>
      </c>
      <c r="G108" s="117">
        <v>327.29999999999995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>
        <v>684.45</v>
      </c>
      <c r="D109" s="117">
        <v>602.9799999999999</v>
      </c>
      <c r="E109" s="118"/>
      <c r="F109" s="116">
        <v>1194.17</v>
      </c>
      <c r="G109" s="117">
        <v>592.26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>
        <v>718.85</v>
      </c>
      <c r="D110" s="117">
        <v>308.92000000000007</v>
      </c>
      <c r="E110" s="118"/>
      <c r="F110" s="116">
        <v>1184.27</v>
      </c>
      <c r="G110" s="117">
        <v>631.4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>
        <v>518.08000000000004</v>
      </c>
      <c r="D111" s="117">
        <v>0</v>
      </c>
      <c r="E111" s="118"/>
      <c r="F111" s="116">
        <v>650.25</v>
      </c>
      <c r="G111" s="117">
        <v>0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>
        <v>0</v>
      </c>
      <c r="D112" s="117">
        <v>0</v>
      </c>
      <c r="E112" s="118"/>
      <c r="F112" s="116">
        <v>0</v>
      </c>
      <c r="G112" s="117">
        <v>0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>
        <v>730.78</v>
      </c>
      <c r="D113" s="117">
        <v>0</v>
      </c>
      <c r="E113" s="118"/>
      <c r="F113" s="116">
        <v>1091.74</v>
      </c>
      <c r="G113" s="117">
        <v>0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>
        <v>91.96</v>
      </c>
      <c r="D114" s="117">
        <v>0</v>
      </c>
      <c r="E114" s="118"/>
      <c r="F114" s="116">
        <v>0</v>
      </c>
      <c r="G114" s="117">
        <v>35.78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>
        <v>680.94</v>
      </c>
      <c r="D115" s="117">
        <v>591.69999999999993</v>
      </c>
      <c r="E115" s="118"/>
      <c r="F115" s="116">
        <v>0</v>
      </c>
      <c r="G115" s="117">
        <v>1042.9600000000003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>
        <v>0</v>
      </c>
      <c r="D116" s="117">
        <v>338.32</v>
      </c>
      <c r="E116" s="118"/>
      <c r="F116" s="116">
        <v>0</v>
      </c>
      <c r="G116" s="117">
        <v>1151.46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>
        <v>0</v>
      </c>
      <c r="D117" s="117">
        <v>474.70000000000005</v>
      </c>
      <c r="E117" s="118"/>
      <c r="F117" s="116">
        <v>0</v>
      </c>
      <c r="G117" s="117">
        <v>1249.46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>
        <v>0</v>
      </c>
      <c r="D118" s="117">
        <v>499.12</v>
      </c>
      <c r="E118" s="118"/>
      <c r="F118" s="116">
        <v>0</v>
      </c>
      <c r="G118" s="117">
        <v>595.55999999999995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>
        <v>0</v>
      </c>
      <c r="D119" s="117">
        <v>0</v>
      </c>
      <c r="E119" s="118"/>
      <c r="F119" s="116">
        <v>0</v>
      </c>
      <c r="G119" s="117">
        <v>0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>
        <v>0</v>
      </c>
      <c r="D120" s="117">
        <v>326.08000000000004</v>
      </c>
      <c r="E120" s="118"/>
      <c r="F120" s="116">
        <v>0</v>
      </c>
      <c r="G120" s="117">
        <v>645.78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>
        <v>499.32</v>
      </c>
      <c r="D121" s="117">
        <v>534.94000000000005</v>
      </c>
      <c r="E121" s="118"/>
      <c r="F121" s="116">
        <v>0</v>
      </c>
      <c r="G121" s="117">
        <v>1397.5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>
        <v>499.32</v>
      </c>
      <c r="D122" s="117">
        <v>1076.1199999999999</v>
      </c>
      <c r="E122" s="118"/>
      <c r="F122" s="116">
        <v>546.59</v>
      </c>
      <c r="G122" s="117">
        <v>1011.1999999999999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>
        <v>440.19</v>
      </c>
      <c r="D123" s="117">
        <v>993.0200000000001</v>
      </c>
      <c r="E123" s="118"/>
      <c r="F123" s="116">
        <v>1150.05</v>
      </c>
      <c r="G123" s="117">
        <v>1266.6599999999999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>
        <v>549.59</v>
      </c>
      <c r="D124" s="117">
        <v>0</v>
      </c>
      <c r="E124" s="118"/>
      <c r="F124" s="116">
        <v>316.8</v>
      </c>
      <c r="G124" s="117">
        <v>0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>
        <v>563.04999999999995</v>
      </c>
      <c r="D125" s="117">
        <v>102.25999999999999</v>
      </c>
      <c r="E125" s="118"/>
      <c r="F125" s="116">
        <v>514.82000000000005</v>
      </c>
      <c r="G125" s="117">
        <v>971.46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>
        <v>0</v>
      </c>
      <c r="D126" s="117">
        <v>0</v>
      </c>
      <c r="E126" s="118"/>
      <c r="F126" s="116">
        <v>0</v>
      </c>
      <c r="G126" s="117">
        <v>0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>
        <v>588.02</v>
      </c>
      <c r="D127" s="117">
        <v>132.04</v>
      </c>
      <c r="E127" s="118"/>
      <c r="F127" s="116">
        <v>632.61</v>
      </c>
      <c r="G127" s="117">
        <v>739.6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>
        <v>643.86</v>
      </c>
      <c r="D128" s="117">
        <v>313.98000000000008</v>
      </c>
      <c r="E128" s="118"/>
      <c r="F128" s="116">
        <v>836.55</v>
      </c>
      <c r="G128" s="117">
        <v>1387.98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>
        <v>576.19000000000005</v>
      </c>
      <c r="D129" s="117">
        <v>815.82000000000016</v>
      </c>
      <c r="E129" s="118"/>
      <c r="F129" s="116">
        <v>1370.29</v>
      </c>
      <c r="G129" s="117">
        <v>938.3599999999999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>
        <v>268.70999999999998</v>
      </c>
      <c r="D130" s="117">
        <v>1233.2599999999998</v>
      </c>
      <c r="E130" s="118"/>
      <c r="F130" s="116">
        <v>920.07</v>
      </c>
      <c r="G130" s="117">
        <v>1221.3400000000001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>
        <v>1118.07</v>
      </c>
      <c r="D131" s="117">
        <v>982.48</v>
      </c>
      <c r="E131" s="118"/>
      <c r="F131" s="116">
        <v>0</v>
      </c>
      <c r="G131" s="117">
        <v>622.64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>
        <v>771.74</v>
      </c>
      <c r="D132" s="117">
        <v>480.78</v>
      </c>
      <c r="E132" s="118"/>
      <c r="F132" s="116">
        <v>0</v>
      </c>
      <c r="G132" s="117">
        <v>607.41999999999996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>
        <v>0</v>
      </c>
      <c r="D133" s="117">
        <v>0</v>
      </c>
      <c r="E133" s="118"/>
      <c r="F133" s="116">
        <v>0</v>
      </c>
      <c r="G133" s="117">
        <v>0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>
        <v>739.17</v>
      </c>
      <c r="D134" s="117">
        <v>1107.1599999999999</v>
      </c>
      <c r="E134" s="118"/>
      <c r="F134" s="116">
        <v>1346.4</v>
      </c>
      <c r="G134" s="117">
        <v>1105.0199999999998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>
        <v>824.36</v>
      </c>
      <c r="D135" s="117">
        <v>1245.9200000000003</v>
      </c>
      <c r="E135" s="118"/>
      <c r="F135" s="116">
        <v>1029.1099999999999</v>
      </c>
      <c r="G135" s="117">
        <v>1172.44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>
        <v>572.02</v>
      </c>
      <c r="D136" s="117">
        <v>1452.0399999999995</v>
      </c>
      <c r="E136" s="118"/>
      <c r="F136" s="116">
        <v>912.29</v>
      </c>
      <c r="G136" s="117">
        <v>1026.26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>
        <v>0</v>
      </c>
      <c r="D137" s="117">
        <v>898.22</v>
      </c>
      <c r="E137" s="118"/>
      <c r="F137" s="116">
        <v>470.25</v>
      </c>
      <c r="G137" s="117">
        <v>470.64000000000004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>
        <v>1391.38</v>
      </c>
      <c r="D138" s="117">
        <v>290.62</v>
      </c>
      <c r="E138" s="118"/>
      <c r="F138" s="116">
        <v>420.75</v>
      </c>
      <c r="G138" s="117">
        <v>0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>
        <v>778.59</v>
      </c>
      <c r="D139" s="117">
        <v>1240.5800000000002</v>
      </c>
      <c r="E139" s="118"/>
      <c r="F139" s="116">
        <v>222.75</v>
      </c>
      <c r="G139" s="117">
        <v>430.36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>
        <v>675.81</v>
      </c>
      <c r="D140" s="117">
        <v>0</v>
      </c>
      <c r="E140" s="118"/>
      <c r="F140" s="116">
        <v>0</v>
      </c>
      <c r="G140" s="117">
        <v>0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>
        <v>849.26</v>
      </c>
      <c r="D141" s="117">
        <v>846.3599999999999</v>
      </c>
      <c r="E141" s="118"/>
      <c r="F141" s="116">
        <v>564.29999999999995</v>
      </c>
      <c r="G141" s="117">
        <v>402.88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>
        <v>552.24</v>
      </c>
      <c r="D142" s="117">
        <v>1007.4200000000001</v>
      </c>
      <c r="E142" s="118"/>
      <c r="F142" s="116">
        <v>504.9</v>
      </c>
      <c r="G142" s="117">
        <v>504.58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>
        <v>590.92999999999995</v>
      </c>
      <c r="D143" s="117">
        <v>1132.2399999999998</v>
      </c>
      <c r="E143" s="118"/>
      <c r="F143" s="116">
        <v>445.5</v>
      </c>
      <c r="G143" s="117">
        <v>608.24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>
        <v>1004.76</v>
      </c>
      <c r="D144" s="117">
        <v>950.91999999999973</v>
      </c>
      <c r="E144" s="118"/>
      <c r="F144" s="116">
        <v>594</v>
      </c>
      <c r="G144" s="117">
        <v>971.5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>
        <v>1030.3499999999999</v>
      </c>
      <c r="D145" s="117">
        <v>1179.72</v>
      </c>
      <c r="E145" s="118"/>
      <c r="F145" s="116">
        <v>118.8</v>
      </c>
      <c r="G145" s="117">
        <v>306.56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>
        <v>781.02</v>
      </c>
      <c r="D146" s="117">
        <v>1080.6799999999998</v>
      </c>
      <c r="E146" s="118"/>
      <c r="F146" s="116">
        <v>0</v>
      </c>
      <c r="G146" s="117">
        <v>0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>
        <v>289.79000000000002</v>
      </c>
      <c r="D147" s="117">
        <v>0</v>
      </c>
      <c r="E147" s="118"/>
      <c r="F147" s="116">
        <v>0</v>
      </c>
      <c r="G147" s="117">
        <v>0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>
        <v>541.59</v>
      </c>
      <c r="D148" s="117">
        <v>799.39999999999986</v>
      </c>
      <c r="E148" s="118"/>
      <c r="F148" s="116">
        <v>99</v>
      </c>
      <c r="G148" s="117">
        <v>0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>
        <v>624.98</v>
      </c>
      <c r="D149" s="117">
        <v>0</v>
      </c>
      <c r="E149" s="118"/>
      <c r="F149" s="116">
        <v>681.12</v>
      </c>
      <c r="G149" s="117">
        <v>0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>
        <v>120.54</v>
      </c>
      <c r="D150" s="117">
        <v>0</v>
      </c>
      <c r="E150" s="118"/>
      <c r="F150" s="116">
        <v>396</v>
      </c>
      <c r="G150" s="117">
        <v>0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>
        <v>329.41</v>
      </c>
      <c r="D151" s="117">
        <v>0</v>
      </c>
      <c r="E151" s="118"/>
      <c r="F151" s="116">
        <v>609.84</v>
      </c>
      <c r="G151" s="117">
        <v>145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>
        <v>463.99</v>
      </c>
      <c r="D152" s="117">
        <v>0</v>
      </c>
      <c r="E152" s="118"/>
      <c r="F152" s="116">
        <v>495</v>
      </c>
      <c r="G152" s="117">
        <v>0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>
        <v>442.52</v>
      </c>
      <c r="D153" s="117">
        <v>727.09999999999991</v>
      </c>
      <c r="E153" s="118"/>
      <c r="F153" s="116">
        <v>0</v>
      </c>
      <c r="G153" s="117">
        <v>290.03999999999996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>
        <v>0</v>
      </c>
      <c r="D154" s="117">
        <v>0</v>
      </c>
      <c r="E154" s="118"/>
      <c r="F154" s="116">
        <v>0</v>
      </c>
      <c r="G154" s="117">
        <v>0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>
        <v>962.65</v>
      </c>
      <c r="D155" s="117">
        <v>1218.08</v>
      </c>
      <c r="E155" s="118"/>
      <c r="F155" s="116">
        <v>375</v>
      </c>
      <c r="G155" s="117">
        <v>413.91999999999996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>
        <v>820.65</v>
      </c>
      <c r="D156" s="117">
        <v>1563.0200000000002</v>
      </c>
      <c r="E156" s="118"/>
      <c r="F156" s="116">
        <v>611.25</v>
      </c>
      <c r="G156" s="117">
        <v>536.22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>
        <v>855.32</v>
      </c>
      <c r="D157" s="117">
        <v>746.96</v>
      </c>
      <c r="E157" s="118"/>
      <c r="F157" s="116">
        <v>602.25</v>
      </c>
      <c r="G157" s="117">
        <v>441.48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>
        <v>887.52</v>
      </c>
      <c r="D158" s="117">
        <v>790.04000000000008</v>
      </c>
      <c r="E158" s="118"/>
      <c r="F158" s="116">
        <v>438.57</v>
      </c>
      <c r="G158" s="117">
        <v>449.43999999999994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>
        <v>1063.3699999999999</v>
      </c>
      <c r="D159" s="117">
        <v>842.11999999999989</v>
      </c>
      <c r="E159" s="118"/>
      <c r="F159" s="116">
        <v>412.5</v>
      </c>
      <c r="G159" s="117">
        <v>588.06000000000006</v>
      </c>
      <c r="H159" s="118"/>
      <c r="I159" s="116">
        <v>0</v>
      </c>
      <c r="J159" s="117">
        <v>0</v>
      </c>
      <c r="K159" s="118"/>
      <c r="L159" s="128">
        <v>0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>
        <v>589.48</v>
      </c>
      <c r="D160" s="117">
        <v>0</v>
      </c>
      <c r="E160" s="118"/>
      <c r="F160" s="116">
        <v>300</v>
      </c>
      <c r="G160" s="117">
        <v>0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>
        <v>0</v>
      </c>
      <c r="D161" s="117">
        <v>0</v>
      </c>
      <c r="E161" s="118"/>
      <c r="F161" s="116">
        <v>0</v>
      </c>
      <c r="G161" s="117">
        <v>0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>
        <v>758.98</v>
      </c>
      <c r="D162" s="117">
        <v>1468.5199999999998</v>
      </c>
      <c r="E162" s="118"/>
      <c r="F162" s="116">
        <v>870.38</v>
      </c>
      <c r="G162" s="117">
        <v>599.88000000000011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>
        <v>537.07000000000005</v>
      </c>
      <c r="D163" s="117">
        <v>905.11999999999989</v>
      </c>
      <c r="E163" s="118"/>
      <c r="F163" s="116">
        <v>618.75</v>
      </c>
      <c r="G163" s="117">
        <v>371.18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>
        <v>631.62</v>
      </c>
      <c r="D164" s="117">
        <v>975.44</v>
      </c>
      <c r="E164" s="118"/>
      <c r="F164" s="116">
        <v>555.75</v>
      </c>
      <c r="G164" s="117">
        <v>519.78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>
        <v>936.4</v>
      </c>
      <c r="D165" s="117">
        <v>496.87999999999994</v>
      </c>
      <c r="E165" s="118"/>
      <c r="F165" s="116">
        <v>472.5</v>
      </c>
      <c r="G165" s="117">
        <v>601.48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>
        <v>959.79</v>
      </c>
      <c r="D166" s="117">
        <v>508.50000000000006</v>
      </c>
      <c r="E166" s="118"/>
      <c r="F166" s="116">
        <v>468.19</v>
      </c>
      <c r="G166" s="117">
        <v>678.96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>
        <v>562.66</v>
      </c>
      <c r="D167" s="117">
        <v>898.13999999999987</v>
      </c>
      <c r="E167" s="118"/>
      <c r="F167" s="116">
        <v>0</v>
      </c>
      <c r="G167" s="117">
        <v>575.26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>
        <v>447.54</v>
      </c>
      <c r="D168" s="117">
        <v>0</v>
      </c>
      <c r="E168" s="118"/>
      <c r="F168" s="116">
        <v>0</v>
      </c>
      <c r="G168" s="117">
        <v>0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>
        <v>1020.63</v>
      </c>
      <c r="D169" s="117">
        <v>947.59999999999991</v>
      </c>
      <c r="E169" s="118"/>
      <c r="F169" s="116">
        <v>300</v>
      </c>
      <c r="G169" s="117">
        <v>555.70000000000005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>
        <v>928.06</v>
      </c>
      <c r="D170" s="117">
        <v>1572.6400000000003</v>
      </c>
      <c r="E170" s="118"/>
      <c r="F170" s="116">
        <v>412.5</v>
      </c>
      <c r="G170" s="117">
        <v>78.8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>
        <v>494</v>
      </c>
      <c r="D171" s="117">
        <v>1194.76</v>
      </c>
      <c r="E171" s="118"/>
      <c r="F171" s="116">
        <v>412.5</v>
      </c>
      <c r="G171" s="117">
        <v>710.18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>
        <v>818.37</v>
      </c>
      <c r="D172" s="117">
        <v>557.07999999999993</v>
      </c>
      <c r="E172" s="118"/>
      <c r="F172" s="116">
        <v>412.5</v>
      </c>
      <c r="G172" s="117">
        <v>1261.82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>
        <v>594.33000000000004</v>
      </c>
      <c r="D173" s="117">
        <v>666.58</v>
      </c>
      <c r="E173" s="118"/>
      <c r="F173" s="116">
        <v>911.25</v>
      </c>
      <c r="G173" s="117">
        <v>1743.9799999999996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>
        <v>150.13999999999999</v>
      </c>
      <c r="D174" s="117">
        <v>119.88</v>
      </c>
      <c r="E174" s="118"/>
      <c r="F174" s="116">
        <v>810</v>
      </c>
      <c r="G174" s="117">
        <v>1369.0600000000004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>
        <v>0</v>
      </c>
      <c r="D175" s="117">
        <v>0</v>
      </c>
      <c r="E175" s="118"/>
      <c r="F175" s="116">
        <v>969</v>
      </c>
      <c r="G175" s="117">
        <v>66.28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>
        <v>940.51</v>
      </c>
      <c r="D176" s="117">
        <v>556.54000000000008</v>
      </c>
      <c r="E176" s="118"/>
      <c r="F176" s="116">
        <v>1390.13</v>
      </c>
      <c r="G176" s="117">
        <v>1765.28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>
        <v>1025.98</v>
      </c>
      <c r="D177" s="117">
        <v>933.72</v>
      </c>
      <c r="E177" s="118"/>
      <c r="F177" s="116">
        <v>2227.21</v>
      </c>
      <c r="G177" s="117">
        <v>2511.2800000000011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>
        <v>1057.2</v>
      </c>
      <c r="D178" s="117">
        <v>1082.7199999999998</v>
      </c>
      <c r="E178" s="118"/>
      <c r="F178" s="116">
        <v>1947</v>
      </c>
      <c r="G178" s="117">
        <v>2180.6200000000003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>
        <v>1023.31</v>
      </c>
      <c r="D179" s="117">
        <v>1139.8799999999999</v>
      </c>
      <c r="E179" s="118"/>
      <c r="F179" s="116">
        <v>1945.2</v>
      </c>
      <c r="G179" s="117">
        <v>2248.96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>
        <v>1012.28</v>
      </c>
      <c r="D180" s="117">
        <v>591.87999999999988</v>
      </c>
      <c r="E180" s="118"/>
      <c r="F180" s="116">
        <v>1554.75</v>
      </c>
      <c r="G180" s="117">
        <v>1257.56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>
        <v>650.35</v>
      </c>
      <c r="D181" s="117">
        <v>864.99999999999989</v>
      </c>
      <c r="E181" s="118"/>
      <c r="F181" s="116">
        <v>0</v>
      </c>
      <c r="G181" s="117">
        <v>505.50000000000006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>
        <v>650.35</v>
      </c>
      <c r="D182" s="117">
        <v>0</v>
      </c>
      <c r="E182" s="118"/>
      <c r="F182" s="116">
        <v>1588.5</v>
      </c>
      <c r="G182" s="117">
        <v>0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>
        <v>1053.83</v>
      </c>
      <c r="D183" s="117">
        <v>288.12</v>
      </c>
      <c r="E183" s="118"/>
      <c r="F183" s="116">
        <v>1261</v>
      </c>
      <c r="G183" s="117">
        <v>882.62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>
        <v>1388.66</v>
      </c>
      <c r="D184" s="117">
        <v>753.4799999999999</v>
      </c>
      <c r="E184" s="118"/>
      <c r="F184" s="116">
        <v>1956.5</v>
      </c>
      <c r="G184" s="117">
        <v>2659.2200000000007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>
        <v>663.85</v>
      </c>
      <c r="D185" s="117">
        <v>1479.9</v>
      </c>
      <c r="E185" s="119"/>
      <c r="F185" s="116">
        <v>1969.5</v>
      </c>
      <c r="G185" s="117">
        <v>2491.3000000000006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>
        <v>467.53</v>
      </c>
      <c r="D186" s="117">
        <v>1400.62</v>
      </c>
      <c r="E186" s="119"/>
      <c r="F186" s="116">
        <v>1840</v>
      </c>
      <c r="G186" s="117">
        <v>1815.38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>
        <v>1043.82</v>
      </c>
      <c r="D187" s="117">
        <v>642.34</v>
      </c>
      <c r="E187" s="120"/>
      <c r="F187" s="116">
        <v>1335</v>
      </c>
      <c r="G187" s="117">
        <v>1511.8199999999995</v>
      </c>
      <c r="H187" s="120"/>
      <c r="I187" s="116">
        <v>0</v>
      </c>
      <c r="J187" s="117">
        <v>0</v>
      </c>
      <c r="K187" s="118"/>
      <c r="L187" s="128">
        <v>284.2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>
        <v>581.97</v>
      </c>
      <c r="D188" s="117">
        <v>1015.2200000000001</v>
      </c>
      <c r="E188" s="120"/>
      <c r="F188" s="116">
        <v>688.5</v>
      </c>
      <c r="G188" s="117">
        <v>1341.2400000000002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>
        <v>0</v>
      </c>
      <c r="D189" s="117">
        <v>0</v>
      </c>
      <c r="E189" s="120"/>
      <c r="F189" s="116">
        <v>0</v>
      </c>
      <c r="G189" s="117">
        <v>0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>
        <v>961.95</v>
      </c>
      <c r="D190" s="117">
        <v>724.4</v>
      </c>
      <c r="E190" s="120"/>
      <c r="F190" s="116">
        <v>2070</v>
      </c>
      <c r="G190" s="117">
        <v>1663.6599999999999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>
        <v>819.17</v>
      </c>
      <c r="D191" s="117">
        <v>578.16</v>
      </c>
      <c r="E191" s="120"/>
      <c r="F191" s="116">
        <v>1870</v>
      </c>
      <c r="G191" s="117">
        <v>1485.5999999999997</v>
      </c>
      <c r="H191" s="120"/>
      <c r="I191" s="116">
        <v>0</v>
      </c>
      <c r="J191" s="117">
        <v>0</v>
      </c>
      <c r="K191" s="118"/>
      <c r="L191" s="128">
        <v>5744.9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>
        <v>804.45</v>
      </c>
      <c r="D192" s="117">
        <v>924.6</v>
      </c>
      <c r="E192" s="120"/>
      <c r="F192" s="116">
        <v>2319.2469999999998</v>
      </c>
      <c r="G192" s="117">
        <v>2119.02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>
        <v>966.37</v>
      </c>
      <c r="D193" s="117">
        <v>926.1</v>
      </c>
      <c r="E193" s="120"/>
      <c r="F193" s="116">
        <v>1987.12</v>
      </c>
      <c r="G193" s="117">
        <v>2080.16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>
        <v>705.64</v>
      </c>
      <c r="D194" s="117">
        <v>683.52</v>
      </c>
      <c r="E194" s="120"/>
      <c r="F194" s="116">
        <v>1902.18</v>
      </c>
      <c r="G194" s="117">
        <v>1774.6399999999996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>
        <v>797.43</v>
      </c>
      <c r="D195" s="117">
        <v>792.66</v>
      </c>
      <c r="E195" s="120"/>
      <c r="F195" s="116">
        <v>271.39999999999998</v>
      </c>
      <c r="G195" s="117">
        <v>997.39999999999986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>
        <v>0</v>
      </c>
      <c r="D196" s="117">
        <v>0</v>
      </c>
      <c r="E196" s="120"/>
      <c r="F196" s="116">
        <v>0</v>
      </c>
      <c r="G196" s="117">
        <v>0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>
        <v>0</v>
      </c>
      <c r="D197" s="117">
        <v>261.66000000000003</v>
      </c>
      <c r="E197" s="120"/>
      <c r="F197" s="116">
        <v>2478</v>
      </c>
      <c r="G197" s="117">
        <v>1813.3399999999997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>
        <v>441.6</v>
      </c>
      <c r="D198" s="117">
        <v>39.299999999999997</v>
      </c>
      <c r="E198" s="119"/>
      <c r="F198" s="116">
        <v>2208</v>
      </c>
      <c r="G198" s="117">
        <v>2036.8200000000002</v>
      </c>
      <c r="H198" s="119"/>
      <c r="I198" s="116">
        <v>0</v>
      </c>
      <c r="J198" s="117">
        <v>0</v>
      </c>
      <c r="K198" s="11"/>
      <c r="L198" s="128">
        <v>1827</v>
      </c>
      <c r="M198" s="118"/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>
        <v>473.98</v>
      </c>
      <c r="D199" s="117">
        <v>222.86</v>
      </c>
      <c r="E199" s="119"/>
      <c r="F199" s="116">
        <v>1471.5</v>
      </c>
      <c r="G199" s="117">
        <v>1441.8799999999999</v>
      </c>
      <c r="H199" s="119"/>
      <c r="I199" s="116">
        <v>0</v>
      </c>
      <c r="J199" s="117">
        <v>0</v>
      </c>
      <c r="K199" s="10"/>
      <c r="L199" s="128">
        <v>4872</v>
      </c>
      <c r="M199" s="118"/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>
        <v>801.5</v>
      </c>
      <c r="D200" s="117">
        <v>195.11999999999998</v>
      </c>
      <c r="E200" s="119"/>
      <c r="F200" s="116">
        <v>1912.95</v>
      </c>
      <c r="G200" s="117">
        <v>1601.08</v>
      </c>
      <c r="H200" s="119"/>
      <c r="I200" s="116">
        <v>0</v>
      </c>
      <c r="J200" s="117">
        <v>0</v>
      </c>
      <c r="K200" s="10"/>
      <c r="L200" s="128">
        <v>6364.95</v>
      </c>
      <c r="M200" s="118"/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>
        <v>651.36</v>
      </c>
      <c r="D201" s="117">
        <v>427.96000000000004</v>
      </c>
      <c r="E201" s="119"/>
      <c r="F201" s="116">
        <v>1941.06</v>
      </c>
      <c r="G201" s="117">
        <v>1523.38</v>
      </c>
      <c r="H201" s="119"/>
      <c r="I201" s="116">
        <v>0</v>
      </c>
      <c r="J201" s="117">
        <v>0</v>
      </c>
      <c r="K201" s="10"/>
      <c r="L201" s="128">
        <v>5755.05</v>
      </c>
      <c r="M201" s="118"/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>
        <v>549.79</v>
      </c>
      <c r="D202" s="117">
        <v>304.68</v>
      </c>
      <c r="E202" s="119"/>
      <c r="F202" s="116">
        <v>1260.5899999999999</v>
      </c>
      <c r="G202" s="117">
        <v>903.92</v>
      </c>
      <c r="H202" s="119"/>
      <c r="I202" s="116">
        <v>0</v>
      </c>
      <c r="J202" s="117">
        <v>0</v>
      </c>
      <c r="K202" s="10"/>
      <c r="L202" s="128">
        <v>1735.6499999999999</v>
      </c>
      <c r="M202" s="118"/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>
        <v>0</v>
      </c>
      <c r="D203" s="117">
        <v>0</v>
      </c>
      <c r="E203" s="119"/>
      <c r="F203" s="116">
        <v>0</v>
      </c>
      <c r="G203" s="117">
        <v>0</v>
      </c>
      <c r="H203" s="119"/>
      <c r="I203" s="116">
        <v>0</v>
      </c>
      <c r="J203" s="117">
        <v>0</v>
      </c>
      <c r="K203" s="10"/>
      <c r="L203" s="128">
        <v>0</v>
      </c>
      <c r="M203" s="118"/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>
        <v>482.08</v>
      </c>
      <c r="D204" s="117">
        <v>448.38</v>
      </c>
      <c r="E204" s="119"/>
      <c r="F204" s="116">
        <v>1754.4</v>
      </c>
      <c r="G204" s="117">
        <v>1782.5999999999995</v>
      </c>
      <c r="H204" s="119"/>
      <c r="I204" s="116">
        <v>0</v>
      </c>
      <c r="J204" s="117">
        <v>0</v>
      </c>
      <c r="K204" s="10"/>
      <c r="L204" s="128">
        <v>2121.35</v>
      </c>
      <c r="M204" s="118"/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2082.0758518518514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2082.0758518518514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2082.0758518518514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2082.0758518518514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2082.0758518518514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2082.0758518518514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2082.0758518518514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2082.0758518518514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2082.0758518518514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2082.0758518518514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2989.2377692307691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2989.2377692307691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2989.2377692307691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2989.2377692307691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2989.2377692307691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2989.2377692307691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2989.2377692307691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2989.2377692307691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2989.2377692307691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2989.2377692307691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2989.2377692307691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2989.2377692307691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2989.2377692307691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2989.2377692307691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2989.2377692307691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2989.2377692307691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2989.2377692307691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2989.2377692307691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2989.2377692307691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2989.2377692307691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2989.2377692307691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2989.2377692307691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2989.2377692307691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2989.2377692307691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2989.2377692307691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2989.2377692307691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3003.3195384615387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3003.3195384615387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3003.3195384615387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3003.3195384615387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3003.3195384615387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3003.3195384615387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3003.3195384615387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3003.3195384615387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3003.3195384615387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3003.3195384615387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3003.3195384615387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3003.3195384615387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3003.3195384615387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3003.3195384615387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3003.3195384615387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3003.3195384615387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3003.3195384615387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3003.3195384615387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3003.3195384615387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3003.3195384615387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3003.3195384615387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3003.3195384615387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3003.3195384615387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3003.3195384615387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3003.3195384615387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3003.3195384615387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5071.6363703703691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5071.6363703703691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5071.6363703703691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5071.6363703703691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5071.6363703703691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5071.6363703703691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5071.6363703703691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5071.6363703703691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5071.6363703703691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5071.6363703703691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5071.6363703703691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5071.6363703703691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5071.6363703703691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5071.6363703703691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5071.6363703703691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5071.6363703703691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5071.6363703703691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5071.6363703703691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5071.6363703703691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5071.6363703703691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5071.6363703703691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5071.6363703703691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5071.6363703703691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5071.6363703703691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5071.6363703703691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5071.6363703703691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5071.6363703703691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2080.0071200000002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2080.0071200000002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2080.0071200000002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2080.0071200000002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2080.0071200000002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2080.0071200000002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2080.0071200000002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2080.0071200000002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2080.0071200000002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2080.0071200000002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2080.0071200000002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2080.0071200000002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2080.0071200000002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2080.0071200000002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2080.0071200000002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2080.0071200000002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2080.0071200000002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2080.0071200000002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2080.0071200000002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2080.0071200000002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2080.0071200000002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2080.0071200000002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2080.0071200000002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2080.0071200000002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2080.0071200000002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1270.149294117648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1270.149294117648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1270.149294117648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1270.149294117648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1270.149294117648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1270.149294117648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1270.149294117648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1270.149294117648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1270.149294117648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1270.149294117648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1270.149294117648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1270.149294117648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1270.149294117648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1270.149294117648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1270.149294117648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1270.149294117648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1270.149294117648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1270.149294117648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1270.149294117648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1270.149294117648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1270.149294117648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1270.149294117648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1270.149294117648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1270.149294117648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1270.149294117648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1270.149294117648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1270.149294117648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2258.4720000000002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2258.4720000000002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2258.4720000000002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2258.4720000000002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2258.4720000000002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2258.4720000000002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2258.4720000000002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2258.4720000000002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2258.4720000000002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2258.4720000000002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2258.4720000000002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2258.4720000000002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2258.4720000000002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2258.4720000000002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2258.4720000000002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2258.4720000000002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2258.4720000000002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2258.4720000000002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2258.4720000000002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2258.4720000000002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2258.4720000000002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2258.4720000000002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2258.4720000000002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2258.4720000000002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2258.4720000000002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2258.4720000000002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2539.2288333333327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2539.2288333333327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2539.2288333333327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2539.2288333333327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2539.2288333333327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2539.2288333333327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2539.2288333333327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2539.2288333333327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2539.2288333333327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2539.2288333333327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2539.2288333333327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2539.2288333333327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2539.2288333333327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2539.2288333333327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2539.2288333333327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2539.2288333333327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2539.2288333333327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2539.2288333333327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2539.2288333333327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2539.2288333333327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2539.2288333333327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2539.2288333333327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2539.2288333333327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2539.2288333333327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2046.1881111111097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2046.1881111111097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2046.1881111111097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2046.1881111111097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2046.1881111111097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2046.1881111111097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2046.1881111111097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2046.1881111111097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2046.1881111111097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2046.1881111111097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2046.1881111111097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2046.1881111111097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2046.1881111111097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2046.1881111111097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2046.1881111111097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2046.1881111111097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2046.1881111111097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2046.1881111111097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2046.1881111111097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2046.1881111111097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2046.1881111111097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2046.1881111111097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2046.1881111111097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2046.1881111111097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2046.1881111111097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2046.1881111111097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2046.1881111111097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2414.8790769230782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2414.8790769230782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2414.8790769230782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2414.8790769230782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2414.8790769230782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2414.8790769230782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2414.8790769230782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2414.8790769230782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2414.8790769230782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2414.8790769230782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2414.8790769230782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2414.8790769230782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2414.8790769230782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2414.8790769230782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2414.8790769230782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2414.8790769230782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2414.8790769230782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2414.8790769230782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2414.8790769230782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2414.8790769230782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2414.8790769230782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2414.8790769230782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2414.8790769230782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2414.8790769230782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2414.8790769230782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2414.8790769230782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2843.7635769230742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2843.7635769230742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2843.7635769230742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2843.7635769230742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2843.7635769230742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2843.7635769230742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2843.7635769230742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2843.7635769230742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2843.7635769230742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2843.7635769230742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2843.7635769230742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2843.7635769230742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2843.7635769230742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2843.7635769230742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2843.7635769230742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2843.7635769230742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2843.7635769230742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2843.7635769230742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2843.7635769230742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2843.7635769230742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2843.7635769230742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2843.7635769230742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2843.7635769230742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2843.7635769230742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2843.7635769230742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2843.7635769230742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1594.4101923076923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1594.4101923076923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1594.4101923076923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1594.4101923076923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1594.4101923076923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1594.4101923076923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1594.4101923076923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1594.4101923076923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1594.4101923076923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1594.4101923076923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1594.4101923076923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1594.4101923076923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1594.4101923076923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1594.4101923076923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1594.4101923076923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1594.4101923076923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1594.4101923076923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1594.4101923076923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1594.4101923076923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1594.4101923076923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1594.4101923076923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1594.4101923076923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1594.4101923076923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1594.4101923076923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1594.4101923076923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1594.4101923076923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464.56888888888886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464.56888888888886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464.56888888888886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464.56888888888886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464.56888888888886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464.56888888888886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464.56888888888886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464.56888888888886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464.56888888888886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464.56888888888886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464.56888888888886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464.56888888888886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464.56888888888886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464.56888888888886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464.56888888888886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464.56888888888886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464.56888888888886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464.56888888888886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464.56888888888886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464.56888888888886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464.56888888888886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464.56888888888886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464.56888888888886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464.56888888888886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464.56888888888886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464.56888888888886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464.56888888888886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3054.1186923076934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3054.1186923076934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3054.1186923076934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3054.1186923076934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3054.1186923076934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3054.1186923076934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3054.1186923076934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3054.1186923076934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3054.1186923076934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3054.1186923076934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3054.1186923076934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3054.1186923076934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3054.1186923076934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3054.1186923076934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3054.1186923076934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3054.1186923076934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3054.1186923076934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3054.1186923076934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3054.1186923076934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3054.1186923076934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3054.1186923076934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3054.1186923076934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3054.1186923076934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3054.1186923076934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3054.1186923076934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3054.1186923076934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3376.7964999999986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3376.7964999999986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3376.7964999999986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3376.7964999999986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3376.7964999999986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3376.7964999999986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3376.7964999999986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3376.7964999999986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3376.7964999999986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3376.7964999999986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3376.7964999999986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3376.7964999999986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3376.7964999999986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3376.7964999999986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3376.7964999999986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3376.7964999999986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3376.7964999999986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3376.7964999999986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3376.7964999999986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3376.7964999999986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3376.7964999999986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3376.7964999999986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3376.7964999999986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3376.7964999999986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3376.7964999999986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3376.7964999999986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ht="15" thickBot="1" x14ac:dyDescent="0.4">
      <c r="A733" s="139">
        <f t="shared" si="24"/>
        <v>46752</v>
      </c>
      <c r="B733" s="140" t="str">
        <f t="shared" si="25"/>
        <v>dez/27</v>
      </c>
      <c r="C733" s="141"/>
      <c r="D733" s="142"/>
      <c r="E733" s="140">
        <v>0</v>
      </c>
      <c r="F733" s="141"/>
      <c r="G733" s="142"/>
      <c r="H733" s="140">
        <v>0</v>
      </c>
      <c r="I733" s="141"/>
      <c r="J733" s="142"/>
      <c r="K733" s="140">
        <v>0</v>
      </c>
      <c r="L733" s="143"/>
      <c r="M733" s="144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ht="15" thickTop="1" x14ac:dyDescent="0.35">
      <c r="A734" s="138"/>
    </row>
    <row r="735" spans="1:21" x14ac:dyDescent="0.35">
      <c r="A735" s="138"/>
    </row>
    <row r="736" spans="1:21" x14ac:dyDescent="0.35">
      <c r="A736" s="138"/>
    </row>
    <row r="737" spans="1:1" x14ac:dyDescent="0.35">
      <c r="A737" s="138"/>
    </row>
    <row r="738" spans="1:1" x14ac:dyDescent="0.35">
      <c r="A738" s="138"/>
    </row>
    <row r="739" spans="1:1" x14ac:dyDescent="0.35">
      <c r="A739" s="138"/>
    </row>
    <row r="740" spans="1:1" x14ac:dyDescent="0.35">
      <c r="A740" s="138"/>
    </row>
    <row r="741" spans="1:1" x14ac:dyDescent="0.35">
      <c r="A741" s="138"/>
    </row>
    <row r="742" spans="1:1" x14ac:dyDescent="0.35">
      <c r="A742" s="138"/>
    </row>
    <row r="743" spans="1:1" x14ac:dyDescent="0.35">
      <c r="A743" s="138"/>
    </row>
    <row r="744" spans="1:1" x14ac:dyDescent="0.35">
      <c r="A744" s="138"/>
    </row>
    <row r="745" spans="1:1" x14ac:dyDescent="0.35">
      <c r="A745" s="138"/>
    </row>
    <row r="746" spans="1:1" x14ac:dyDescent="0.35">
      <c r="A746" s="138"/>
    </row>
    <row r="747" spans="1:1" x14ac:dyDescent="0.35">
      <c r="A747" s="138"/>
    </row>
    <row r="748" spans="1:1" x14ac:dyDescent="0.35">
      <c r="A748" s="138"/>
    </row>
    <row r="749" spans="1:1" x14ac:dyDescent="0.35">
      <c r="A749" s="138"/>
    </row>
    <row r="750" spans="1:1" x14ac:dyDescent="0.35">
      <c r="A750" s="138"/>
    </row>
    <row r="751" spans="1:1" x14ac:dyDescent="0.35">
      <c r="A751" s="138"/>
    </row>
    <row r="752" spans="1:1" x14ac:dyDescent="0.35">
      <c r="A752" s="138"/>
    </row>
    <row r="753" spans="1:1" x14ac:dyDescent="0.35">
      <c r="A753" s="138"/>
    </row>
    <row r="754" spans="1:1" x14ac:dyDescent="0.35">
      <c r="A754" s="138"/>
    </row>
    <row r="755" spans="1:1" x14ac:dyDescent="0.35">
      <c r="A755" s="138"/>
    </row>
    <row r="756" spans="1:1" x14ac:dyDescent="0.35">
      <c r="A756" s="138"/>
    </row>
    <row r="757" spans="1:1" x14ac:dyDescent="0.35">
      <c r="A757" s="138"/>
    </row>
    <row r="758" spans="1:1" x14ac:dyDescent="0.35">
      <c r="A758" s="138"/>
    </row>
    <row r="759" spans="1:1" x14ac:dyDescent="0.35">
      <c r="A759" s="138"/>
    </row>
    <row r="760" spans="1:1" x14ac:dyDescent="0.35">
      <c r="A760" s="138"/>
    </row>
    <row r="761" spans="1:1" x14ac:dyDescent="0.35">
      <c r="A761" s="138"/>
    </row>
    <row r="762" spans="1:1" x14ac:dyDescent="0.35">
      <c r="A762" s="138"/>
    </row>
    <row r="763" spans="1:1" x14ac:dyDescent="0.35">
      <c r="A763" s="138"/>
    </row>
    <row r="764" spans="1:1" x14ac:dyDescent="0.35">
      <c r="A764" s="138"/>
    </row>
    <row r="765" spans="1:1" x14ac:dyDescent="0.35">
      <c r="A765" s="138"/>
    </row>
    <row r="766" spans="1:1" x14ac:dyDescent="0.35">
      <c r="A766" s="138"/>
    </row>
    <row r="767" spans="1:1" x14ac:dyDescent="0.35">
      <c r="A767" s="138"/>
    </row>
    <row r="768" spans="1:1" x14ac:dyDescent="0.35">
      <c r="A768" s="138"/>
    </row>
    <row r="769" spans="1:1" x14ac:dyDescent="0.35">
      <c r="A769" s="138"/>
    </row>
    <row r="770" spans="1:1" x14ac:dyDescent="0.35">
      <c r="A770" s="138"/>
    </row>
    <row r="771" spans="1:1" x14ac:dyDescent="0.35">
      <c r="A771" s="138"/>
    </row>
    <row r="772" spans="1:1" x14ac:dyDescent="0.35">
      <c r="A772" s="138"/>
    </row>
    <row r="773" spans="1:1" x14ac:dyDescent="0.35">
      <c r="A773" s="138"/>
    </row>
    <row r="774" spans="1:1" x14ac:dyDescent="0.35">
      <c r="A774" s="138"/>
    </row>
    <row r="775" spans="1:1" x14ac:dyDescent="0.35">
      <c r="A775" s="138"/>
    </row>
    <row r="776" spans="1:1" x14ac:dyDescent="0.35">
      <c r="A776" s="138"/>
    </row>
    <row r="777" spans="1:1" x14ac:dyDescent="0.35">
      <c r="A777" s="138"/>
    </row>
    <row r="778" spans="1:1" x14ac:dyDescent="0.35">
      <c r="A778" s="138"/>
    </row>
    <row r="779" spans="1:1" x14ac:dyDescent="0.35">
      <c r="A779" s="138"/>
    </row>
    <row r="780" spans="1:1" x14ac:dyDescent="0.35">
      <c r="A780" s="138"/>
    </row>
    <row r="781" spans="1:1" x14ac:dyDescent="0.35">
      <c r="A781" s="138"/>
    </row>
    <row r="782" spans="1:1" x14ac:dyDescent="0.35">
      <c r="A782" s="138"/>
    </row>
    <row r="783" spans="1:1" x14ac:dyDescent="0.35">
      <c r="A783" s="138"/>
    </row>
    <row r="784" spans="1:1" x14ac:dyDescent="0.35">
      <c r="A784" s="138"/>
    </row>
    <row r="785" spans="1:1" x14ac:dyDescent="0.35">
      <c r="A785" s="138"/>
    </row>
    <row r="786" spans="1:1" x14ac:dyDescent="0.35">
      <c r="A786" s="138"/>
    </row>
    <row r="787" spans="1:1" x14ac:dyDescent="0.35">
      <c r="A787" s="138"/>
    </row>
    <row r="788" spans="1:1" x14ac:dyDescent="0.35">
      <c r="A788" s="138"/>
    </row>
  </sheetData>
  <mergeCells count="4">
    <mergeCell ref="L1:M1"/>
    <mergeCell ref="C1:E1"/>
    <mergeCell ref="F1:H1"/>
    <mergeCell ref="I1:K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1491-92E4-4225-BD5D-46CA88AF7984}">
  <dimension ref="A1:P15"/>
  <sheetViews>
    <sheetView workbookViewId="0">
      <selection activeCell="E14" sqref="E14"/>
    </sheetView>
  </sheetViews>
  <sheetFormatPr defaultRowHeight="14.5" x14ac:dyDescent="0.35"/>
  <cols>
    <col min="1" max="1" width="24.453125" customWidth="1"/>
    <col min="3" max="4" width="8.089843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90625" bestFit="1" customWidth="1"/>
  </cols>
  <sheetData>
    <row r="1" spans="1:16" x14ac:dyDescent="0.35">
      <c r="A1" s="145" t="s">
        <v>48</v>
      </c>
      <c r="B1" s="146" t="s">
        <v>218</v>
      </c>
      <c r="C1" s="146" t="s">
        <v>50</v>
      </c>
      <c r="D1" s="146" t="s">
        <v>219</v>
      </c>
      <c r="E1" s="146" t="s">
        <v>41</v>
      </c>
      <c r="F1" s="146" t="s">
        <v>42</v>
      </c>
      <c r="G1" s="146" t="s">
        <v>43</v>
      </c>
      <c r="H1" s="146" t="s">
        <v>44</v>
      </c>
      <c r="I1" s="146" t="s">
        <v>45</v>
      </c>
      <c r="J1" s="146" t="s">
        <v>46</v>
      </c>
      <c r="K1" s="146" t="s">
        <v>47</v>
      </c>
      <c r="L1" s="146" t="s">
        <v>220</v>
      </c>
      <c r="M1" s="146" t="s">
        <v>221</v>
      </c>
      <c r="N1" s="146" t="s">
        <v>222</v>
      </c>
    </row>
    <row r="2" spans="1:16" x14ac:dyDescent="0.35">
      <c r="A2" s="147" t="s">
        <v>223</v>
      </c>
      <c r="B2" s="148" t="s">
        <v>224</v>
      </c>
      <c r="C2" s="149">
        <v>965.57</v>
      </c>
      <c r="D2" s="149">
        <v>3095.56</v>
      </c>
      <c r="E2" s="149">
        <v>4304.07</v>
      </c>
      <c r="F2" s="149">
        <v>4331.22</v>
      </c>
      <c r="G2" s="149">
        <v>3487.24</v>
      </c>
      <c r="H2" s="149">
        <v>4599.99</v>
      </c>
      <c r="I2" s="149">
        <v>7716.24</v>
      </c>
      <c r="J2" s="149">
        <v>2066.23</v>
      </c>
      <c r="K2" s="149">
        <v>6521.77</v>
      </c>
      <c r="L2" s="149">
        <v>37087.89</v>
      </c>
      <c r="M2" s="149">
        <v>13557.49</v>
      </c>
      <c r="N2" s="149">
        <v>4455.3599999999997</v>
      </c>
    </row>
    <row r="3" spans="1:16" x14ac:dyDescent="0.35">
      <c r="A3" s="147" t="s">
        <v>32</v>
      </c>
      <c r="B3" s="148" t="s">
        <v>33</v>
      </c>
      <c r="C3" s="149">
        <v>13164</v>
      </c>
      <c r="D3" s="149">
        <v>42444</v>
      </c>
      <c r="E3" s="149">
        <v>59170</v>
      </c>
      <c r="F3" s="149">
        <v>59546</v>
      </c>
      <c r="G3" s="149">
        <v>47865</v>
      </c>
      <c r="H3" s="149">
        <v>63266</v>
      </c>
      <c r="I3" s="149">
        <v>105516</v>
      </c>
      <c r="J3" s="149">
        <v>28198</v>
      </c>
      <c r="K3" s="149">
        <v>89864</v>
      </c>
      <c r="L3" s="149">
        <v>509033</v>
      </c>
      <c r="M3" s="150">
        <v>200165</v>
      </c>
      <c r="N3" s="149">
        <v>104537</v>
      </c>
      <c r="O3" s="10"/>
      <c r="P3" s="154"/>
    </row>
    <row r="4" spans="1:16" x14ac:dyDescent="0.35">
      <c r="A4" s="147" t="s">
        <v>225</v>
      </c>
      <c r="B4" s="148" t="s">
        <v>33</v>
      </c>
      <c r="C4" s="149">
        <v>52656</v>
      </c>
      <c r="D4" s="149">
        <v>169776</v>
      </c>
      <c r="E4" s="149">
        <v>236680</v>
      </c>
      <c r="F4" s="149">
        <v>238184</v>
      </c>
      <c r="G4" s="149">
        <v>191460</v>
      </c>
      <c r="H4" s="149">
        <v>253064</v>
      </c>
      <c r="I4" s="149">
        <v>422064</v>
      </c>
      <c r="J4" s="149">
        <v>112792</v>
      </c>
      <c r="K4" s="149">
        <v>359456</v>
      </c>
      <c r="L4" s="149">
        <v>2036132</v>
      </c>
      <c r="M4" s="149">
        <v>951858</v>
      </c>
      <c r="N4" s="150">
        <v>927583</v>
      </c>
    </row>
    <row r="5" spans="1:16" x14ac:dyDescent="0.35">
      <c r="A5" s="147" t="s">
        <v>226</v>
      </c>
      <c r="B5" s="148" t="s">
        <v>33</v>
      </c>
      <c r="C5" s="149">
        <v>26328</v>
      </c>
      <c r="D5" s="149">
        <v>84888</v>
      </c>
      <c r="E5" s="149">
        <v>118340</v>
      </c>
      <c r="F5" s="149">
        <v>119092</v>
      </c>
      <c r="G5" s="149">
        <v>95730</v>
      </c>
      <c r="H5" s="149">
        <v>126532</v>
      </c>
      <c r="I5" s="149">
        <v>211032</v>
      </c>
      <c r="J5" s="149">
        <v>56396</v>
      </c>
      <c r="K5" s="149">
        <v>179728</v>
      </c>
      <c r="L5" s="149">
        <v>1018066</v>
      </c>
      <c r="M5" s="149">
        <v>309535</v>
      </c>
      <c r="N5" s="149">
        <v>209074</v>
      </c>
    </row>
    <row r="6" spans="1:16" x14ac:dyDescent="0.35">
      <c r="A6" s="147" t="s">
        <v>227</v>
      </c>
      <c r="B6" s="148" t="s">
        <v>33</v>
      </c>
      <c r="C6" s="149">
        <v>52656</v>
      </c>
      <c r="D6" s="149">
        <v>169776</v>
      </c>
      <c r="E6" s="149">
        <v>236680</v>
      </c>
      <c r="F6" s="149">
        <v>238184</v>
      </c>
      <c r="G6" s="149">
        <v>191460</v>
      </c>
      <c r="H6" s="149">
        <v>253064</v>
      </c>
      <c r="I6" s="149">
        <v>422064</v>
      </c>
      <c r="J6" s="149">
        <v>112792</v>
      </c>
      <c r="K6" s="149">
        <v>359456</v>
      </c>
      <c r="L6" s="149">
        <v>2036132</v>
      </c>
      <c r="M6" s="149">
        <v>622250</v>
      </c>
      <c r="N6" s="149">
        <v>418148</v>
      </c>
    </row>
    <row r="7" spans="1:16" x14ac:dyDescent="0.35">
      <c r="A7" s="147" t="s">
        <v>228</v>
      </c>
      <c r="B7" s="148" t="s">
        <v>33</v>
      </c>
      <c r="C7" s="149">
        <v>53388</v>
      </c>
      <c r="D7" s="149">
        <v>171240</v>
      </c>
      <c r="E7" s="149">
        <v>238144</v>
      </c>
      <c r="F7" s="149">
        <v>239648</v>
      </c>
      <c r="G7" s="149">
        <v>192924</v>
      </c>
      <c r="H7" s="149">
        <v>254528</v>
      </c>
      <c r="I7" s="149">
        <v>426384</v>
      </c>
      <c r="J7" s="149">
        <v>114256</v>
      </c>
      <c r="K7" s="149">
        <v>360920</v>
      </c>
      <c r="L7" s="149">
        <v>2051432</v>
      </c>
      <c r="M7" s="149">
        <v>690000</v>
      </c>
      <c r="N7" s="149">
        <v>418148</v>
      </c>
    </row>
    <row r="8" spans="1:16" x14ac:dyDescent="0.35">
      <c r="A8" s="147" t="s">
        <v>229</v>
      </c>
      <c r="B8" s="148" t="s">
        <v>33</v>
      </c>
      <c r="C8" s="149">
        <v>924</v>
      </c>
      <c r="D8" s="149">
        <v>82</v>
      </c>
      <c r="E8" s="149">
        <v>92</v>
      </c>
      <c r="F8" s="149">
        <v>92</v>
      </c>
      <c r="G8" s="149">
        <v>85</v>
      </c>
      <c r="H8" s="149">
        <v>38</v>
      </c>
      <c r="I8" s="149">
        <v>65</v>
      </c>
      <c r="J8" s="149">
        <v>17</v>
      </c>
      <c r="K8" s="149"/>
      <c r="L8" s="149">
        <v>1395</v>
      </c>
      <c r="M8" s="149">
        <v>1694</v>
      </c>
      <c r="N8" s="149">
        <v>638</v>
      </c>
    </row>
    <row r="9" spans="1:16" x14ac:dyDescent="0.35">
      <c r="A9" s="147" t="s">
        <v>230</v>
      </c>
      <c r="B9" s="148" t="s">
        <v>231</v>
      </c>
      <c r="C9" s="149">
        <v>1959</v>
      </c>
      <c r="D9" s="149">
        <v>487</v>
      </c>
      <c r="E9" s="149">
        <v>613</v>
      </c>
      <c r="F9" s="149">
        <v>616</v>
      </c>
      <c r="G9" s="149">
        <v>528</v>
      </c>
      <c r="H9" s="149">
        <v>643</v>
      </c>
      <c r="I9" s="149">
        <v>1419</v>
      </c>
      <c r="J9" s="149">
        <v>380</v>
      </c>
      <c r="K9" s="149">
        <v>168</v>
      </c>
      <c r="L9" s="149">
        <v>6813</v>
      </c>
      <c r="M9" s="149">
        <v>7151</v>
      </c>
      <c r="N9" s="149">
        <v>2552</v>
      </c>
    </row>
    <row r="10" spans="1:16" x14ac:dyDescent="0.35">
      <c r="A10" s="147" t="s">
        <v>232</v>
      </c>
      <c r="B10" s="148" t="s">
        <v>231</v>
      </c>
      <c r="C10" s="151">
        <v>1</v>
      </c>
      <c r="D10" s="151">
        <v>2</v>
      </c>
      <c r="E10" s="151">
        <v>2</v>
      </c>
      <c r="F10" s="151">
        <v>2</v>
      </c>
      <c r="G10" s="151">
        <v>2</v>
      </c>
      <c r="H10" s="151">
        <v>2</v>
      </c>
      <c r="I10" s="151">
        <v>4</v>
      </c>
      <c r="J10" s="151">
        <v>2</v>
      </c>
      <c r="K10" s="151">
        <v>2</v>
      </c>
      <c r="L10" s="149">
        <v>19</v>
      </c>
      <c r="M10" s="149">
        <v>13</v>
      </c>
      <c r="N10" s="149">
        <v>6</v>
      </c>
    </row>
    <row r="11" spans="1:16" x14ac:dyDescent="0.35">
      <c r="A11" s="147" t="s">
        <v>233</v>
      </c>
      <c r="B11" s="148" t="s">
        <v>231</v>
      </c>
      <c r="C11" s="151">
        <v>0</v>
      </c>
      <c r="D11" s="151">
        <v>0</v>
      </c>
      <c r="E11" s="151">
        <v>0</v>
      </c>
      <c r="F11" s="151">
        <v>0</v>
      </c>
      <c r="G11" s="151">
        <v>0</v>
      </c>
      <c r="H11" s="151">
        <v>0</v>
      </c>
      <c r="I11" s="151">
        <v>4</v>
      </c>
      <c r="J11" s="151">
        <v>0</v>
      </c>
      <c r="K11" s="151">
        <v>0</v>
      </c>
      <c r="L11" s="149">
        <v>4</v>
      </c>
      <c r="M11" s="149">
        <v>0</v>
      </c>
      <c r="N11" s="149">
        <v>0</v>
      </c>
    </row>
    <row r="12" spans="1:16" x14ac:dyDescent="0.35">
      <c r="A12" s="147" t="s">
        <v>234</v>
      </c>
      <c r="B12" s="148" t="s">
        <v>235</v>
      </c>
      <c r="C12" s="149">
        <v>1</v>
      </c>
      <c r="D12" s="149">
        <v>2</v>
      </c>
      <c r="E12" s="149">
        <v>2</v>
      </c>
      <c r="F12" s="149">
        <v>2</v>
      </c>
      <c r="G12" s="149">
        <v>2</v>
      </c>
      <c r="H12" s="149">
        <v>2</v>
      </c>
      <c r="I12" s="149">
        <v>4</v>
      </c>
      <c r="J12" s="149">
        <v>2</v>
      </c>
      <c r="K12" s="149">
        <v>2</v>
      </c>
      <c r="L12" s="149">
        <v>19</v>
      </c>
      <c r="M12" s="149">
        <v>5</v>
      </c>
      <c r="N12" s="149">
        <v>5</v>
      </c>
    </row>
    <row r="13" spans="1:16" x14ac:dyDescent="0.35">
      <c r="A13" s="147" t="s">
        <v>236</v>
      </c>
      <c r="B13" s="148" t="s">
        <v>235</v>
      </c>
      <c r="C13" s="151">
        <v>0</v>
      </c>
      <c r="D13" s="151">
        <v>0</v>
      </c>
      <c r="E13" s="151">
        <v>0</v>
      </c>
      <c r="F13" s="151">
        <v>0</v>
      </c>
      <c r="G13" s="151">
        <v>0</v>
      </c>
      <c r="H13" s="151">
        <v>0</v>
      </c>
      <c r="I13" s="151">
        <v>4</v>
      </c>
      <c r="J13" s="151">
        <v>0</v>
      </c>
      <c r="K13" s="151">
        <v>0</v>
      </c>
      <c r="L13" s="149">
        <v>4</v>
      </c>
      <c r="M13" s="149">
        <v>0</v>
      </c>
      <c r="N13" s="149">
        <v>0</v>
      </c>
    </row>
    <row r="14" spans="1:16" x14ac:dyDescent="0.35">
      <c r="A14" s="147" t="s">
        <v>237</v>
      </c>
      <c r="B14" s="148" t="s">
        <v>238</v>
      </c>
      <c r="C14" s="149">
        <v>155</v>
      </c>
      <c r="D14" s="149">
        <v>279</v>
      </c>
      <c r="E14" s="149">
        <v>384</v>
      </c>
      <c r="F14" s="149">
        <v>386</v>
      </c>
      <c r="G14" s="149">
        <v>313</v>
      </c>
      <c r="H14" s="149">
        <v>409</v>
      </c>
      <c r="I14" s="149">
        <v>712</v>
      </c>
      <c r="J14" s="149">
        <v>190</v>
      </c>
      <c r="K14" s="149">
        <v>575</v>
      </c>
      <c r="L14" s="149">
        <v>3403</v>
      </c>
      <c r="M14" s="149">
        <v>361</v>
      </c>
      <c r="N14" s="149">
        <v>359</v>
      </c>
    </row>
    <row r="15" spans="1:16" x14ac:dyDescent="0.35">
      <c r="A15" s="147" t="s">
        <v>239</v>
      </c>
      <c r="B15" s="148" t="s">
        <v>240</v>
      </c>
      <c r="C15" s="149">
        <v>18029.528704</v>
      </c>
      <c r="D15" s="149">
        <v>60526.263893999996</v>
      </c>
      <c r="E15" s="149">
        <v>83599.324625999972</v>
      </c>
      <c r="F15" s="149">
        <v>83466.22335999996</v>
      </c>
      <c r="G15" s="149">
        <v>67666.073100000009</v>
      </c>
      <c r="H15" s="149">
        <v>88569.56</v>
      </c>
      <c r="I15" s="149">
        <v>150758.29536000016</v>
      </c>
      <c r="J15" s="149">
        <v>40440.949999999997</v>
      </c>
      <c r="K15" s="149">
        <v>125180.54999999994</v>
      </c>
      <c r="L15" s="149">
        <v>718236.76904399996</v>
      </c>
      <c r="M15" s="150">
        <v>135481.15107913691</v>
      </c>
      <c r="N15" s="149">
        <v>96568.071942446026</v>
      </c>
      <c r="P15" s="154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2E6FF1FB1648B27A5016B27BC82F" ma:contentTypeVersion="15" ma:contentTypeDescription="Create a new document." ma:contentTypeScope="" ma:versionID="acd6c57997938ed2716d692c8122429b">
  <xsd:schema xmlns:xsd="http://www.w3.org/2001/XMLSchema" xmlns:xs="http://www.w3.org/2001/XMLSchema" xmlns:p="http://schemas.microsoft.com/office/2006/metadata/properties" xmlns:ns3="6821e094-6eca-4957-afda-cf4dfe533bfe" xmlns:ns4="a0499659-fc3b-4722-81d7-1ff40b30dc5d" targetNamespace="http://schemas.microsoft.com/office/2006/metadata/properties" ma:root="true" ma:fieldsID="94e433c6d75628e2530db5fcbb2afe0e" ns3:_="" ns4:_="">
    <xsd:import namespace="6821e094-6eca-4957-afda-cf4dfe533bfe"/>
    <xsd:import namespace="a0499659-fc3b-4722-81d7-1ff40b30dc5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21e094-6eca-4957-afda-cf4dfe533bfe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99659-fc3b-4722-81d7-1ff40b30dc5d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21e094-6eca-4957-afda-cf4dfe533bfe" xsi:nil="true"/>
  </documentManagement>
</p:properties>
</file>

<file path=customXml/itemProps1.xml><?xml version="1.0" encoding="utf-8"?>
<ds:datastoreItem xmlns:ds="http://schemas.openxmlformats.org/officeDocument/2006/customXml" ds:itemID="{EAD92B66-D8FE-4FFA-96CA-2DC67325B5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229CA8-1B6F-4D72-B1FC-65DBFF84A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21e094-6eca-4957-afda-cf4dfe533bfe"/>
    <ds:schemaRef ds:uri="a0499659-fc3b-4722-81d7-1ff40b30dc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55EF33-3824-497F-BDB5-6E035506AFE1}">
  <ds:schemaRefs>
    <ds:schemaRef ds:uri="http://purl.org/dc/elements/1.1/"/>
    <ds:schemaRef ds:uri="6821e094-6eca-4957-afda-cf4dfe533bfe"/>
    <ds:schemaRef ds:uri="a0499659-fc3b-4722-81d7-1ff40b30dc5d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ENTRADA</vt:lpstr>
      <vt:lpstr>CURVAS</vt:lpstr>
      <vt:lpstr>HISTOGRAMA</vt:lpstr>
      <vt:lpstr>SERVIÇOS NOTÁVEIS</vt:lpstr>
      <vt:lpstr>LASTRO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Perdigao Guerra</dc:creator>
  <cp:lastModifiedBy>Julia Perdigao Guerra</cp:lastModifiedBy>
  <cp:revision>0</cp:revision>
  <dcterms:created xsi:type="dcterms:W3CDTF">2026-05-26T14:08:51Z</dcterms:created>
  <dcterms:modified xsi:type="dcterms:W3CDTF">2026-07-28T11:22:50Z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0x01010014AD2E6FF1FB1648B27A5016B27BC82F</vt:lpwstr>
  </property>
</Properties>
</file>