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555" documentId="13_ncr:1_{4854DFB7-E9B4-409C-A843-569908145318}" xr6:coauthVersionLast="47" xr6:coauthVersionMax="47" xr10:uidLastSave="{598D903D-53BA-4F67-BFC9-0EBCDF09814A}"/>
  <bookViews>
    <workbookView xWindow="-120" yWindow="-120" windowWidth="20730" windowHeight="11040" tabRatio="84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6" l="1"/>
  <c r="N5" i="6"/>
  <c r="O5" i="6"/>
  <c r="P5" i="6"/>
  <c r="Q5" i="6"/>
  <c r="R5" i="6"/>
  <c r="S5" i="6"/>
  <c r="T5" i="6"/>
  <c r="U5" i="6"/>
  <c r="V5" i="6"/>
  <c r="W5" i="6"/>
  <c r="X5" i="6"/>
  <c r="L5" i="6"/>
  <c r="U2" i="18" l="1"/>
  <c r="V4" i="18" s="1"/>
  <c r="W4" i="18" s="1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2" i="18"/>
  <c r="V5" i="18" l="1"/>
  <c r="J17" i="6" l="1"/>
  <c r="J15" i="6"/>
  <c r="J5" i="6"/>
  <c r="J6" i="6"/>
  <c r="I62" i="8" l="1"/>
  <c r="I51" i="8"/>
  <c r="I29" i="8"/>
  <c r="I18" i="8"/>
  <c r="I7" i="8"/>
  <c r="K8" i="6"/>
  <c r="F28" i="20" l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K15" i="6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  <c r="L15" i="6" l="1"/>
  <c r="M15" i="6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<sst xmlns="http://schemas.openxmlformats.org/spreadsheetml/2006/main" count="1089" uniqueCount="396">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</sst>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1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  <font>
      <sz val="11"/>
      <color theme="1"/>
      <name val="Aptos Narrow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7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43" fontId="30" fillId="0" borderId="0" applyFont="0" applyFill="0" applyBorder="0" applyAlignment="0" applyProtection="0"/>
  </cellStyleXfs>
  <cellXfs count="211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43" fontId="0" fillId="0" borderId="0" xfId="6" applyFont="1"/>
    <xf numFmtId="43" fontId="0" fillId="0" borderId="0" xfId="0" applyNumberFormat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</cellXfs>
  <cellStyles count="7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  <cellStyle name="Vírgula" xfId="6" builtinId="3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61"/>
  <sheetViews>
    <sheetView showGridLines="0" tabSelected="1" topLeftCell="A10" workbookViewId="0">
      <pane xSplit="2" ySplit="4" topLeftCell="C14" activePane="bottomRight" state="frozen"/>
      <selection activeCell="A10" sqref="A10"/>
      <selection pane="topRight" activeCell="C10" sqref="C10"/>
      <selection pane="bottomLeft" activeCell="A14" sqref="A14"/>
      <selection pane="bottomRight" activeCell="E37" sqref="E37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2" width="22.42578125" customWidth="1"/>
    <col min="13" max="19" width="22.140625" customWidth="1"/>
  </cols>
  <sheetData>
    <row r="1" spans="2:16" hidden="1" x14ac:dyDescent="0.25"/>
    <row r="2" spans="2:16" ht="21.75" hidden="1" customHeight="1" x14ac:dyDescent="0.25">
      <c r="B2" s="195" t="s">
        <v>0</v>
      </c>
      <c r="C2" s="196"/>
      <c r="D2" s="196"/>
      <c r="E2" s="196"/>
      <c r="F2" s="196"/>
      <c r="G2" s="196"/>
    </row>
    <row r="3" spans="2:16" ht="15" hidden="1" customHeight="1" x14ac:dyDescent="0.25">
      <c r="B3" s="197" t="s">
        <v>1</v>
      </c>
      <c r="C3" s="198"/>
      <c r="D3" s="198"/>
      <c r="E3" s="198"/>
      <c r="F3" s="198"/>
      <c r="G3" s="199"/>
    </row>
    <row r="4" spans="2:16" ht="15" hidden="1" customHeight="1" x14ac:dyDescent="0.25">
      <c r="B4" s="200"/>
      <c r="C4" s="196"/>
      <c r="D4" s="196"/>
      <c r="E4" s="196"/>
      <c r="F4" s="196"/>
      <c r="G4" s="201"/>
    </row>
    <row r="5" spans="2:16" ht="15" hidden="1" customHeight="1" x14ac:dyDescent="0.25">
      <c r="B5" s="200"/>
      <c r="C5" s="196"/>
      <c r="D5" s="196"/>
      <c r="E5" s="196"/>
      <c r="F5" s="196"/>
      <c r="G5" s="201"/>
    </row>
    <row r="6" spans="2:16" ht="15" hidden="1" customHeight="1" x14ac:dyDescent="0.25">
      <c r="B6" s="200"/>
      <c r="C6" s="196"/>
      <c r="D6" s="196"/>
      <c r="E6" s="196"/>
      <c r="F6" s="196"/>
      <c r="G6" s="201"/>
    </row>
    <row r="7" spans="2:16" ht="15" hidden="1" customHeight="1" x14ac:dyDescent="0.25">
      <c r="B7" s="202"/>
      <c r="C7" s="203"/>
      <c r="D7" s="203"/>
      <c r="E7" s="203"/>
      <c r="F7" s="203"/>
      <c r="G7" s="204"/>
    </row>
    <row r="8" spans="2:16" hidden="1" x14ac:dyDescent="0.25"/>
    <row r="9" spans="2:16" ht="15" customHeight="1" x14ac:dyDescent="0.25">
      <c r="B9" s="1" t="s">
        <v>2</v>
      </c>
    </row>
    <row r="10" spans="2:16" ht="15" customHeight="1" x14ac:dyDescent="0.25">
      <c r="B10" s="2" t="s">
        <v>3</v>
      </c>
      <c r="C10" s="80">
        <v>46291</v>
      </c>
    </row>
    <row r="12" spans="2:16" ht="15" customHeight="1" x14ac:dyDescent="0.25">
      <c r="B12" s="1" t="s">
        <v>4</v>
      </c>
    </row>
    <row r="13" spans="2:16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  <c r="O13" s="76" t="s">
        <v>6</v>
      </c>
      <c r="P13" s="75" t="s">
        <v>7</v>
      </c>
    </row>
    <row r="14" spans="2:16" ht="15" customHeight="1" x14ac:dyDescent="0.25">
      <c r="B14" s="77" t="s">
        <v>8</v>
      </c>
      <c r="C14" s="78">
        <v>71220</v>
      </c>
      <c r="D14" s="79">
        <v>96640</v>
      </c>
      <c r="E14" s="78">
        <v>97180</v>
      </c>
      <c r="F14" s="79">
        <v>98340</v>
      </c>
      <c r="G14" s="78">
        <v>102460</v>
      </c>
      <c r="H14" s="79">
        <v>104400</v>
      </c>
      <c r="I14" s="78">
        <v>98840</v>
      </c>
      <c r="J14" s="79">
        <v>99500</v>
      </c>
      <c r="K14" s="78">
        <v>100086</v>
      </c>
      <c r="L14" s="79">
        <v>100292</v>
      </c>
      <c r="M14" s="78">
        <v>105010</v>
      </c>
      <c r="N14" s="79">
        <v>105184</v>
      </c>
      <c r="O14" s="78"/>
      <c r="P14" s="79"/>
    </row>
    <row r="15" spans="2:16" ht="15" customHeight="1" x14ac:dyDescent="0.25">
      <c r="B15" s="77" t="s">
        <v>9</v>
      </c>
      <c r="C15" s="78">
        <v>0</v>
      </c>
      <c r="D15" s="79">
        <v>105300</v>
      </c>
      <c r="E15" s="78"/>
      <c r="F15" s="79"/>
      <c r="G15" s="78"/>
      <c r="H15" s="79"/>
      <c r="I15" s="78"/>
      <c r="J15" s="79"/>
      <c r="K15" s="78"/>
      <c r="L15" s="79"/>
      <c r="M15" s="78"/>
      <c r="N15" s="79"/>
      <c r="O15" s="78"/>
      <c r="P15" s="79"/>
    </row>
    <row r="16" spans="2:16" ht="15" customHeight="1" x14ac:dyDescent="0.25">
      <c r="B16" s="77" t="s">
        <v>10</v>
      </c>
      <c r="C16" s="78">
        <v>0</v>
      </c>
      <c r="D16" s="79">
        <v>85240</v>
      </c>
      <c r="E16" s="78"/>
      <c r="F16" s="79"/>
      <c r="G16" s="78"/>
      <c r="H16" s="79"/>
      <c r="I16" s="78"/>
      <c r="J16" s="79"/>
      <c r="K16" s="78"/>
      <c r="L16" s="79"/>
      <c r="M16" s="78"/>
      <c r="N16" s="79"/>
      <c r="O16" s="78"/>
      <c r="P16" s="79"/>
    </row>
    <row r="17" spans="2:16" ht="15" customHeight="1" x14ac:dyDescent="0.25">
      <c r="B17" s="77" t="s">
        <v>11</v>
      </c>
      <c r="C17" s="78">
        <v>0</v>
      </c>
      <c r="D17" s="79">
        <v>85220</v>
      </c>
      <c r="E17" s="78"/>
      <c r="F17" s="79"/>
      <c r="G17" s="78"/>
      <c r="H17" s="79"/>
      <c r="I17" s="78"/>
      <c r="J17" s="79"/>
      <c r="K17" s="78"/>
      <c r="L17" s="79"/>
      <c r="M17" s="78"/>
      <c r="N17" s="79"/>
      <c r="O17" s="78"/>
      <c r="P17" s="79"/>
    </row>
    <row r="18" spans="2:16" ht="15" customHeight="1" x14ac:dyDescent="0.25">
      <c r="B18" s="77" t="s">
        <v>12</v>
      </c>
      <c r="C18" s="78">
        <v>0</v>
      </c>
      <c r="D18" s="79">
        <v>80880</v>
      </c>
      <c r="E18" s="78">
        <v>58560</v>
      </c>
      <c r="F18" s="79">
        <v>78560</v>
      </c>
      <c r="G18" s="78">
        <v>83420</v>
      </c>
      <c r="H18" s="79">
        <v>85220</v>
      </c>
      <c r="I18" s="78">
        <v>65400</v>
      </c>
      <c r="J18" s="79">
        <v>78560</v>
      </c>
      <c r="K18" s="78">
        <v>82200</v>
      </c>
      <c r="L18" s="79">
        <v>82860</v>
      </c>
      <c r="M18" s="78"/>
      <c r="N18" s="79"/>
      <c r="O18" s="78"/>
      <c r="P18" s="79"/>
    </row>
    <row r="19" spans="2:16" ht="15" customHeight="1" x14ac:dyDescent="0.25">
      <c r="B19" s="77" t="s">
        <v>13</v>
      </c>
      <c r="C19" s="78">
        <v>0</v>
      </c>
      <c r="D19" s="79">
        <v>52000</v>
      </c>
      <c r="E19" s="78"/>
      <c r="F19" s="79"/>
      <c r="G19" s="78"/>
      <c r="H19" s="79"/>
      <c r="I19" s="78"/>
      <c r="J19" s="79"/>
      <c r="K19" s="78"/>
      <c r="L19" s="79"/>
      <c r="M19" s="78"/>
      <c r="N19" s="79"/>
      <c r="O19" s="78"/>
      <c r="P19" s="79"/>
    </row>
    <row r="20" spans="2:16" ht="15" customHeight="1" x14ac:dyDescent="0.25">
      <c r="B20" s="77" t="s">
        <v>14</v>
      </c>
      <c r="C20" s="78">
        <v>0</v>
      </c>
      <c r="D20" s="79">
        <v>21600</v>
      </c>
      <c r="E20" s="78">
        <v>23000</v>
      </c>
      <c r="F20" s="79">
        <v>55400</v>
      </c>
      <c r="G20" s="78">
        <v>60000</v>
      </c>
      <c r="H20" s="79">
        <v>71000</v>
      </c>
      <c r="I20" s="78">
        <v>71775</v>
      </c>
      <c r="J20" s="79">
        <v>75100</v>
      </c>
      <c r="K20" s="78"/>
      <c r="L20" s="79"/>
      <c r="M20" s="78"/>
      <c r="N20" s="79"/>
      <c r="O20" s="78"/>
      <c r="P20" s="79"/>
    </row>
    <row r="21" spans="2:16" ht="15" customHeight="1" x14ac:dyDescent="0.25">
      <c r="B21" s="77" t="s">
        <v>15</v>
      </c>
      <c r="C21" s="78">
        <v>0</v>
      </c>
      <c r="D21" s="79">
        <v>21600</v>
      </c>
      <c r="E21" s="78">
        <v>23000</v>
      </c>
      <c r="F21" s="79">
        <v>32840</v>
      </c>
      <c r="G21" s="78">
        <v>35000</v>
      </c>
      <c r="H21" s="79">
        <v>40000</v>
      </c>
      <c r="I21" s="78">
        <v>40120</v>
      </c>
      <c r="J21" s="79">
        <v>45680</v>
      </c>
      <c r="K21" s="78">
        <v>71775</v>
      </c>
      <c r="L21" s="79">
        <v>71940</v>
      </c>
      <c r="M21" s="78">
        <v>47030</v>
      </c>
      <c r="N21" s="79">
        <v>48180</v>
      </c>
      <c r="O21" s="78">
        <v>61300</v>
      </c>
      <c r="P21" s="79">
        <v>61700</v>
      </c>
    </row>
    <row r="22" spans="2:16" ht="15" customHeight="1" x14ac:dyDescent="0.25">
      <c r="B22" s="77" t="s">
        <v>16</v>
      </c>
      <c r="C22" s="78">
        <v>0</v>
      </c>
      <c r="D22" s="79">
        <v>47000</v>
      </c>
      <c r="E22" s="78"/>
      <c r="F22" s="79"/>
      <c r="G22" s="78"/>
      <c r="H22" s="79"/>
      <c r="I22" s="78"/>
      <c r="J22" s="79"/>
      <c r="K22" s="78"/>
      <c r="L22" s="79"/>
      <c r="M22" s="78"/>
      <c r="N22" s="79"/>
      <c r="O22" s="78"/>
      <c r="P22" s="79"/>
    </row>
    <row r="23" spans="2:16" ht="15" customHeight="1" x14ac:dyDescent="0.25">
      <c r="B23" s="77" t="s">
        <v>17</v>
      </c>
      <c r="C23" s="78">
        <v>0</v>
      </c>
      <c r="D23" s="79">
        <f>D21</f>
        <v>21600</v>
      </c>
      <c r="E23" s="78">
        <v>23000</v>
      </c>
      <c r="F23" s="79">
        <v>33900</v>
      </c>
      <c r="G23" s="78">
        <v>34980</v>
      </c>
      <c r="H23" s="79">
        <v>36700</v>
      </c>
      <c r="I23" s="78">
        <v>38340</v>
      </c>
      <c r="J23" s="79">
        <v>40060</v>
      </c>
      <c r="K23" s="78">
        <v>40100</v>
      </c>
      <c r="L23" s="79">
        <v>41500</v>
      </c>
      <c r="M23" s="78">
        <v>41500</v>
      </c>
      <c r="N23" s="79">
        <v>47010</v>
      </c>
      <c r="O23" s="78"/>
      <c r="P23" s="79"/>
    </row>
    <row r="24" spans="2:16" ht="15" customHeight="1" x14ac:dyDescent="0.25">
      <c r="B24" s="77" t="s">
        <v>18</v>
      </c>
      <c r="C24" s="78">
        <v>0</v>
      </c>
      <c r="D24" s="79">
        <v>18080</v>
      </c>
      <c r="E24" s="78">
        <v>34600</v>
      </c>
      <c r="F24" s="79">
        <v>45000</v>
      </c>
      <c r="G24" s="78"/>
      <c r="H24" s="79"/>
      <c r="I24" s="78"/>
      <c r="J24" s="79"/>
      <c r="K24" s="78"/>
      <c r="L24" s="79"/>
      <c r="M24" s="78"/>
      <c r="N24" s="79"/>
      <c r="O24" s="78"/>
      <c r="P24" s="79"/>
    </row>
    <row r="25" spans="2:16" ht="15" customHeight="1" x14ac:dyDescent="0.25">
      <c r="B25" s="77" t="s">
        <v>19</v>
      </c>
      <c r="C25" s="78">
        <v>7000</v>
      </c>
      <c r="D25" s="79">
        <v>10700</v>
      </c>
      <c r="E25" s="78">
        <v>11100</v>
      </c>
      <c r="F25" s="79">
        <v>15160</v>
      </c>
      <c r="G25" s="78">
        <v>16000</v>
      </c>
      <c r="H25" s="79">
        <v>17200</v>
      </c>
      <c r="I25" s="78">
        <v>17360</v>
      </c>
      <c r="J25" s="79">
        <v>18040</v>
      </c>
      <c r="K25" s="78">
        <v>18540</v>
      </c>
      <c r="L25" s="79">
        <v>20000</v>
      </c>
      <c r="M25" s="78"/>
      <c r="N25" s="79"/>
      <c r="O25" s="78"/>
      <c r="P25" s="79"/>
    </row>
    <row r="26" spans="2:16" ht="15" customHeight="1" x14ac:dyDescent="0.25">
      <c r="B26" s="77" t="s">
        <v>20</v>
      </c>
      <c r="C26" s="78">
        <v>8150</v>
      </c>
      <c r="D26" s="79">
        <v>8700</v>
      </c>
      <c r="E26" s="78">
        <v>34400</v>
      </c>
      <c r="F26" s="79">
        <v>35000</v>
      </c>
      <c r="G26" s="78"/>
      <c r="H26" s="79"/>
      <c r="I26" s="78"/>
      <c r="J26" s="79"/>
      <c r="K26" s="78"/>
      <c r="L26" s="79"/>
      <c r="M26" s="78"/>
      <c r="N26" s="79"/>
      <c r="O26" s="78"/>
      <c r="P26" s="79"/>
    </row>
    <row r="27" spans="2:16" ht="15" customHeight="1" x14ac:dyDescent="0.25">
      <c r="B27" s="77" t="s">
        <v>21</v>
      </c>
      <c r="C27" s="78">
        <v>0</v>
      </c>
      <c r="D27" s="79">
        <v>10661</v>
      </c>
      <c r="E27" s="78">
        <v>11607</v>
      </c>
      <c r="F27" s="79">
        <v>21540</v>
      </c>
      <c r="G27" s="78">
        <v>23020</v>
      </c>
      <c r="H27" s="79">
        <v>37020</v>
      </c>
      <c r="I27" s="78"/>
      <c r="J27" s="79"/>
      <c r="K27" s="78"/>
      <c r="L27" s="79"/>
      <c r="M27" s="78"/>
      <c r="N27" s="79"/>
      <c r="O27" s="78"/>
      <c r="P27" s="79"/>
    </row>
    <row r="29" spans="2:16" ht="15" customHeight="1" x14ac:dyDescent="0.25">
      <c r="B29" s="1" t="s">
        <v>22</v>
      </c>
    </row>
    <row r="30" spans="2:16" ht="15" customHeight="1" x14ac:dyDescent="0.25">
      <c r="B30" s="2" t="s">
        <v>23</v>
      </c>
      <c r="C30" s="60">
        <v>131260</v>
      </c>
    </row>
    <row r="31" spans="2:16" ht="15" customHeight="1" x14ac:dyDescent="0.25">
      <c r="B31" s="3" t="s">
        <v>24</v>
      </c>
    </row>
    <row r="32" spans="2:16" ht="15" customHeight="1" x14ac:dyDescent="0.25">
      <c r="B32" s="191" t="s">
        <v>25</v>
      </c>
      <c r="C32" s="191" t="s">
        <v>26</v>
      </c>
      <c r="D32" s="191" t="s">
        <v>27</v>
      </c>
    </row>
    <row r="33" spans="2:5" ht="15" customHeight="1" x14ac:dyDescent="0.25">
      <c r="B33" s="192" t="s">
        <v>28</v>
      </c>
      <c r="C33" s="81">
        <v>0</v>
      </c>
      <c r="D33" s="81">
        <v>106160</v>
      </c>
    </row>
    <row r="34" spans="2:5" ht="15" customHeight="1" x14ac:dyDescent="0.25">
      <c r="B34" s="192" t="s">
        <v>29</v>
      </c>
      <c r="C34" s="81">
        <v>107440</v>
      </c>
      <c r="D34" s="81">
        <v>108500</v>
      </c>
    </row>
    <row r="35" spans="2:5" ht="15" customHeight="1" x14ac:dyDescent="0.25">
      <c r="B35" s="192" t="s">
        <v>30</v>
      </c>
      <c r="C35" s="81">
        <v>109200</v>
      </c>
      <c r="D35" s="81">
        <v>110700</v>
      </c>
    </row>
    <row r="36" spans="2:5" ht="15" customHeight="1" x14ac:dyDescent="0.25">
      <c r="B36" s="192" t="s">
        <v>31</v>
      </c>
      <c r="C36" s="81">
        <v>112720</v>
      </c>
      <c r="D36" s="81">
        <v>114720</v>
      </c>
    </row>
    <row r="37" spans="2:5" ht="15" customHeight="1" x14ac:dyDescent="0.25">
      <c r="B37" s="192" t="s">
        <v>32</v>
      </c>
      <c r="C37" s="81"/>
      <c r="D37" s="81"/>
    </row>
    <row r="38" spans="2:5" ht="15" customHeight="1" x14ac:dyDescent="0.25">
      <c r="B38" s="192" t="s">
        <v>33</v>
      </c>
      <c r="C38" s="81"/>
      <c r="D38" s="81"/>
    </row>
    <row r="39" spans="2:5" ht="15" customHeight="1" x14ac:dyDescent="0.25">
      <c r="B39" s="192" t="s">
        <v>34</v>
      </c>
      <c r="C39" s="81"/>
      <c r="D39" s="81"/>
    </row>
    <row r="40" spans="2:5" ht="15" customHeight="1" x14ac:dyDescent="0.25">
      <c r="B40" s="192" t="s">
        <v>35</v>
      </c>
      <c r="C40" s="81"/>
      <c r="D40" s="81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1" t="s">
        <v>25</v>
      </c>
      <c r="C44" s="191" t="s">
        <v>26</v>
      </c>
      <c r="D44" s="191" t="s">
        <v>27</v>
      </c>
      <c r="E44" s="191" t="s">
        <v>38</v>
      </c>
    </row>
    <row r="45" spans="2:5" x14ac:dyDescent="0.25">
      <c r="B45" s="192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2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2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2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2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2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2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2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2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2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2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2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2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2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2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2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2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31" workbookViewId="0">
      <selection activeCell="X14" sqref="X14"/>
    </sheetView>
  </sheetViews>
  <sheetFormatPr defaultRowHeight="15" outlineLevelCol="1" x14ac:dyDescent="0.25"/>
  <cols>
    <col min="1" max="1" width="27.42578125" style="7" customWidth="1"/>
    <col min="2" max="10" width="9.140625" style="7" customWidth="1" outlineLevel="1"/>
    <col min="11" max="24" width="9.140625" style="7"/>
    <col min="25" max="39" width="9.140625" style="83"/>
  </cols>
  <sheetData>
    <row r="1" spans="1:24" x14ac:dyDescent="0.25">
      <c r="A1" s="82" t="s">
        <v>49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 x14ac:dyDescent="0.25">
      <c r="A2" s="84" t="s">
        <v>50</v>
      </c>
      <c r="B2" s="85">
        <v>45992</v>
      </c>
      <c r="C2" s="85">
        <v>46023</v>
      </c>
      <c r="D2" s="85">
        <v>46054</v>
      </c>
      <c r="E2" s="85">
        <v>46082</v>
      </c>
      <c r="F2" s="85">
        <v>46113</v>
      </c>
      <c r="G2" s="85">
        <v>46143</v>
      </c>
      <c r="H2" s="85">
        <v>46174</v>
      </c>
      <c r="I2" s="85">
        <v>46204</v>
      </c>
      <c r="J2" s="85">
        <v>46235</v>
      </c>
      <c r="K2" s="85">
        <v>46266</v>
      </c>
      <c r="L2" s="85">
        <v>46296</v>
      </c>
      <c r="M2" s="85">
        <v>46327</v>
      </c>
      <c r="N2" s="85">
        <v>46357</v>
      </c>
      <c r="O2" s="85">
        <v>46388</v>
      </c>
      <c r="P2" s="85">
        <v>46419</v>
      </c>
      <c r="Q2" s="85">
        <v>46447</v>
      </c>
      <c r="R2" s="85">
        <v>46478</v>
      </c>
      <c r="S2" s="85">
        <v>46508</v>
      </c>
      <c r="T2" s="85">
        <v>46539</v>
      </c>
      <c r="U2" s="85">
        <v>46569</v>
      </c>
      <c r="V2" s="85">
        <v>46600</v>
      </c>
      <c r="W2" s="85">
        <v>46631</v>
      </c>
      <c r="X2" s="85">
        <v>46661</v>
      </c>
    </row>
    <row r="3" spans="1:24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2">
        <f>J7</f>
        <v>4.0500000000000008E-2</v>
      </c>
      <c r="K5" s="62">
        <v>5.7221466803051929E-2</v>
      </c>
      <c r="L5" s="62">
        <f>L6-K6</f>
        <v>7.1195414356986897E-2</v>
      </c>
      <c r="M5" s="62">
        <f t="shared" ref="M5:X5" si="1">M6-L6</f>
        <v>8.188176322115398E-2</v>
      </c>
      <c r="N5" s="62">
        <f t="shared" si="1"/>
        <v>4.8233907822541167E-2</v>
      </c>
      <c r="O5" s="62">
        <f t="shared" si="1"/>
        <v>5.7602435507203731E-2</v>
      </c>
      <c r="P5" s="62">
        <f t="shared" si="1"/>
        <v>5.9597632283525326E-2</v>
      </c>
      <c r="Q5" s="62">
        <f t="shared" si="1"/>
        <v>6.6399322145811235E-2</v>
      </c>
      <c r="R5" s="62">
        <f t="shared" si="1"/>
        <v>6.337337741019422E-2</v>
      </c>
      <c r="S5" s="62">
        <f t="shared" si="1"/>
        <v>6.5918181443970547E-2</v>
      </c>
      <c r="T5" s="62">
        <f t="shared" si="1"/>
        <v>7.6648971764140539E-2</v>
      </c>
      <c r="U5" s="62">
        <f t="shared" si="1"/>
        <v>5.8794301524071946E-2</v>
      </c>
      <c r="V5" s="62">
        <f t="shared" si="1"/>
        <v>5.350472654669014E-2</v>
      </c>
      <c r="W5" s="62">
        <f t="shared" si="1"/>
        <v>5.3740477450843316E-2</v>
      </c>
      <c r="X5" s="62">
        <f t="shared" si="1"/>
        <v>4.4939541135864403E-3</v>
      </c>
    </row>
    <row r="6" spans="1:24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2">
        <f>J8</f>
        <v>0.18110000000000001</v>
      </c>
      <c r="K6" s="62">
        <v>0.23861553440928052</v>
      </c>
      <c r="L6" s="62">
        <v>0.30981094876626741</v>
      </c>
      <c r="M6" s="62">
        <v>0.39169271198742139</v>
      </c>
      <c r="N6" s="62">
        <v>0.43992661980996256</v>
      </c>
      <c r="O6" s="62">
        <v>0.49752905531716629</v>
      </c>
      <c r="P6" s="62">
        <v>0.55712668760069162</v>
      </c>
      <c r="Q6" s="62">
        <v>0.62352600974650285</v>
      </c>
      <c r="R6" s="62">
        <v>0.68689938715669707</v>
      </c>
      <c r="S6" s="62">
        <v>0.75281756860066762</v>
      </c>
      <c r="T6" s="62">
        <v>0.82946654036480816</v>
      </c>
      <c r="U6" s="62">
        <v>0.8882608418888801</v>
      </c>
      <c r="V6" s="62">
        <v>0.94176556843557024</v>
      </c>
      <c r="W6" s="62">
        <v>0.99550604588641356</v>
      </c>
      <c r="X6" s="62">
        <v>1</v>
      </c>
    </row>
    <row r="7" spans="1:24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2">
        <v>4.0500000000000008E-2</v>
      </c>
      <c r="K7" s="62">
        <v>4.3200000000000016E-2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K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2">
        <f t="shared" si="2"/>
        <v>0.18110000000000001</v>
      </c>
      <c r="K8" s="62">
        <f t="shared" si="2"/>
        <v>0.22430000000000003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25">
      <c r="A10" s="82" t="s">
        <v>57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 spans="1:24" x14ac:dyDescent="0.25">
      <c r="A11" s="84" t="s">
        <v>50</v>
      </c>
      <c r="B11" s="85">
        <v>45992</v>
      </c>
      <c r="C11" s="85">
        <v>46023</v>
      </c>
      <c r="D11" s="85">
        <v>46054</v>
      </c>
      <c r="E11" s="85">
        <v>46082</v>
      </c>
      <c r="F11" s="85">
        <v>46113</v>
      </c>
      <c r="G11" s="85">
        <v>46143</v>
      </c>
      <c r="H11" s="85">
        <v>46174</v>
      </c>
      <c r="I11" s="85">
        <v>46204</v>
      </c>
      <c r="J11" s="85">
        <v>46235</v>
      </c>
      <c r="K11" s="85">
        <v>46266</v>
      </c>
      <c r="L11" s="85">
        <v>46296</v>
      </c>
      <c r="M11" s="85">
        <v>46327</v>
      </c>
      <c r="N11" s="85">
        <v>46357</v>
      </c>
      <c r="O11" s="85">
        <v>46388</v>
      </c>
      <c r="P11" s="85">
        <v>46419</v>
      </c>
      <c r="Q11" s="85">
        <v>46447</v>
      </c>
      <c r="R11" s="85">
        <v>46478</v>
      </c>
      <c r="S11" s="85">
        <v>46508</v>
      </c>
      <c r="T11" s="85">
        <v>46539</v>
      </c>
      <c r="U11" s="85">
        <v>46569</v>
      </c>
      <c r="V11" s="85">
        <v>46600</v>
      </c>
      <c r="W11" s="85">
        <v>46631</v>
      </c>
      <c r="X11" s="85">
        <v>46661</v>
      </c>
    </row>
    <row r="12" spans="1:24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/>
      <c r="J14" s="62">
        <v>4.1846289897626718E-2</v>
      </c>
      <c r="K14" s="62">
        <v>6.3208252221123126E-2</v>
      </c>
      <c r="L14" s="62">
        <v>7.1195414356986897E-2</v>
      </c>
      <c r="M14" s="62">
        <v>8.188176322115398E-2</v>
      </c>
      <c r="N14" s="62">
        <v>4.8233907822541167E-2</v>
      </c>
      <c r="O14" s="62">
        <v>5.7602435507203731E-2</v>
      </c>
      <c r="P14" s="62">
        <v>5.9597632283525326E-2</v>
      </c>
      <c r="Q14" s="62">
        <v>6.6399322145811235E-2</v>
      </c>
      <c r="R14" s="62">
        <v>6.337337741019422E-2</v>
      </c>
      <c r="S14" s="62">
        <v>6.5918181443970547E-2</v>
      </c>
      <c r="T14" s="62">
        <v>7.6648971764140539E-2</v>
      </c>
      <c r="U14" s="62">
        <v>5.8794301524071946E-2</v>
      </c>
      <c r="V14" s="62">
        <v>5.350472654669014E-2</v>
      </c>
      <c r="W14" s="62">
        <v>5.3740477450843316E-2</v>
      </c>
      <c r="X14" s="62"/>
    </row>
    <row r="15" spans="1:24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/>
      <c r="J15" s="62">
        <f>J14+I17</f>
        <v>0.18317094428697323</v>
      </c>
      <c r="K15" s="62">
        <f t="shared" ref="K15:X15" si="3">K14+J15</f>
        <v>0.24637919650809637</v>
      </c>
      <c r="L15" s="62">
        <f t="shared" si="3"/>
        <v>0.31757461086508326</v>
      </c>
      <c r="M15" s="62">
        <f t="shared" si="3"/>
        <v>0.39945637408623724</v>
      </c>
      <c r="N15" s="62">
        <f t="shared" si="3"/>
        <v>0.44769028190877841</v>
      </c>
      <c r="O15" s="62">
        <f t="shared" si="3"/>
        <v>0.50529271741598214</v>
      </c>
      <c r="P15" s="62">
        <f t="shared" si="3"/>
        <v>0.56489034969950747</v>
      </c>
      <c r="Q15" s="62">
        <f t="shared" si="3"/>
        <v>0.6312896718453187</v>
      </c>
      <c r="R15" s="62">
        <f t="shared" si="3"/>
        <v>0.69466304925551292</v>
      </c>
      <c r="S15" s="62">
        <f t="shared" si="3"/>
        <v>0.76058123069948347</v>
      </c>
      <c r="T15" s="62">
        <f t="shared" si="3"/>
        <v>0.83723020246362401</v>
      </c>
      <c r="U15" s="62">
        <f t="shared" si="3"/>
        <v>0.89602450398769595</v>
      </c>
      <c r="V15" s="62">
        <f t="shared" si="3"/>
        <v>0.94952923053438609</v>
      </c>
      <c r="W15" s="62">
        <f t="shared" si="3"/>
        <v>1.0032697079852295</v>
      </c>
      <c r="X15" s="62">
        <f t="shared" si="3"/>
        <v>1.0032697079852295</v>
      </c>
    </row>
    <row r="16" spans="1:24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>
        <v>4.1846289897626718E-2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J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>
        <f t="shared" si="4"/>
        <v>0.18317094428697323</v>
      </c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2" t="s">
        <v>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 spans="1:24" x14ac:dyDescent="0.25">
      <c r="A20" s="84" t="s">
        <v>50</v>
      </c>
      <c r="B20" s="85">
        <v>45992</v>
      </c>
      <c r="C20" s="85">
        <v>46023</v>
      </c>
      <c r="D20" s="85">
        <v>46054</v>
      </c>
      <c r="E20" s="85">
        <v>46082</v>
      </c>
      <c r="F20" s="85">
        <v>46113</v>
      </c>
      <c r="G20" s="85">
        <v>46143</v>
      </c>
      <c r="H20" s="85">
        <v>46174</v>
      </c>
      <c r="I20" s="85">
        <v>46204</v>
      </c>
      <c r="J20" s="85">
        <v>46235</v>
      </c>
      <c r="K20" s="85">
        <v>46266</v>
      </c>
      <c r="L20" s="85">
        <v>46296</v>
      </c>
      <c r="M20" s="85">
        <v>46327</v>
      </c>
      <c r="N20" s="85">
        <v>46357</v>
      </c>
      <c r="O20" s="85">
        <v>46388</v>
      </c>
      <c r="P20" s="85">
        <v>46419</v>
      </c>
      <c r="Q20" s="85">
        <v>46447</v>
      </c>
      <c r="R20" s="85">
        <v>46478</v>
      </c>
      <c r="S20" s="85">
        <v>46508</v>
      </c>
      <c r="T20" s="85">
        <v>46539</v>
      </c>
      <c r="U20" s="85">
        <v>46569</v>
      </c>
      <c r="V20" s="85">
        <v>46600</v>
      </c>
      <c r="W20" s="85">
        <v>46631</v>
      </c>
      <c r="X20" s="85">
        <v>46661</v>
      </c>
    </row>
    <row r="21" spans="1:24" x14ac:dyDescent="0.25">
      <c r="A21" s="7" t="s">
        <v>51</v>
      </c>
      <c r="B21" s="86">
        <v>12</v>
      </c>
      <c r="C21" s="86">
        <v>140.5</v>
      </c>
      <c r="D21" s="86">
        <v>219</v>
      </c>
      <c r="E21" s="86">
        <v>250</v>
      </c>
      <c r="F21" s="86">
        <v>260</v>
      </c>
      <c r="G21" s="86">
        <v>260</v>
      </c>
      <c r="H21" s="86">
        <v>260</v>
      </c>
      <c r="I21" s="86">
        <v>260</v>
      </c>
      <c r="J21" s="86">
        <v>260</v>
      </c>
      <c r="K21" s="86">
        <v>260</v>
      </c>
      <c r="L21" s="86">
        <v>260</v>
      </c>
      <c r="M21" s="86">
        <v>256</v>
      </c>
      <c r="N21" s="86">
        <v>256</v>
      </c>
      <c r="O21" s="86">
        <v>256</v>
      </c>
      <c r="P21" s="86">
        <v>260</v>
      </c>
      <c r="Q21" s="86">
        <v>264</v>
      </c>
      <c r="R21" s="86">
        <v>264</v>
      </c>
      <c r="S21" s="86">
        <v>264</v>
      </c>
      <c r="T21" s="86">
        <v>264</v>
      </c>
      <c r="U21" s="86">
        <v>264</v>
      </c>
      <c r="V21" s="86">
        <v>264</v>
      </c>
      <c r="W21" s="86">
        <v>240</v>
      </c>
      <c r="X21" s="86">
        <v>114.5</v>
      </c>
    </row>
    <row r="22" spans="1:24" x14ac:dyDescent="0.25">
      <c r="A22" s="7" t="s">
        <v>55</v>
      </c>
      <c r="B22" s="86">
        <f>[1]HISTOGRAMA!C33</f>
        <v>5</v>
      </c>
      <c r="C22" s="86">
        <f>[1]HISTOGRAMA!E33</f>
        <v>89</v>
      </c>
      <c r="D22" s="86">
        <f>[1]HISTOGRAMA!G33</f>
        <v>127</v>
      </c>
      <c r="E22" s="86">
        <f>[1]HISTOGRAMA!I33</f>
        <v>150</v>
      </c>
      <c r="F22" s="86">
        <f>[1]HISTOGRAMA!K33</f>
        <v>144</v>
      </c>
      <c r="G22" s="86">
        <f>[1]HISTOGRAMA!M33</f>
        <v>194</v>
      </c>
      <c r="H22" s="86">
        <f>[1]HISTOGRAMA!O33</f>
        <v>198</v>
      </c>
      <c r="I22" s="86">
        <v>230</v>
      </c>
      <c r="J22" s="87">
        <v>239</v>
      </c>
      <c r="K22" s="86">
        <v>229</v>
      </c>
      <c r="L22" s="86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2" t="s">
        <v>59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 spans="1:24" x14ac:dyDescent="0.25">
      <c r="A25" s="84" t="s">
        <v>50</v>
      </c>
      <c r="B25" s="85">
        <v>45992</v>
      </c>
      <c r="C25" s="85">
        <v>46023</v>
      </c>
      <c r="D25" s="85">
        <v>46054</v>
      </c>
      <c r="E25" s="85">
        <v>46082</v>
      </c>
      <c r="F25" s="85">
        <v>46113</v>
      </c>
      <c r="G25" s="85">
        <v>46143</v>
      </c>
      <c r="H25" s="85">
        <v>46174</v>
      </c>
      <c r="I25" s="85">
        <v>46204</v>
      </c>
      <c r="J25" s="85">
        <v>46235</v>
      </c>
      <c r="K25" s="85">
        <v>46266</v>
      </c>
      <c r="L25" s="85">
        <v>46296</v>
      </c>
      <c r="M25" s="85">
        <v>46327</v>
      </c>
      <c r="N25" s="85">
        <v>46357</v>
      </c>
      <c r="O25" s="85">
        <v>46388</v>
      </c>
      <c r="P25" s="85">
        <v>46419</v>
      </c>
      <c r="Q25" s="85">
        <v>46447</v>
      </c>
      <c r="R25" s="85">
        <v>46478</v>
      </c>
      <c r="S25" s="85">
        <v>46508</v>
      </c>
      <c r="T25" s="85">
        <v>46539</v>
      </c>
      <c r="U25" s="85">
        <v>46569</v>
      </c>
      <c r="V25" s="85">
        <v>46600</v>
      </c>
      <c r="W25" s="85">
        <v>46631</v>
      </c>
      <c r="X25" s="85">
        <v>46661</v>
      </c>
    </row>
    <row r="26" spans="1:24" x14ac:dyDescent="0.25">
      <c r="A26" s="7" t="s">
        <v>51</v>
      </c>
      <c r="B26" s="86">
        <v>0</v>
      </c>
      <c r="C26" s="86">
        <v>32.5</v>
      </c>
      <c r="D26" s="86">
        <v>97</v>
      </c>
      <c r="E26" s="86">
        <v>104</v>
      </c>
      <c r="F26" s="86">
        <v>107</v>
      </c>
      <c r="G26" s="86">
        <v>107</v>
      </c>
      <c r="H26" s="86">
        <v>107</v>
      </c>
      <c r="I26" s="86">
        <v>107</v>
      </c>
      <c r="J26" s="86">
        <v>107</v>
      </c>
      <c r="K26" s="86">
        <v>107</v>
      </c>
      <c r="L26" s="86">
        <v>107</v>
      </c>
      <c r="M26" s="86">
        <v>104</v>
      </c>
      <c r="N26" s="86">
        <v>104</v>
      </c>
      <c r="O26" s="86">
        <v>104</v>
      </c>
      <c r="P26" s="86">
        <v>107</v>
      </c>
      <c r="Q26" s="86">
        <v>108</v>
      </c>
      <c r="R26" s="86">
        <v>108</v>
      </c>
      <c r="S26" s="86">
        <v>108</v>
      </c>
      <c r="T26" s="86">
        <v>109</v>
      </c>
      <c r="U26" s="86">
        <v>109</v>
      </c>
      <c r="V26" s="86">
        <v>108</v>
      </c>
      <c r="W26" s="86">
        <v>101</v>
      </c>
      <c r="X26" s="86">
        <v>69.375</v>
      </c>
    </row>
    <row r="27" spans="1:24" x14ac:dyDescent="0.25">
      <c r="A27" s="7" t="s">
        <v>55</v>
      </c>
      <c r="B27" s="86">
        <f>[1]HISTOGRAMA!C79</f>
        <v>4</v>
      </c>
      <c r="C27" s="86">
        <f>[1]HISTOGRAMA!E79</f>
        <v>34</v>
      </c>
      <c r="D27" s="86">
        <f>[1]HISTOGRAMA!G79</f>
        <v>56</v>
      </c>
      <c r="E27" s="86">
        <f>[1]HISTOGRAMA!I79</f>
        <v>64</v>
      </c>
      <c r="F27" s="86">
        <f>[1]HISTOGRAMA!K79</f>
        <v>72</v>
      </c>
      <c r="G27" s="86">
        <f>[1]HISTOGRAMA!M79</f>
        <v>84</v>
      </c>
      <c r="H27" s="86">
        <f>[1]HISTOGRAMA!O79</f>
        <v>88</v>
      </c>
      <c r="I27" s="86">
        <f>[1]HISTOGRAMA!Q79</f>
        <v>102</v>
      </c>
      <c r="J27" s="87">
        <v>109</v>
      </c>
      <c r="K27" s="87">
        <v>115</v>
      </c>
      <c r="L27" s="86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2" t="s">
        <v>60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 spans="1:24" x14ac:dyDescent="0.25">
      <c r="A30" s="84" t="s">
        <v>50</v>
      </c>
      <c r="B30" s="85">
        <v>45992</v>
      </c>
      <c r="C30" s="85">
        <v>46023</v>
      </c>
      <c r="D30" s="85">
        <v>46054</v>
      </c>
      <c r="E30" s="85">
        <v>46082</v>
      </c>
      <c r="F30" s="85">
        <v>46113</v>
      </c>
      <c r="G30" s="85">
        <v>46143</v>
      </c>
      <c r="H30" s="85">
        <v>46174</v>
      </c>
      <c r="I30" s="85">
        <v>46204</v>
      </c>
      <c r="J30" s="85">
        <v>46235</v>
      </c>
      <c r="K30" s="85">
        <v>46266</v>
      </c>
      <c r="L30" s="85">
        <v>46296</v>
      </c>
      <c r="M30" s="85">
        <v>46327</v>
      </c>
      <c r="N30" s="85">
        <v>46357</v>
      </c>
      <c r="O30" s="85">
        <v>46388</v>
      </c>
      <c r="P30" s="85">
        <v>46419</v>
      </c>
      <c r="Q30" s="85">
        <v>46447</v>
      </c>
      <c r="R30" s="85">
        <v>46478</v>
      </c>
      <c r="S30" s="85">
        <v>46508</v>
      </c>
      <c r="T30" s="85">
        <v>46539</v>
      </c>
      <c r="U30" s="85">
        <v>46569</v>
      </c>
      <c r="V30" s="85">
        <v>46600</v>
      </c>
      <c r="W30" s="85">
        <v>46631</v>
      </c>
      <c r="X30" s="85">
        <v>46661</v>
      </c>
    </row>
    <row r="31" spans="1:24" x14ac:dyDescent="0.25">
      <c r="A31" s="7" t="s">
        <v>51</v>
      </c>
      <c r="B31" s="86">
        <v>1</v>
      </c>
      <c r="C31" s="86">
        <v>1</v>
      </c>
      <c r="D31" s="86">
        <v>21</v>
      </c>
      <c r="E31" s="86">
        <v>36</v>
      </c>
      <c r="F31" s="86">
        <v>39</v>
      </c>
      <c r="G31" s="86">
        <v>39</v>
      </c>
      <c r="H31" s="86">
        <v>39</v>
      </c>
      <c r="I31" s="86">
        <v>39</v>
      </c>
      <c r="J31" s="86">
        <v>39</v>
      </c>
      <c r="K31" s="86">
        <v>39</v>
      </c>
      <c r="L31" s="86">
        <v>39</v>
      </c>
      <c r="M31" s="86">
        <v>37</v>
      </c>
      <c r="N31" s="86">
        <v>37</v>
      </c>
      <c r="O31" s="86">
        <v>37</v>
      </c>
      <c r="P31" s="86">
        <v>39</v>
      </c>
      <c r="Q31" s="86">
        <v>39</v>
      </c>
      <c r="R31" s="86">
        <v>39</v>
      </c>
      <c r="S31" s="86">
        <v>39</v>
      </c>
      <c r="T31" s="86">
        <v>39</v>
      </c>
      <c r="U31" s="86">
        <v>39</v>
      </c>
      <c r="V31" s="86">
        <v>39</v>
      </c>
      <c r="W31" s="86">
        <v>31</v>
      </c>
      <c r="X31" s="86">
        <v>4.5</v>
      </c>
    </row>
    <row r="32" spans="1:24" x14ac:dyDescent="0.25">
      <c r="A32" s="7" t="s">
        <v>55</v>
      </c>
      <c r="B32" s="86">
        <f>[1]HISTOGRAMA!C116</f>
        <v>1</v>
      </c>
      <c r="C32" s="86">
        <f>[1]HISTOGRAMA!E116</f>
        <v>11</v>
      </c>
      <c r="D32" s="86">
        <f>[1]HISTOGRAMA!G116</f>
        <v>17</v>
      </c>
      <c r="E32" s="86">
        <f>[1]HISTOGRAMA!I116</f>
        <v>21</v>
      </c>
      <c r="F32" s="86">
        <f>[1]HISTOGRAMA!K116</f>
        <v>26</v>
      </c>
      <c r="G32" s="86">
        <f>[1]HISTOGRAMA!M116</f>
        <v>32</v>
      </c>
      <c r="H32" s="86">
        <f>[1]HISTOGRAMA!O116</f>
        <v>38</v>
      </c>
      <c r="I32" s="86">
        <f>[1]HISTOGRAMA!Q116</f>
        <v>44</v>
      </c>
      <c r="J32" s="87">
        <v>46</v>
      </c>
      <c r="K32" s="86">
        <v>49</v>
      </c>
      <c r="L32" s="86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2" t="s">
        <v>61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 spans="1:24" x14ac:dyDescent="0.25">
      <c r="A35" s="84" t="s">
        <v>50</v>
      </c>
      <c r="B35" s="85">
        <v>45992</v>
      </c>
      <c r="C35" s="85">
        <v>46023</v>
      </c>
      <c r="D35" s="85">
        <v>46054</v>
      </c>
      <c r="E35" s="85">
        <v>46082</v>
      </c>
      <c r="F35" s="85">
        <v>46113</v>
      </c>
      <c r="G35" s="85">
        <v>46143</v>
      </c>
      <c r="H35" s="85">
        <v>46174</v>
      </c>
      <c r="I35" s="85">
        <v>46204</v>
      </c>
      <c r="J35" s="85">
        <v>46235</v>
      </c>
      <c r="K35" s="85">
        <v>46266</v>
      </c>
      <c r="L35" s="85">
        <v>46296</v>
      </c>
      <c r="M35" s="85">
        <v>46327</v>
      </c>
      <c r="N35" s="85">
        <v>46357</v>
      </c>
      <c r="O35" s="85">
        <v>46388</v>
      </c>
      <c r="P35" s="85">
        <v>46419</v>
      </c>
      <c r="Q35" s="85">
        <v>46447</v>
      </c>
      <c r="R35" s="85">
        <v>46478</v>
      </c>
      <c r="S35" s="85">
        <v>46508</v>
      </c>
      <c r="T35" s="85">
        <v>46539</v>
      </c>
      <c r="U35" s="85">
        <v>46569</v>
      </c>
      <c r="V35" s="85">
        <v>46600</v>
      </c>
      <c r="W35" s="85">
        <v>46631</v>
      </c>
      <c r="X35" s="85">
        <v>46661</v>
      </c>
    </row>
    <row r="36" spans="1:24" x14ac:dyDescent="0.25">
      <c r="A36" s="7" t="s">
        <v>51</v>
      </c>
      <c r="B36" s="86">
        <v>0</v>
      </c>
      <c r="C36" s="86">
        <v>4</v>
      </c>
      <c r="D36" s="86">
        <v>20</v>
      </c>
      <c r="E36" s="86">
        <v>32</v>
      </c>
      <c r="F36" s="86">
        <v>34</v>
      </c>
      <c r="G36" s="86">
        <v>34</v>
      </c>
      <c r="H36" s="86">
        <v>34</v>
      </c>
      <c r="I36" s="86">
        <v>34</v>
      </c>
      <c r="J36" s="86">
        <v>34</v>
      </c>
      <c r="K36" s="86">
        <v>34</v>
      </c>
      <c r="L36" s="86">
        <v>34</v>
      </c>
      <c r="M36" s="86">
        <v>34</v>
      </c>
      <c r="N36" s="86">
        <v>34</v>
      </c>
      <c r="O36" s="86">
        <v>34</v>
      </c>
      <c r="P36" s="86">
        <v>34</v>
      </c>
      <c r="Q36" s="86">
        <v>35</v>
      </c>
      <c r="R36" s="86">
        <v>35</v>
      </c>
      <c r="S36" s="86">
        <v>35</v>
      </c>
      <c r="T36" s="86">
        <v>35</v>
      </c>
      <c r="U36" s="86">
        <v>35</v>
      </c>
      <c r="V36" s="86">
        <v>35</v>
      </c>
      <c r="W36" s="86">
        <v>32</v>
      </c>
      <c r="X36" s="86">
        <v>15</v>
      </c>
    </row>
    <row r="37" spans="1:24" x14ac:dyDescent="0.25">
      <c r="A37" s="7" t="s">
        <v>55</v>
      </c>
      <c r="B37" s="86">
        <f>[1]HISTOGRAMA!C90</f>
        <v>0</v>
      </c>
      <c r="C37" s="86">
        <f>[1]HISTOGRAMA!E90</f>
        <v>13</v>
      </c>
      <c r="D37" s="86">
        <f>[1]HISTOGRAMA!G90</f>
        <v>25</v>
      </c>
      <c r="E37" s="86">
        <f>[1]HISTOGRAMA!I90</f>
        <v>25</v>
      </c>
      <c r="F37" s="86">
        <f>[1]HISTOGRAMA!K90</f>
        <v>38</v>
      </c>
      <c r="G37" s="86">
        <f>[1]HISTOGRAMA!M90</f>
        <v>41</v>
      </c>
      <c r="H37" s="86">
        <f>[1]HISTOGRAMA!O90</f>
        <v>42</v>
      </c>
      <c r="I37" s="86">
        <f>[1]HISTOGRAMA!Q90</f>
        <v>47</v>
      </c>
      <c r="J37" s="87">
        <v>48</v>
      </c>
      <c r="K37" s="87">
        <v>46</v>
      </c>
      <c r="L37" s="87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3" workbookViewId="0">
      <pane xSplit="1" topLeftCell="N1" activePane="topRight" state="frozen"/>
      <selection pane="topRight" activeCell="U116" sqref="U116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8" t="s">
        <v>62</v>
      </c>
      <c r="B1" s="89">
        <v>45992</v>
      </c>
      <c r="C1" s="90"/>
      <c r="D1" s="89">
        <v>46023</v>
      </c>
      <c r="E1" s="90"/>
      <c r="F1" s="89">
        <v>46054</v>
      </c>
      <c r="G1" s="90"/>
      <c r="H1" s="89">
        <v>46082</v>
      </c>
      <c r="I1" s="90"/>
      <c r="J1" s="89">
        <v>46113</v>
      </c>
      <c r="K1" s="90"/>
      <c r="L1" s="89">
        <v>46143</v>
      </c>
      <c r="M1" s="90"/>
      <c r="N1" s="89">
        <v>46174</v>
      </c>
      <c r="O1" s="90"/>
      <c r="P1" s="89">
        <v>46204</v>
      </c>
      <c r="Q1" s="90"/>
      <c r="R1" s="89">
        <v>46235</v>
      </c>
      <c r="S1" s="90"/>
      <c r="T1" s="89">
        <v>46266</v>
      </c>
      <c r="U1" s="90"/>
      <c r="V1" s="89">
        <v>46296</v>
      </c>
      <c r="W1" s="90"/>
      <c r="X1" s="89">
        <v>46327</v>
      </c>
      <c r="Y1" s="90"/>
      <c r="Z1" s="89">
        <v>46357</v>
      </c>
      <c r="AA1" s="90"/>
      <c r="AB1" s="89">
        <v>46388</v>
      </c>
      <c r="AC1" s="90"/>
      <c r="AD1" s="89">
        <v>46419</v>
      </c>
      <c r="AE1" s="90"/>
      <c r="AF1" s="89">
        <v>46447</v>
      </c>
      <c r="AG1" s="90"/>
      <c r="AH1" s="89">
        <v>46478</v>
      </c>
      <c r="AI1" s="90"/>
      <c r="AJ1" s="89">
        <v>46508</v>
      </c>
      <c r="AK1" s="90"/>
      <c r="AL1" s="89">
        <v>46539</v>
      </c>
      <c r="AM1" s="90"/>
      <c r="AN1" s="89">
        <v>46569</v>
      </c>
      <c r="AO1" s="90"/>
      <c r="AP1" s="89">
        <v>46600</v>
      </c>
      <c r="AQ1" s="90"/>
      <c r="AR1" s="89">
        <v>46631</v>
      </c>
      <c r="AS1" s="90"/>
      <c r="AT1" s="89">
        <v>46661</v>
      </c>
      <c r="AU1" s="91"/>
      <c r="AV1" s="92">
        <v>45992</v>
      </c>
      <c r="AW1" s="93">
        <v>46023</v>
      </c>
      <c r="AX1" s="93">
        <v>46054</v>
      </c>
      <c r="AY1" s="93">
        <v>46082</v>
      </c>
      <c r="AZ1" s="93">
        <v>46113</v>
      </c>
      <c r="BA1" s="93">
        <v>46143</v>
      </c>
      <c r="BB1" s="93">
        <v>46174</v>
      </c>
      <c r="BC1" s="93">
        <v>46204</v>
      </c>
      <c r="BD1" s="93">
        <v>46235</v>
      </c>
      <c r="BE1" s="93">
        <v>46266</v>
      </c>
      <c r="BF1" s="93">
        <v>46296</v>
      </c>
      <c r="BG1" s="93">
        <v>46327</v>
      </c>
      <c r="BH1" s="93">
        <v>46357</v>
      </c>
      <c r="BI1" s="93">
        <v>46388</v>
      </c>
      <c r="BJ1" s="93">
        <v>46419</v>
      </c>
      <c r="BK1" s="93">
        <v>46447</v>
      </c>
      <c r="BL1" s="93">
        <v>46478</v>
      </c>
      <c r="BM1" s="93">
        <v>46508</v>
      </c>
      <c r="BN1" s="93">
        <v>46539</v>
      </c>
      <c r="BO1" s="93">
        <v>46569</v>
      </c>
      <c r="BP1" s="93">
        <v>46600</v>
      </c>
      <c r="BQ1" s="93">
        <v>46631</v>
      </c>
      <c r="BR1" s="94">
        <v>46661</v>
      </c>
    </row>
    <row r="2" spans="1:70" x14ac:dyDescent="0.25">
      <c r="A2" s="95"/>
      <c r="B2" s="96" t="s">
        <v>63</v>
      </c>
      <c r="C2" s="97" t="s">
        <v>64</v>
      </c>
      <c r="D2" s="96" t="s">
        <v>63</v>
      </c>
      <c r="E2" s="97" t="s">
        <v>64</v>
      </c>
      <c r="F2" s="96" t="s">
        <v>63</v>
      </c>
      <c r="G2" s="97" t="s">
        <v>64</v>
      </c>
      <c r="H2" s="96" t="s">
        <v>63</v>
      </c>
      <c r="I2" s="97" t="s">
        <v>64</v>
      </c>
      <c r="J2" s="96" t="s">
        <v>63</v>
      </c>
      <c r="K2" s="97" t="s">
        <v>64</v>
      </c>
      <c r="L2" s="96" t="s">
        <v>63</v>
      </c>
      <c r="M2" s="97" t="s">
        <v>64</v>
      </c>
      <c r="N2" s="96" t="s">
        <v>63</v>
      </c>
      <c r="O2" s="97" t="s">
        <v>64</v>
      </c>
      <c r="P2" s="96" t="s">
        <v>63</v>
      </c>
      <c r="Q2" s="97" t="s">
        <v>64</v>
      </c>
      <c r="R2" s="96" t="s">
        <v>63</v>
      </c>
      <c r="S2" s="97" t="s">
        <v>64</v>
      </c>
      <c r="T2" s="96" t="s">
        <v>63</v>
      </c>
      <c r="U2" s="97" t="s">
        <v>64</v>
      </c>
      <c r="V2" s="96" t="s">
        <v>63</v>
      </c>
      <c r="W2" s="97" t="s">
        <v>64</v>
      </c>
      <c r="X2" s="96" t="s">
        <v>63</v>
      </c>
      <c r="Y2" s="97" t="s">
        <v>64</v>
      </c>
      <c r="Z2" s="96" t="s">
        <v>63</v>
      </c>
      <c r="AA2" s="97" t="s">
        <v>64</v>
      </c>
      <c r="AB2" s="96" t="s">
        <v>63</v>
      </c>
      <c r="AC2" s="97" t="s">
        <v>64</v>
      </c>
      <c r="AD2" s="96" t="s">
        <v>63</v>
      </c>
      <c r="AE2" s="97" t="s">
        <v>64</v>
      </c>
      <c r="AF2" s="96" t="s">
        <v>63</v>
      </c>
      <c r="AG2" s="97" t="s">
        <v>64</v>
      </c>
      <c r="AH2" s="96" t="s">
        <v>63</v>
      </c>
      <c r="AI2" s="97" t="s">
        <v>64</v>
      </c>
      <c r="AJ2" s="96" t="s">
        <v>63</v>
      </c>
      <c r="AK2" s="97" t="s">
        <v>64</v>
      </c>
      <c r="AL2" s="96" t="s">
        <v>63</v>
      </c>
      <c r="AM2" s="97" t="s">
        <v>64</v>
      </c>
      <c r="AN2" s="96" t="s">
        <v>63</v>
      </c>
      <c r="AO2" s="97" t="s">
        <v>64</v>
      </c>
      <c r="AP2" s="96" t="s">
        <v>63</v>
      </c>
      <c r="AQ2" s="97" t="s">
        <v>64</v>
      </c>
      <c r="AR2" s="96" t="s">
        <v>63</v>
      </c>
      <c r="AS2" s="97" t="s">
        <v>64</v>
      </c>
      <c r="AT2" s="96" t="s">
        <v>63</v>
      </c>
      <c r="AU2" s="98" t="s">
        <v>64</v>
      </c>
      <c r="AV2" s="99" t="s">
        <v>65</v>
      </c>
      <c r="AW2" s="96" t="s">
        <v>65</v>
      </c>
      <c r="AX2" s="96" t="s">
        <v>65</v>
      </c>
      <c r="AY2" s="96" t="s">
        <v>65</v>
      </c>
      <c r="AZ2" s="96" t="s">
        <v>65</v>
      </c>
      <c r="BA2" s="96" t="s">
        <v>65</v>
      </c>
      <c r="BB2" s="96" t="s">
        <v>65</v>
      </c>
      <c r="BC2" s="96" t="s">
        <v>65</v>
      </c>
      <c r="BD2" s="96" t="s">
        <v>65</v>
      </c>
      <c r="BE2" s="96" t="s">
        <v>65</v>
      </c>
      <c r="BF2" s="96" t="s">
        <v>65</v>
      </c>
      <c r="BG2" s="96" t="s">
        <v>65</v>
      </c>
      <c r="BH2" s="96" t="s">
        <v>65</v>
      </c>
      <c r="BI2" s="96" t="s">
        <v>65</v>
      </c>
      <c r="BJ2" s="96" t="s">
        <v>65</v>
      </c>
      <c r="BK2" s="96" t="s">
        <v>65</v>
      </c>
      <c r="BL2" s="96" t="s">
        <v>65</v>
      </c>
      <c r="BM2" s="96" t="s">
        <v>65</v>
      </c>
      <c r="BN2" s="96" t="s">
        <v>65</v>
      </c>
      <c r="BO2" s="96" t="s">
        <v>65</v>
      </c>
      <c r="BP2" s="96" t="s">
        <v>65</v>
      </c>
      <c r="BQ2" s="96" t="s">
        <v>65</v>
      </c>
      <c r="BR2" s="100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>
        <v>1</v>
      </c>
      <c r="V3" s="9">
        <v>5</v>
      </c>
      <c r="W3" s="10"/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1" t="s">
        <v>67</v>
      </c>
      <c r="B4" s="102">
        <v>8</v>
      </c>
      <c r="C4" s="103">
        <v>0</v>
      </c>
      <c r="D4" s="102">
        <v>46</v>
      </c>
      <c r="E4" s="103">
        <v>34</v>
      </c>
      <c r="F4" s="102">
        <v>79</v>
      </c>
      <c r="G4" s="103">
        <v>37</v>
      </c>
      <c r="H4" s="102">
        <v>95</v>
      </c>
      <c r="I4" s="103">
        <v>38</v>
      </c>
      <c r="J4" s="102">
        <v>96</v>
      </c>
      <c r="K4" s="103">
        <v>42</v>
      </c>
      <c r="L4" s="102">
        <v>96</v>
      </c>
      <c r="M4" s="103">
        <v>45</v>
      </c>
      <c r="N4" s="102">
        <v>96</v>
      </c>
      <c r="O4" s="103">
        <v>41</v>
      </c>
      <c r="P4" s="102">
        <v>96</v>
      </c>
      <c r="Q4" s="103">
        <v>53</v>
      </c>
      <c r="R4" s="102">
        <v>96</v>
      </c>
      <c r="S4" s="64">
        <v>54</v>
      </c>
      <c r="T4" s="102">
        <v>96</v>
      </c>
      <c r="U4" s="103">
        <v>49</v>
      </c>
      <c r="V4" s="102">
        <v>96</v>
      </c>
      <c r="W4" s="103"/>
      <c r="X4" s="102">
        <v>96</v>
      </c>
      <c r="Y4" s="103"/>
      <c r="Z4" s="102">
        <v>96</v>
      </c>
      <c r="AA4" s="103"/>
      <c r="AB4" s="102">
        <v>96</v>
      </c>
      <c r="AC4" s="103"/>
      <c r="AD4" s="102">
        <v>96</v>
      </c>
      <c r="AE4" s="103"/>
      <c r="AF4" s="102">
        <v>96</v>
      </c>
      <c r="AG4" s="103"/>
      <c r="AH4" s="102">
        <v>96</v>
      </c>
      <c r="AI4" s="103"/>
      <c r="AJ4" s="102">
        <v>96</v>
      </c>
      <c r="AK4" s="103"/>
      <c r="AL4" s="102">
        <v>96</v>
      </c>
      <c r="AM4" s="103"/>
      <c r="AN4" s="102">
        <v>96</v>
      </c>
      <c r="AO4" s="103"/>
      <c r="AP4" s="102">
        <v>96</v>
      </c>
      <c r="AQ4" s="103"/>
      <c r="AR4" s="102">
        <v>85</v>
      </c>
      <c r="AS4" s="103"/>
      <c r="AT4" s="102">
        <v>37</v>
      </c>
      <c r="AU4" s="104"/>
      <c r="AV4" s="105">
        <f t="shared" ref="AV4:AV32" si="0">C4-B4</f>
        <v>-8</v>
      </c>
      <c r="AW4" s="103">
        <f t="shared" ref="AW4:AW32" si="1">E4-D4</f>
        <v>-12</v>
      </c>
      <c r="AX4" s="103">
        <f t="shared" ref="AX4:AX32" si="2">G4-F4</f>
        <v>-42</v>
      </c>
      <c r="AY4" s="103">
        <f t="shared" ref="AY4:AY32" si="3">I4-H4</f>
        <v>-57</v>
      </c>
      <c r="AZ4" s="103">
        <f t="shared" ref="AZ4:AZ32" si="4">K4-J4</f>
        <v>-54</v>
      </c>
      <c r="BA4" s="103">
        <f t="shared" ref="BA4:BA32" si="5">M4-L4</f>
        <v>-51</v>
      </c>
      <c r="BB4" s="103">
        <f t="shared" ref="BB4:BB32" si="6">O4-N4</f>
        <v>-55</v>
      </c>
      <c r="BC4" s="103">
        <f t="shared" ref="BC4:BC32" si="7">Q4-P4</f>
        <v>-43</v>
      </c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4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1" t="s">
        <v>69</v>
      </c>
      <c r="B6" s="102">
        <v>0</v>
      </c>
      <c r="C6" s="103">
        <v>0</v>
      </c>
      <c r="D6" s="102">
        <v>0</v>
      </c>
      <c r="E6" s="103">
        <v>0</v>
      </c>
      <c r="F6" s="102">
        <v>1</v>
      </c>
      <c r="G6" s="103">
        <v>0</v>
      </c>
      <c r="H6" s="102">
        <v>2</v>
      </c>
      <c r="I6" s="103">
        <v>0</v>
      </c>
      <c r="J6" s="102">
        <v>3</v>
      </c>
      <c r="K6" s="103">
        <v>0</v>
      </c>
      <c r="L6" s="102">
        <v>3</v>
      </c>
      <c r="M6" s="103">
        <v>0</v>
      </c>
      <c r="N6" s="102">
        <v>3</v>
      </c>
      <c r="O6" s="103">
        <v>2</v>
      </c>
      <c r="P6" s="102">
        <v>3</v>
      </c>
      <c r="Q6" s="103">
        <v>0</v>
      </c>
      <c r="R6" s="102">
        <v>3</v>
      </c>
      <c r="S6" s="64">
        <v>2</v>
      </c>
      <c r="T6" s="102">
        <v>3</v>
      </c>
      <c r="U6" s="103">
        <v>2</v>
      </c>
      <c r="V6" s="102">
        <v>3</v>
      </c>
      <c r="W6" s="103"/>
      <c r="X6" s="102">
        <v>2</v>
      </c>
      <c r="Y6" s="103"/>
      <c r="Z6" s="102">
        <v>2</v>
      </c>
      <c r="AA6" s="103"/>
      <c r="AB6" s="102">
        <v>2</v>
      </c>
      <c r="AC6" s="103"/>
      <c r="AD6" s="102">
        <v>3</v>
      </c>
      <c r="AE6" s="103"/>
      <c r="AF6" s="102">
        <v>3</v>
      </c>
      <c r="AG6" s="103"/>
      <c r="AH6" s="102">
        <v>3</v>
      </c>
      <c r="AI6" s="103"/>
      <c r="AJ6" s="102">
        <v>3</v>
      </c>
      <c r="AK6" s="103"/>
      <c r="AL6" s="102">
        <v>3</v>
      </c>
      <c r="AM6" s="103"/>
      <c r="AN6" s="102">
        <v>3</v>
      </c>
      <c r="AO6" s="103"/>
      <c r="AP6" s="102">
        <v>3</v>
      </c>
      <c r="AQ6" s="103"/>
      <c r="AR6" s="102">
        <v>2</v>
      </c>
      <c r="AS6" s="103"/>
      <c r="AT6" s="102">
        <v>1</v>
      </c>
      <c r="AU6" s="104"/>
      <c r="AV6" s="105">
        <f t="shared" si="0"/>
        <v>0</v>
      </c>
      <c r="AW6" s="103">
        <f t="shared" si="1"/>
        <v>0</v>
      </c>
      <c r="AX6" s="103">
        <f t="shared" si="2"/>
        <v>-1</v>
      </c>
      <c r="AY6" s="103">
        <f t="shared" si="3"/>
        <v>-2</v>
      </c>
      <c r="AZ6" s="103">
        <f t="shared" si="4"/>
        <v>-3</v>
      </c>
      <c r="BA6" s="103">
        <f t="shared" si="5"/>
        <v>-3</v>
      </c>
      <c r="BB6" s="103">
        <f t="shared" si="6"/>
        <v>-1</v>
      </c>
      <c r="BC6" s="103">
        <f t="shared" si="7"/>
        <v>-3</v>
      </c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4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>
        <v>6</v>
      </c>
      <c r="V7" s="12">
        <v>8</v>
      </c>
      <c r="W7" s="13"/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1" t="s">
        <v>71</v>
      </c>
      <c r="B8" s="102">
        <v>1</v>
      </c>
      <c r="C8" s="103">
        <v>0</v>
      </c>
      <c r="D8" s="102">
        <v>2</v>
      </c>
      <c r="E8" s="103">
        <v>5</v>
      </c>
      <c r="F8" s="102">
        <v>4</v>
      </c>
      <c r="G8" s="103">
        <v>5</v>
      </c>
      <c r="H8" s="102">
        <v>4</v>
      </c>
      <c r="I8" s="103">
        <v>5</v>
      </c>
      <c r="J8" s="102">
        <v>4</v>
      </c>
      <c r="K8" s="103">
        <v>5</v>
      </c>
      <c r="L8" s="102">
        <v>4</v>
      </c>
      <c r="M8" s="103">
        <v>5</v>
      </c>
      <c r="N8" s="102">
        <v>4</v>
      </c>
      <c r="O8" s="103">
        <v>5</v>
      </c>
      <c r="P8" s="102">
        <v>4</v>
      </c>
      <c r="Q8" s="103">
        <v>5</v>
      </c>
      <c r="R8" s="102">
        <v>4</v>
      </c>
      <c r="S8" s="64">
        <v>5</v>
      </c>
      <c r="T8" s="102">
        <v>4</v>
      </c>
      <c r="U8" s="103">
        <v>5</v>
      </c>
      <c r="V8" s="102">
        <v>4</v>
      </c>
      <c r="W8" s="103"/>
      <c r="X8" s="102">
        <v>4</v>
      </c>
      <c r="Y8" s="103"/>
      <c r="Z8" s="102">
        <v>4</v>
      </c>
      <c r="AA8" s="103"/>
      <c r="AB8" s="102">
        <v>4</v>
      </c>
      <c r="AC8" s="103"/>
      <c r="AD8" s="102">
        <v>4</v>
      </c>
      <c r="AE8" s="103"/>
      <c r="AF8" s="102">
        <v>4</v>
      </c>
      <c r="AG8" s="103"/>
      <c r="AH8" s="102">
        <v>4</v>
      </c>
      <c r="AI8" s="103"/>
      <c r="AJ8" s="102">
        <v>4</v>
      </c>
      <c r="AK8" s="103"/>
      <c r="AL8" s="102">
        <v>4</v>
      </c>
      <c r="AM8" s="103"/>
      <c r="AN8" s="102">
        <v>4</v>
      </c>
      <c r="AO8" s="103"/>
      <c r="AP8" s="102">
        <v>4</v>
      </c>
      <c r="AQ8" s="103"/>
      <c r="AR8" s="102">
        <v>3.5</v>
      </c>
      <c r="AS8" s="103"/>
      <c r="AT8" s="102">
        <v>1.5</v>
      </c>
      <c r="AU8" s="104"/>
      <c r="AV8" s="105">
        <f t="shared" si="0"/>
        <v>-1</v>
      </c>
      <c r="AW8" s="103">
        <f t="shared" si="1"/>
        <v>3</v>
      </c>
      <c r="AX8" s="103">
        <f t="shared" si="2"/>
        <v>1</v>
      </c>
      <c r="AY8" s="103">
        <f t="shared" si="3"/>
        <v>1</v>
      </c>
      <c r="AZ8" s="103">
        <f t="shared" si="4"/>
        <v>1</v>
      </c>
      <c r="BA8" s="103">
        <f t="shared" si="5"/>
        <v>1</v>
      </c>
      <c r="BB8" s="103">
        <f t="shared" si="6"/>
        <v>1</v>
      </c>
      <c r="BC8" s="103">
        <f t="shared" si="7"/>
        <v>1</v>
      </c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4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>
        <v>4</v>
      </c>
      <c r="V9" s="12">
        <v>5</v>
      </c>
      <c r="W9" s="13"/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1" t="s">
        <v>73</v>
      </c>
      <c r="B10" s="102">
        <v>0</v>
      </c>
      <c r="C10" s="103">
        <v>0</v>
      </c>
      <c r="D10" s="102">
        <v>0</v>
      </c>
      <c r="E10" s="103">
        <v>0</v>
      </c>
      <c r="F10" s="102">
        <v>1</v>
      </c>
      <c r="G10" s="103">
        <v>0</v>
      </c>
      <c r="H10" s="102">
        <v>1</v>
      </c>
      <c r="I10" s="103">
        <v>0</v>
      </c>
      <c r="J10" s="102">
        <v>1</v>
      </c>
      <c r="K10" s="103">
        <v>0</v>
      </c>
      <c r="L10" s="102">
        <v>1</v>
      </c>
      <c r="M10" s="103">
        <v>0</v>
      </c>
      <c r="N10" s="102">
        <v>1</v>
      </c>
      <c r="O10" s="103">
        <v>1</v>
      </c>
      <c r="P10" s="102">
        <v>1</v>
      </c>
      <c r="Q10" s="103">
        <v>1</v>
      </c>
      <c r="R10" s="102">
        <v>1</v>
      </c>
      <c r="S10" s="64">
        <v>1</v>
      </c>
      <c r="T10" s="102">
        <v>1</v>
      </c>
      <c r="U10" s="103">
        <v>1</v>
      </c>
      <c r="V10" s="102">
        <v>1</v>
      </c>
      <c r="W10" s="103"/>
      <c r="X10" s="102">
        <v>1</v>
      </c>
      <c r="Y10" s="103"/>
      <c r="Z10" s="102">
        <v>1</v>
      </c>
      <c r="AA10" s="103"/>
      <c r="AB10" s="102">
        <v>1</v>
      </c>
      <c r="AC10" s="103"/>
      <c r="AD10" s="102">
        <v>1</v>
      </c>
      <c r="AE10" s="103"/>
      <c r="AF10" s="102">
        <v>1</v>
      </c>
      <c r="AG10" s="103"/>
      <c r="AH10" s="102">
        <v>1</v>
      </c>
      <c r="AI10" s="103"/>
      <c r="AJ10" s="102">
        <v>1</v>
      </c>
      <c r="AK10" s="103"/>
      <c r="AL10" s="102">
        <v>1</v>
      </c>
      <c r="AM10" s="103"/>
      <c r="AN10" s="102">
        <v>1</v>
      </c>
      <c r="AO10" s="103"/>
      <c r="AP10" s="102">
        <v>1</v>
      </c>
      <c r="AQ10" s="103"/>
      <c r="AR10" s="102">
        <v>1</v>
      </c>
      <c r="AS10" s="103"/>
      <c r="AT10" s="102">
        <v>0.5</v>
      </c>
      <c r="AU10" s="104"/>
      <c r="AV10" s="105">
        <f t="shared" si="0"/>
        <v>0</v>
      </c>
      <c r="AW10" s="103">
        <f t="shared" si="1"/>
        <v>0</v>
      </c>
      <c r="AX10" s="103">
        <f t="shared" si="2"/>
        <v>-1</v>
      </c>
      <c r="AY10" s="103">
        <f t="shared" si="3"/>
        <v>-1</v>
      </c>
      <c r="AZ10" s="103">
        <f t="shared" si="4"/>
        <v>-1</v>
      </c>
      <c r="BA10" s="103">
        <f t="shared" si="5"/>
        <v>-1</v>
      </c>
      <c r="BB10" s="103">
        <f t="shared" si="6"/>
        <v>0</v>
      </c>
      <c r="BC10" s="103">
        <f t="shared" si="7"/>
        <v>0</v>
      </c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4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1" t="s">
        <v>75</v>
      </c>
      <c r="B12" s="102">
        <v>0</v>
      </c>
      <c r="C12" s="103">
        <v>0</v>
      </c>
      <c r="D12" s="102">
        <v>1</v>
      </c>
      <c r="E12" s="103">
        <v>0</v>
      </c>
      <c r="F12" s="102">
        <v>3</v>
      </c>
      <c r="G12" s="103">
        <v>0</v>
      </c>
      <c r="H12" s="102">
        <v>3</v>
      </c>
      <c r="I12" s="103">
        <v>0</v>
      </c>
      <c r="J12" s="102">
        <v>3</v>
      </c>
      <c r="K12" s="103">
        <v>0</v>
      </c>
      <c r="L12" s="102">
        <v>3</v>
      </c>
      <c r="M12" s="103">
        <v>0</v>
      </c>
      <c r="N12" s="102">
        <v>3</v>
      </c>
      <c r="O12" s="103">
        <v>0</v>
      </c>
      <c r="P12" s="102">
        <v>3</v>
      </c>
      <c r="Q12" s="103">
        <v>0</v>
      </c>
      <c r="R12" s="102">
        <v>3</v>
      </c>
      <c r="S12" s="64"/>
      <c r="T12" s="102">
        <v>3</v>
      </c>
      <c r="U12" s="103">
        <v>3</v>
      </c>
      <c r="V12" s="102">
        <v>3</v>
      </c>
      <c r="W12" s="103"/>
      <c r="X12" s="102">
        <v>3</v>
      </c>
      <c r="Y12" s="103"/>
      <c r="Z12" s="102">
        <v>3</v>
      </c>
      <c r="AA12" s="103"/>
      <c r="AB12" s="102">
        <v>3</v>
      </c>
      <c r="AC12" s="103"/>
      <c r="AD12" s="102">
        <v>3</v>
      </c>
      <c r="AE12" s="103"/>
      <c r="AF12" s="102">
        <v>3</v>
      </c>
      <c r="AG12" s="103"/>
      <c r="AH12" s="102">
        <v>3</v>
      </c>
      <c r="AI12" s="103"/>
      <c r="AJ12" s="102">
        <v>3</v>
      </c>
      <c r="AK12" s="103"/>
      <c r="AL12" s="102">
        <v>3</v>
      </c>
      <c r="AM12" s="103"/>
      <c r="AN12" s="102">
        <v>3</v>
      </c>
      <c r="AO12" s="103"/>
      <c r="AP12" s="102">
        <v>3</v>
      </c>
      <c r="AQ12" s="103"/>
      <c r="AR12" s="102">
        <v>3</v>
      </c>
      <c r="AS12" s="103"/>
      <c r="AT12" s="102">
        <v>1.5</v>
      </c>
      <c r="AU12" s="104"/>
      <c r="AV12" s="105">
        <f t="shared" si="0"/>
        <v>0</v>
      </c>
      <c r="AW12" s="103">
        <f t="shared" si="1"/>
        <v>-1</v>
      </c>
      <c r="AX12" s="103">
        <f t="shared" si="2"/>
        <v>-3</v>
      </c>
      <c r="AY12" s="103">
        <f t="shared" si="3"/>
        <v>-3</v>
      </c>
      <c r="AZ12" s="103">
        <f t="shared" si="4"/>
        <v>-3</v>
      </c>
      <c r="BA12" s="103">
        <f t="shared" si="5"/>
        <v>-3</v>
      </c>
      <c r="BB12" s="103">
        <f t="shared" si="6"/>
        <v>-3</v>
      </c>
      <c r="BC12" s="103">
        <f t="shared" si="7"/>
        <v>-3</v>
      </c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4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>
        <v>5</v>
      </c>
      <c r="V13" s="12">
        <v>5</v>
      </c>
      <c r="W13" s="13"/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1" t="s">
        <v>77</v>
      </c>
      <c r="B14" s="102">
        <v>0</v>
      </c>
      <c r="C14" s="103">
        <v>0</v>
      </c>
      <c r="D14" s="102">
        <v>0</v>
      </c>
      <c r="E14" s="103">
        <v>0</v>
      </c>
      <c r="F14" s="102">
        <v>2</v>
      </c>
      <c r="G14" s="103">
        <v>0</v>
      </c>
      <c r="H14" s="102">
        <v>2</v>
      </c>
      <c r="I14" s="103">
        <v>0</v>
      </c>
      <c r="J14" s="102">
        <v>2</v>
      </c>
      <c r="K14" s="103">
        <v>1</v>
      </c>
      <c r="L14" s="102">
        <v>2</v>
      </c>
      <c r="M14" s="103">
        <v>1</v>
      </c>
      <c r="N14" s="102">
        <v>2</v>
      </c>
      <c r="O14" s="103">
        <v>1</v>
      </c>
      <c r="P14" s="102">
        <v>2</v>
      </c>
      <c r="Q14" s="103">
        <v>1</v>
      </c>
      <c r="R14" s="102">
        <v>2</v>
      </c>
      <c r="S14" s="64">
        <v>1</v>
      </c>
      <c r="T14" s="102">
        <v>2</v>
      </c>
      <c r="U14" s="103">
        <v>1</v>
      </c>
      <c r="V14" s="102">
        <v>2</v>
      </c>
      <c r="W14" s="103"/>
      <c r="X14" s="102">
        <v>2</v>
      </c>
      <c r="Y14" s="103"/>
      <c r="Z14" s="102">
        <v>2</v>
      </c>
      <c r="AA14" s="103"/>
      <c r="AB14" s="102">
        <v>2</v>
      </c>
      <c r="AC14" s="103"/>
      <c r="AD14" s="102">
        <v>2</v>
      </c>
      <c r="AE14" s="103"/>
      <c r="AF14" s="102">
        <v>2</v>
      </c>
      <c r="AG14" s="103"/>
      <c r="AH14" s="102">
        <v>2</v>
      </c>
      <c r="AI14" s="103"/>
      <c r="AJ14" s="102">
        <v>2</v>
      </c>
      <c r="AK14" s="103"/>
      <c r="AL14" s="102">
        <v>2</v>
      </c>
      <c r="AM14" s="103"/>
      <c r="AN14" s="102">
        <v>2</v>
      </c>
      <c r="AO14" s="103"/>
      <c r="AP14" s="102">
        <v>2</v>
      </c>
      <c r="AQ14" s="103"/>
      <c r="AR14" s="102">
        <v>2</v>
      </c>
      <c r="AS14" s="103"/>
      <c r="AT14" s="102">
        <v>1.5</v>
      </c>
      <c r="AU14" s="104"/>
      <c r="AV14" s="105">
        <f t="shared" si="0"/>
        <v>0</v>
      </c>
      <c r="AW14" s="103">
        <f t="shared" si="1"/>
        <v>0</v>
      </c>
      <c r="AX14" s="103">
        <f t="shared" si="2"/>
        <v>-2</v>
      </c>
      <c r="AY14" s="103">
        <f t="shared" si="3"/>
        <v>-2</v>
      </c>
      <c r="AZ14" s="103">
        <f t="shared" si="4"/>
        <v>-1</v>
      </c>
      <c r="BA14" s="103">
        <f t="shared" si="5"/>
        <v>-1</v>
      </c>
      <c r="BB14" s="103">
        <f t="shared" si="6"/>
        <v>-1</v>
      </c>
      <c r="BC14" s="103">
        <f t="shared" si="7"/>
        <v>-1</v>
      </c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4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/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1" t="s">
        <v>79</v>
      </c>
      <c r="B16" s="102">
        <v>1</v>
      </c>
      <c r="C16" s="103">
        <v>0</v>
      </c>
      <c r="D16" s="102">
        <v>3</v>
      </c>
      <c r="E16" s="103">
        <v>1</v>
      </c>
      <c r="F16" s="102">
        <v>6</v>
      </c>
      <c r="G16" s="103">
        <v>1</v>
      </c>
      <c r="H16" s="102">
        <v>8</v>
      </c>
      <c r="I16" s="103">
        <v>3</v>
      </c>
      <c r="J16" s="102">
        <v>8</v>
      </c>
      <c r="K16" s="103">
        <v>3</v>
      </c>
      <c r="L16" s="102">
        <v>8</v>
      </c>
      <c r="M16" s="103">
        <v>8</v>
      </c>
      <c r="N16" s="102">
        <v>8</v>
      </c>
      <c r="O16" s="103">
        <v>8</v>
      </c>
      <c r="P16" s="102">
        <v>8</v>
      </c>
      <c r="Q16" s="103">
        <v>7</v>
      </c>
      <c r="R16" s="102">
        <v>8</v>
      </c>
      <c r="S16" s="64">
        <v>7</v>
      </c>
      <c r="T16" s="102">
        <v>8</v>
      </c>
      <c r="U16" s="103">
        <v>8</v>
      </c>
      <c r="V16" s="102">
        <v>8</v>
      </c>
      <c r="W16" s="103"/>
      <c r="X16" s="102">
        <v>8</v>
      </c>
      <c r="Y16" s="103"/>
      <c r="Z16" s="102">
        <v>8</v>
      </c>
      <c r="AA16" s="103"/>
      <c r="AB16" s="102">
        <v>8</v>
      </c>
      <c r="AC16" s="103"/>
      <c r="AD16" s="102">
        <v>8</v>
      </c>
      <c r="AE16" s="103"/>
      <c r="AF16" s="102">
        <v>8</v>
      </c>
      <c r="AG16" s="103"/>
      <c r="AH16" s="102">
        <v>8</v>
      </c>
      <c r="AI16" s="103"/>
      <c r="AJ16" s="102">
        <v>8</v>
      </c>
      <c r="AK16" s="103"/>
      <c r="AL16" s="102">
        <v>8</v>
      </c>
      <c r="AM16" s="103"/>
      <c r="AN16" s="102">
        <v>8</v>
      </c>
      <c r="AO16" s="103"/>
      <c r="AP16" s="102">
        <v>8</v>
      </c>
      <c r="AQ16" s="103"/>
      <c r="AR16" s="102">
        <v>8</v>
      </c>
      <c r="AS16" s="103"/>
      <c r="AT16" s="102">
        <v>4</v>
      </c>
      <c r="AU16" s="104"/>
      <c r="AV16" s="105">
        <f t="shared" si="0"/>
        <v>-1</v>
      </c>
      <c r="AW16" s="103">
        <f t="shared" si="1"/>
        <v>-2</v>
      </c>
      <c r="AX16" s="103">
        <f t="shared" si="2"/>
        <v>-5</v>
      </c>
      <c r="AY16" s="103">
        <f t="shared" si="3"/>
        <v>-5</v>
      </c>
      <c r="AZ16" s="103">
        <f t="shared" si="4"/>
        <v>-5</v>
      </c>
      <c r="BA16" s="103">
        <f t="shared" si="5"/>
        <v>0</v>
      </c>
      <c r="BB16" s="103">
        <f t="shared" si="6"/>
        <v>0</v>
      </c>
      <c r="BC16" s="103">
        <f t="shared" si="7"/>
        <v>-1</v>
      </c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4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>
        <v>63</v>
      </c>
      <c r="V17" s="12">
        <v>23</v>
      </c>
      <c r="W17" s="13"/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1" t="s">
        <v>81</v>
      </c>
      <c r="B18" s="102">
        <v>0</v>
      </c>
      <c r="C18" s="103">
        <v>0</v>
      </c>
      <c r="D18" s="102">
        <v>0</v>
      </c>
      <c r="E18" s="103">
        <v>3</v>
      </c>
      <c r="F18" s="102">
        <v>2</v>
      </c>
      <c r="G18" s="103">
        <v>3</v>
      </c>
      <c r="H18" s="102">
        <v>2</v>
      </c>
      <c r="I18" s="103">
        <v>3</v>
      </c>
      <c r="J18" s="102">
        <v>2</v>
      </c>
      <c r="K18" s="103">
        <v>3</v>
      </c>
      <c r="L18" s="102">
        <v>2</v>
      </c>
      <c r="M18" s="103">
        <v>7</v>
      </c>
      <c r="N18" s="102">
        <v>2</v>
      </c>
      <c r="O18" s="103">
        <v>2</v>
      </c>
      <c r="P18" s="102">
        <v>2</v>
      </c>
      <c r="Q18" s="103">
        <v>2</v>
      </c>
      <c r="R18" s="102">
        <v>2</v>
      </c>
      <c r="S18" s="64">
        <v>4</v>
      </c>
      <c r="T18" s="102">
        <v>2</v>
      </c>
      <c r="U18" s="103">
        <v>3</v>
      </c>
      <c r="V18" s="102">
        <v>2</v>
      </c>
      <c r="W18" s="103"/>
      <c r="X18" s="102">
        <v>2</v>
      </c>
      <c r="Y18" s="103"/>
      <c r="Z18" s="102">
        <v>2</v>
      </c>
      <c r="AA18" s="103"/>
      <c r="AB18" s="102">
        <v>2</v>
      </c>
      <c r="AC18" s="103"/>
      <c r="AD18" s="102">
        <v>2</v>
      </c>
      <c r="AE18" s="103"/>
      <c r="AF18" s="102">
        <v>2</v>
      </c>
      <c r="AG18" s="103"/>
      <c r="AH18" s="102">
        <v>2</v>
      </c>
      <c r="AI18" s="103"/>
      <c r="AJ18" s="102">
        <v>2</v>
      </c>
      <c r="AK18" s="103"/>
      <c r="AL18" s="102">
        <v>2</v>
      </c>
      <c r="AM18" s="103"/>
      <c r="AN18" s="102">
        <v>2</v>
      </c>
      <c r="AO18" s="103"/>
      <c r="AP18" s="102">
        <v>2</v>
      </c>
      <c r="AQ18" s="103"/>
      <c r="AR18" s="102">
        <v>2</v>
      </c>
      <c r="AS18" s="103"/>
      <c r="AT18" s="102">
        <v>2</v>
      </c>
      <c r="AU18" s="104"/>
      <c r="AV18" s="105">
        <f t="shared" si="0"/>
        <v>0</v>
      </c>
      <c r="AW18" s="103">
        <f t="shared" si="1"/>
        <v>3</v>
      </c>
      <c r="AX18" s="103">
        <f t="shared" si="2"/>
        <v>1</v>
      </c>
      <c r="AY18" s="103">
        <f t="shared" si="3"/>
        <v>1</v>
      </c>
      <c r="AZ18" s="103">
        <f t="shared" si="4"/>
        <v>1</v>
      </c>
      <c r="BA18" s="103">
        <f t="shared" si="5"/>
        <v>5</v>
      </c>
      <c r="BB18" s="103">
        <f t="shared" si="6"/>
        <v>0</v>
      </c>
      <c r="BC18" s="103">
        <f t="shared" si="7"/>
        <v>0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4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>
        <v>23</v>
      </c>
      <c r="V19" s="12">
        <v>22</v>
      </c>
      <c r="W19" s="13"/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1" t="s">
        <v>83</v>
      </c>
      <c r="B20" s="102">
        <v>0</v>
      </c>
      <c r="C20" s="103">
        <v>0</v>
      </c>
      <c r="D20" s="102">
        <v>9</v>
      </c>
      <c r="E20" s="103">
        <v>3</v>
      </c>
      <c r="F20" s="102">
        <v>18</v>
      </c>
      <c r="G20" s="103">
        <v>14</v>
      </c>
      <c r="H20" s="102">
        <v>18</v>
      </c>
      <c r="I20" s="103">
        <v>16</v>
      </c>
      <c r="J20" s="102">
        <v>18</v>
      </c>
      <c r="K20" s="103">
        <v>15</v>
      </c>
      <c r="L20" s="102">
        <v>18</v>
      </c>
      <c r="M20" s="103">
        <v>16</v>
      </c>
      <c r="N20" s="102">
        <v>18</v>
      </c>
      <c r="O20" s="103">
        <v>12</v>
      </c>
      <c r="P20" s="102">
        <v>18</v>
      </c>
      <c r="Q20" s="103">
        <v>13</v>
      </c>
      <c r="R20" s="102">
        <v>18</v>
      </c>
      <c r="S20" s="64">
        <v>17</v>
      </c>
      <c r="T20" s="102">
        <v>18</v>
      </c>
      <c r="U20" s="103">
        <v>19</v>
      </c>
      <c r="V20" s="102">
        <v>18</v>
      </c>
      <c r="W20" s="103"/>
      <c r="X20" s="102">
        <v>18</v>
      </c>
      <c r="Y20" s="103"/>
      <c r="Z20" s="102">
        <v>18</v>
      </c>
      <c r="AA20" s="103"/>
      <c r="AB20" s="102">
        <v>18</v>
      </c>
      <c r="AC20" s="103"/>
      <c r="AD20" s="102">
        <v>18</v>
      </c>
      <c r="AE20" s="103"/>
      <c r="AF20" s="102">
        <v>18</v>
      </c>
      <c r="AG20" s="103"/>
      <c r="AH20" s="102">
        <v>18</v>
      </c>
      <c r="AI20" s="103"/>
      <c r="AJ20" s="102">
        <v>18</v>
      </c>
      <c r="AK20" s="103"/>
      <c r="AL20" s="102">
        <v>18</v>
      </c>
      <c r="AM20" s="103"/>
      <c r="AN20" s="102">
        <v>18</v>
      </c>
      <c r="AO20" s="103"/>
      <c r="AP20" s="102">
        <v>18</v>
      </c>
      <c r="AQ20" s="103"/>
      <c r="AR20" s="102">
        <v>15.5</v>
      </c>
      <c r="AS20" s="103"/>
      <c r="AT20" s="102">
        <v>6.5</v>
      </c>
      <c r="AU20" s="104"/>
      <c r="AV20" s="105">
        <f t="shared" si="0"/>
        <v>0</v>
      </c>
      <c r="AW20" s="103">
        <f t="shared" si="1"/>
        <v>-6</v>
      </c>
      <c r="AX20" s="103">
        <f t="shared" si="2"/>
        <v>-4</v>
      </c>
      <c r="AY20" s="103">
        <f t="shared" si="3"/>
        <v>-2</v>
      </c>
      <c r="AZ20" s="103">
        <f t="shared" si="4"/>
        <v>-3</v>
      </c>
      <c r="BA20" s="103">
        <f t="shared" si="5"/>
        <v>-2</v>
      </c>
      <c r="BB20" s="103">
        <f t="shared" si="6"/>
        <v>-6</v>
      </c>
      <c r="BC20" s="103">
        <f t="shared" si="7"/>
        <v>-5</v>
      </c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4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>
        <v>3</v>
      </c>
      <c r="V21" s="12">
        <v>3</v>
      </c>
      <c r="W21" s="13"/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1" t="s">
        <v>85</v>
      </c>
      <c r="B22" s="102">
        <v>0</v>
      </c>
      <c r="C22" s="103">
        <v>0</v>
      </c>
      <c r="D22" s="102">
        <v>0</v>
      </c>
      <c r="E22" s="103">
        <v>0</v>
      </c>
      <c r="F22" s="102">
        <v>1</v>
      </c>
      <c r="G22" s="103">
        <v>0</v>
      </c>
      <c r="H22" s="102">
        <v>2</v>
      </c>
      <c r="I22" s="103">
        <v>0</v>
      </c>
      <c r="J22" s="102">
        <v>3</v>
      </c>
      <c r="K22" s="103">
        <v>0</v>
      </c>
      <c r="L22" s="102">
        <v>3</v>
      </c>
      <c r="M22" s="103">
        <v>1</v>
      </c>
      <c r="N22" s="102">
        <v>3</v>
      </c>
      <c r="O22" s="103">
        <v>9</v>
      </c>
      <c r="P22" s="102">
        <v>3</v>
      </c>
      <c r="Q22" s="103">
        <v>9</v>
      </c>
      <c r="R22" s="102">
        <v>3</v>
      </c>
      <c r="S22" s="64">
        <v>10</v>
      </c>
      <c r="T22" s="102">
        <v>3</v>
      </c>
      <c r="U22" s="103">
        <v>10</v>
      </c>
      <c r="V22" s="102">
        <v>3</v>
      </c>
      <c r="W22" s="103"/>
      <c r="X22" s="102">
        <v>2</v>
      </c>
      <c r="Y22" s="103"/>
      <c r="Z22" s="102">
        <v>2</v>
      </c>
      <c r="AA22" s="103"/>
      <c r="AB22" s="102">
        <v>2</v>
      </c>
      <c r="AC22" s="103"/>
      <c r="AD22" s="102">
        <v>3</v>
      </c>
      <c r="AE22" s="103"/>
      <c r="AF22" s="102">
        <v>3</v>
      </c>
      <c r="AG22" s="103"/>
      <c r="AH22" s="102">
        <v>3</v>
      </c>
      <c r="AI22" s="103"/>
      <c r="AJ22" s="102">
        <v>3</v>
      </c>
      <c r="AK22" s="103"/>
      <c r="AL22" s="102">
        <v>3</v>
      </c>
      <c r="AM22" s="103"/>
      <c r="AN22" s="102">
        <v>3</v>
      </c>
      <c r="AO22" s="103"/>
      <c r="AP22" s="102">
        <v>3</v>
      </c>
      <c r="AQ22" s="103"/>
      <c r="AR22" s="102">
        <v>2</v>
      </c>
      <c r="AS22" s="103"/>
      <c r="AT22" s="102">
        <v>1</v>
      </c>
      <c r="AU22" s="104"/>
      <c r="AV22" s="105">
        <f t="shared" si="0"/>
        <v>0</v>
      </c>
      <c r="AW22" s="103">
        <f t="shared" si="1"/>
        <v>0</v>
      </c>
      <c r="AX22" s="103">
        <f t="shared" si="2"/>
        <v>-1</v>
      </c>
      <c r="AY22" s="103">
        <f t="shared" si="3"/>
        <v>-2</v>
      </c>
      <c r="AZ22" s="103">
        <f t="shared" si="4"/>
        <v>-3</v>
      </c>
      <c r="BA22" s="103">
        <f t="shared" si="5"/>
        <v>-2</v>
      </c>
      <c r="BB22" s="103">
        <f t="shared" si="6"/>
        <v>6</v>
      </c>
      <c r="BC22" s="103">
        <f t="shared" si="7"/>
        <v>6</v>
      </c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4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>
        <v>2</v>
      </c>
      <c r="V23" s="12">
        <v>4</v>
      </c>
      <c r="W23" s="13"/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1" t="s">
        <v>87</v>
      </c>
      <c r="B24" s="102">
        <v>0</v>
      </c>
      <c r="C24" s="103">
        <v>0</v>
      </c>
      <c r="D24" s="102">
        <v>6</v>
      </c>
      <c r="E24" s="103">
        <v>0</v>
      </c>
      <c r="F24" s="102">
        <v>6</v>
      </c>
      <c r="G24" s="103">
        <v>0</v>
      </c>
      <c r="H24" s="102">
        <v>6</v>
      </c>
      <c r="I24" s="103">
        <v>0</v>
      </c>
      <c r="J24" s="102">
        <v>6</v>
      </c>
      <c r="K24" s="103">
        <v>0</v>
      </c>
      <c r="L24" s="102">
        <v>6</v>
      </c>
      <c r="M24" s="103">
        <v>0</v>
      </c>
      <c r="N24" s="102">
        <v>6</v>
      </c>
      <c r="O24" s="103">
        <v>0</v>
      </c>
      <c r="P24" s="102">
        <v>6</v>
      </c>
      <c r="Q24" s="103">
        <v>0</v>
      </c>
      <c r="R24" s="102">
        <v>6</v>
      </c>
      <c r="S24" s="64"/>
      <c r="T24" s="102">
        <v>6</v>
      </c>
      <c r="U24" s="103">
        <v>4</v>
      </c>
      <c r="V24" s="102">
        <v>6</v>
      </c>
      <c r="W24" s="103"/>
      <c r="X24" s="102">
        <v>6</v>
      </c>
      <c r="Y24" s="103"/>
      <c r="Z24" s="102">
        <v>6</v>
      </c>
      <c r="AA24" s="103"/>
      <c r="AB24" s="102">
        <v>6</v>
      </c>
      <c r="AC24" s="103"/>
      <c r="AD24" s="102">
        <v>6</v>
      </c>
      <c r="AE24" s="103"/>
      <c r="AF24" s="102">
        <v>6</v>
      </c>
      <c r="AG24" s="103"/>
      <c r="AH24" s="102">
        <v>6</v>
      </c>
      <c r="AI24" s="103"/>
      <c r="AJ24" s="102">
        <v>6</v>
      </c>
      <c r="AK24" s="103"/>
      <c r="AL24" s="102">
        <v>6</v>
      </c>
      <c r="AM24" s="103"/>
      <c r="AN24" s="102">
        <v>6</v>
      </c>
      <c r="AO24" s="103"/>
      <c r="AP24" s="102">
        <v>6</v>
      </c>
      <c r="AQ24" s="103"/>
      <c r="AR24" s="102">
        <v>6</v>
      </c>
      <c r="AS24" s="103"/>
      <c r="AT24" s="102">
        <v>3</v>
      </c>
      <c r="AU24" s="104"/>
      <c r="AV24" s="105">
        <f t="shared" si="0"/>
        <v>0</v>
      </c>
      <c r="AW24" s="103">
        <f t="shared" si="1"/>
        <v>-6</v>
      </c>
      <c r="AX24" s="103">
        <f t="shared" si="2"/>
        <v>-6</v>
      </c>
      <c r="AY24" s="103">
        <f t="shared" si="3"/>
        <v>-6</v>
      </c>
      <c r="AZ24" s="103">
        <f t="shared" si="4"/>
        <v>-6</v>
      </c>
      <c r="BA24" s="103">
        <f t="shared" si="5"/>
        <v>-6</v>
      </c>
      <c r="BB24" s="103">
        <f t="shared" si="6"/>
        <v>-6</v>
      </c>
      <c r="BC24" s="103">
        <f t="shared" si="7"/>
        <v>-6</v>
      </c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4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>
        <v>1</v>
      </c>
      <c r="V25" s="12">
        <v>8</v>
      </c>
      <c r="W25" s="13"/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1" t="s">
        <v>89</v>
      </c>
      <c r="B26" s="102">
        <v>0</v>
      </c>
      <c r="C26" s="103">
        <v>0</v>
      </c>
      <c r="D26" s="102">
        <v>0</v>
      </c>
      <c r="E26" s="103">
        <v>0</v>
      </c>
      <c r="F26" s="102">
        <v>1</v>
      </c>
      <c r="G26" s="103">
        <v>2</v>
      </c>
      <c r="H26" s="102">
        <v>1</v>
      </c>
      <c r="I26" s="103">
        <v>4</v>
      </c>
      <c r="J26" s="102">
        <v>1</v>
      </c>
      <c r="K26" s="103">
        <v>1</v>
      </c>
      <c r="L26" s="102">
        <v>1</v>
      </c>
      <c r="M26" s="103">
        <v>1</v>
      </c>
      <c r="N26" s="102">
        <v>1</v>
      </c>
      <c r="O26" s="103">
        <v>5</v>
      </c>
      <c r="P26" s="102">
        <v>1</v>
      </c>
      <c r="Q26" s="103">
        <v>3</v>
      </c>
      <c r="R26" s="102">
        <v>1</v>
      </c>
      <c r="S26" s="64">
        <v>4</v>
      </c>
      <c r="T26" s="102">
        <v>1</v>
      </c>
      <c r="U26" s="103"/>
      <c r="V26" s="102">
        <v>1</v>
      </c>
      <c r="W26" s="103"/>
      <c r="X26" s="102">
        <v>1</v>
      </c>
      <c r="Y26" s="103"/>
      <c r="Z26" s="102">
        <v>1</v>
      </c>
      <c r="AA26" s="103"/>
      <c r="AB26" s="102">
        <v>1</v>
      </c>
      <c r="AC26" s="103"/>
      <c r="AD26" s="102">
        <v>1</v>
      </c>
      <c r="AE26" s="103"/>
      <c r="AF26" s="102">
        <v>1</v>
      </c>
      <c r="AG26" s="103"/>
      <c r="AH26" s="102">
        <v>1</v>
      </c>
      <c r="AI26" s="103"/>
      <c r="AJ26" s="102">
        <v>1</v>
      </c>
      <c r="AK26" s="103"/>
      <c r="AL26" s="102">
        <v>1</v>
      </c>
      <c r="AM26" s="103"/>
      <c r="AN26" s="102">
        <v>1</v>
      </c>
      <c r="AO26" s="103"/>
      <c r="AP26" s="102">
        <v>1</v>
      </c>
      <c r="AQ26" s="103"/>
      <c r="AR26" s="102">
        <v>1</v>
      </c>
      <c r="AS26" s="103"/>
      <c r="AT26" s="102">
        <v>0.5</v>
      </c>
      <c r="AU26" s="104"/>
      <c r="AV26" s="105">
        <f t="shared" si="0"/>
        <v>0</v>
      </c>
      <c r="AW26" s="103">
        <f t="shared" si="1"/>
        <v>0</v>
      </c>
      <c r="AX26" s="103">
        <f t="shared" si="2"/>
        <v>1</v>
      </c>
      <c r="AY26" s="103">
        <f t="shared" si="3"/>
        <v>3</v>
      </c>
      <c r="AZ26" s="103">
        <f t="shared" si="4"/>
        <v>0</v>
      </c>
      <c r="BA26" s="103">
        <f t="shared" si="5"/>
        <v>0</v>
      </c>
      <c r="BB26" s="103">
        <f t="shared" si="6"/>
        <v>4</v>
      </c>
      <c r="BC26" s="103">
        <f t="shared" si="7"/>
        <v>2</v>
      </c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4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>
        <v>4</v>
      </c>
      <c r="V27" s="12">
        <v>8</v>
      </c>
      <c r="W27" s="13"/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1" t="s">
        <v>91</v>
      </c>
      <c r="B28" s="102">
        <v>0</v>
      </c>
      <c r="C28" s="103">
        <v>0</v>
      </c>
      <c r="D28" s="102">
        <v>0</v>
      </c>
      <c r="E28" s="103">
        <v>1</v>
      </c>
      <c r="F28" s="102">
        <v>1</v>
      </c>
      <c r="G28" s="103">
        <v>1</v>
      </c>
      <c r="H28" s="102">
        <v>1</v>
      </c>
      <c r="I28" s="103">
        <v>2</v>
      </c>
      <c r="J28" s="102">
        <v>2</v>
      </c>
      <c r="K28" s="103">
        <v>2</v>
      </c>
      <c r="L28" s="102">
        <v>2</v>
      </c>
      <c r="M28" s="103">
        <v>3</v>
      </c>
      <c r="N28" s="102">
        <v>2</v>
      </c>
      <c r="O28" s="103">
        <v>4</v>
      </c>
      <c r="P28" s="102">
        <v>2</v>
      </c>
      <c r="Q28" s="103">
        <v>5</v>
      </c>
      <c r="R28" s="102">
        <v>2</v>
      </c>
      <c r="S28" s="64">
        <v>5</v>
      </c>
      <c r="T28" s="102">
        <v>2</v>
      </c>
      <c r="U28" s="103">
        <v>4</v>
      </c>
      <c r="V28" s="102">
        <v>2</v>
      </c>
      <c r="W28" s="103"/>
      <c r="X28" s="102">
        <v>2</v>
      </c>
      <c r="Y28" s="103"/>
      <c r="Z28" s="102">
        <v>2</v>
      </c>
      <c r="AA28" s="103"/>
      <c r="AB28" s="102">
        <v>2</v>
      </c>
      <c r="AC28" s="103"/>
      <c r="AD28" s="102">
        <v>2</v>
      </c>
      <c r="AE28" s="103"/>
      <c r="AF28" s="102">
        <v>2</v>
      </c>
      <c r="AG28" s="103"/>
      <c r="AH28" s="102">
        <v>2</v>
      </c>
      <c r="AI28" s="103"/>
      <c r="AJ28" s="102">
        <v>2</v>
      </c>
      <c r="AK28" s="103"/>
      <c r="AL28" s="102">
        <v>2</v>
      </c>
      <c r="AM28" s="103"/>
      <c r="AN28" s="102">
        <v>2</v>
      </c>
      <c r="AO28" s="103"/>
      <c r="AP28" s="102">
        <v>2</v>
      </c>
      <c r="AQ28" s="103"/>
      <c r="AR28" s="102">
        <v>2</v>
      </c>
      <c r="AS28" s="103"/>
      <c r="AT28" s="102">
        <v>1</v>
      </c>
      <c r="AU28" s="104"/>
      <c r="AV28" s="105">
        <f t="shared" si="0"/>
        <v>0</v>
      </c>
      <c r="AW28" s="103">
        <f t="shared" si="1"/>
        <v>1</v>
      </c>
      <c r="AX28" s="103">
        <f t="shared" si="2"/>
        <v>0</v>
      </c>
      <c r="AY28" s="103">
        <f t="shared" si="3"/>
        <v>1</v>
      </c>
      <c r="AZ28" s="103">
        <f t="shared" si="4"/>
        <v>0</v>
      </c>
      <c r="BA28" s="103">
        <f t="shared" si="5"/>
        <v>1</v>
      </c>
      <c r="BB28" s="103">
        <f t="shared" si="6"/>
        <v>2</v>
      </c>
      <c r="BC28" s="103">
        <f t="shared" si="7"/>
        <v>3</v>
      </c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4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>
        <v>1</v>
      </c>
      <c r="V29" s="12">
        <v>1</v>
      </c>
      <c r="W29" s="13"/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1" t="s">
        <v>93</v>
      </c>
      <c r="B30" s="102">
        <v>0</v>
      </c>
      <c r="C30" s="103">
        <v>0</v>
      </c>
      <c r="D30" s="102">
        <v>1</v>
      </c>
      <c r="E30" s="103">
        <v>0</v>
      </c>
      <c r="F30" s="102">
        <v>1</v>
      </c>
      <c r="G30" s="103">
        <v>0</v>
      </c>
      <c r="H30" s="102">
        <v>1</v>
      </c>
      <c r="I30" s="103">
        <v>0</v>
      </c>
      <c r="J30" s="102">
        <v>1</v>
      </c>
      <c r="K30" s="103">
        <v>0</v>
      </c>
      <c r="L30" s="102">
        <v>1</v>
      </c>
      <c r="M30" s="103">
        <v>2</v>
      </c>
      <c r="N30" s="102">
        <v>1</v>
      </c>
      <c r="O30" s="103">
        <v>0</v>
      </c>
      <c r="P30" s="102">
        <v>1</v>
      </c>
      <c r="Q30" s="103">
        <v>1</v>
      </c>
      <c r="R30" s="102">
        <v>1</v>
      </c>
      <c r="S30" s="64">
        <v>1</v>
      </c>
      <c r="T30" s="102">
        <v>1</v>
      </c>
      <c r="U30" s="103">
        <v>1</v>
      </c>
      <c r="V30" s="102">
        <v>1</v>
      </c>
      <c r="W30" s="103"/>
      <c r="X30" s="102">
        <v>1</v>
      </c>
      <c r="Y30" s="103"/>
      <c r="Z30" s="102">
        <v>1</v>
      </c>
      <c r="AA30" s="103"/>
      <c r="AB30" s="102">
        <v>1</v>
      </c>
      <c r="AC30" s="103"/>
      <c r="AD30" s="102">
        <v>1</v>
      </c>
      <c r="AE30" s="103"/>
      <c r="AF30" s="102">
        <v>1</v>
      </c>
      <c r="AG30" s="103"/>
      <c r="AH30" s="102">
        <v>1</v>
      </c>
      <c r="AI30" s="103"/>
      <c r="AJ30" s="102">
        <v>1</v>
      </c>
      <c r="AK30" s="103"/>
      <c r="AL30" s="102">
        <v>1</v>
      </c>
      <c r="AM30" s="103"/>
      <c r="AN30" s="102">
        <v>1</v>
      </c>
      <c r="AO30" s="103"/>
      <c r="AP30" s="102">
        <v>1</v>
      </c>
      <c r="AQ30" s="103"/>
      <c r="AR30" s="102">
        <v>1</v>
      </c>
      <c r="AS30" s="103"/>
      <c r="AT30" s="102">
        <v>0.5</v>
      </c>
      <c r="AU30" s="104"/>
      <c r="AV30" s="105">
        <f t="shared" si="0"/>
        <v>0</v>
      </c>
      <c r="AW30" s="103">
        <f t="shared" si="1"/>
        <v>-1</v>
      </c>
      <c r="AX30" s="103">
        <f t="shared" si="2"/>
        <v>-1</v>
      </c>
      <c r="AY30" s="103">
        <f t="shared" si="3"/>
        <v>-1</v>
      </c>
      <c r="AZ30" s="103">
        <f t="shared" si="4"/>
        <v>-1</v>
      </c>
      <c r="BA30" s="103">
        <f t="shared" si="5"/>
        <v>1</v>
      </c>
      <c r="BB30" s="103">
        <f t="shared" si="6"/>
        <v>-1</v>
      </c>
      <c r="BC30" s="103">
        <f t="shared" si="7"/>
        <v>0</v>
      </c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4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>
        <v>2</v>
      </c>
      <c r="V31" s="12">
        <v>2</v>
      </c>
      <c r="W31" s="13"/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6" t="s">
        <v>95</v>
      </c>
      <c r="B32" s="107">
        <v>0</v>
      </c>
      <c r="C32" s="108">
        <v>0</v>
      </c>
      <c r="D32" s="107">
        <v>3</v>
      </c>
      <c r="E32" s="108">
        <v>3</v>
      </c>
      <c r="F32" s="107">
        <v>3</v>
      </c>
      <c r="G32" s="108">
        <v>4</v>
      </c>
      <c r="H32" s="107">
        <v>3</v>
      </c>
      <c r="I32" s="108">
        <v>6</v>
      </c>
      <c r="J32" s="107">
        <v>3</v>
      </c>
      <c r="K32" s="108">
        <v>0</v>
      </c>
      <c r="L32" s="107">
        <v>3</v>
      </c>
      <c r="M32" s="108">
        <v>4</v>
      </c>
      <c r="N32" s="107">
        <v>3</v>
      </c>
      <c r="O32" s="108">
        <v>6</v>
      </c>
      <c r="P32" s="107">
        <v>3</v>
      </c>
      <c r="Q32" s="108">
        <v>6</v>
      </c>
      <c r="R32" s="107">
        <v>3</v>
      </c>
      <c r="S32" s="65">
        <v>7</v>
      </c>
      <c r="T32" s="107">
        <v>3</v>
      </c>
      <c r="U32" s="108">
        <v>4</v>
      </c>
      <c r="V32" s="107">
        <v>3</v>
      </c>
      <c r="W32" s="108"/>
      <c r="X32" s="107">
        <v>3</v>
      </c>
      <c r="Y32" s="108"/>
      <c r="Z32" s="107">
        <v>3</v>
      </c>
      <c r="AA32" s="108"/>
      <c r="AB32" s="107">
        <v>3</v>
      </c>
      <c r="AC32" s="108"/>
      <c r="AD32" s="107">
        <v>3</v>
      </c>
      <c r="AE32" s="108"/>
      <c r="AF32" s="107">
        <v>3</v>
      </c>
      <c r="AG32" s="108"/>
      <c r="AH32" s="107">
        <v>3</v>
      </c>
      <c r="AI32" s="108"/>
      <c r="AJ32" s="107">
        <v>3</v>
      </c>
      <c r="AK32" s="108"/>
      <c r="AL32" s="107">
        <v>3</v>
      </c>
      <c r="AM32" s="108"/>
      <c r="AN32" s="107">
        <v>3</v>
      </c>
      <c r="AO32" s="108"/>
      <c r="AP32" s="107">
        <v>3</v>
      </c>
      <c r="AQ32" s="108"/>
      <c r="AR32" s="107">
        <v>3</v>
      </c>
      <c r="AS32" s="108"/>
      <c r="AT32" s="107">
        <v>1.5</v>
      </c>
      <c r="AU32" s="109"/>
      <c r="AV32" s="110">
        <f t="shared" si="0"/>
        <v>0</v>
      </c>
      <c r="AW32" s="108">
        <f t="shared" si="1"/>
        <v>0</v>
      </c>
      <c r="AX32" s="108">
        <f t="shared" si="2"/>
        <v>1</v>
      </c>
      <c r="AY32" s="108">
        <f t="shared" si="3"/>
        <v>3</v>
      </c>
      <c r="AZ32" s="108">
        <f t="shared" si="4"/>
        <v>-3</v>
      </c>
      <c r="BA32" s="108">
        <f t="shared" si="5"/>
        <v>1</v>
      </c>
      <c r="BB32" s="108">
        <f t="shared" si="6"/>
        <v>3</v>
      </c>
      <c r="BC32" s="108">
        <f t="shared" si="7"/>
        <v>3</v>
      </c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8"/>
      <c r="BQ32" s="108"/>
      <c r="BR32" s="109"/>
    </row>
    <row r="33" spans="1:70" x14ac:dyDescent="0.25">
      <c r="A33" s="111" t="s">
        <v>96</v>
      </c>
      <c r="B33" s="112">
        <f>SUM(B3:B32)</f>
        <v>12</v>
      </c>
      <c r="C33" s="113">
        <f t="shared" ref="C33:AU33" si="8">SUM(C3:C32)</f>
        <v>5</v>
      </c>
      <c r="D33" s="113">
        <f t="shared" si="8"/>
        <v>140.5</v>
      </c>
      <c r="E33" s="113">
        <f t="shared" si="8"/>
        <v>89</v>
      </c>
      <c r="F33" s="113">
        <f t="shared" si="8"/>
        <v>219</v>
      </c>
      <c r="G33" s="113">
        <f t="shared" si="8"/>
        <v>127</v>
      </c>
      <c r="H33" s="113">
        <f t="shared" si="8"/>
        <v>250</v>
      </c>
      <c r="I33" s="113">
        <f t="shared" si="8"/>
        <v>150</v>
      </c>
      <c r="J33" s="113">
        <f t="shared" si="8"/>
        <v>260</v>
      </c>
      <c r="K33" s="113">
        <f t="shared" si="8"/>
        <v>144</v>
      </c>
      <c r="L33" s="113">
        <f t="shared" si="8"/>
        <v>260</v>
      </c>
      <c r="M33" s="113">
        <f t="shared" si="8"/>
        <v>194</v>
      </c>
      <c r="N33" s="113">
        <f t="shared" si="8"/>
        <v>260</v>
      </c>
      <c r="O33" s="113">
        <f t="shared" si="8"/>
        <v>198</v>
      </c>
      <c r="P33" s="113">
        <f t="shared" si="8"/>
        <v>260</v>
      </c>
      <c r="Q33" s="113">
        <f t="shared" si="8"/>
        <v>230</v>
      </c>
      <c r="R33" s="113">
        <f t="shared" si="8"/>
        <v>260</v>
      </c>
      <c r="S33" s="113">
        <f t="shared" si="8"/>
        <v>239</v>
      </c>
      <c r="T33" s="113">
        <f t="shared" si="8"/>
        <v>260</v>
      </c>
      <c r="U33" s="113">
        <f t="shared" si="8"/>
        <v>229</v>
      </c>
      <c r="V33" s="113">
        <f t="shared" si="8"/>
        <v>260</v>
      </c>
      <c r="W33" s="113">
        <f t="shared" si="8"/>
        <v>0</v>
      </c>
      <c r="X33" s="113">
        <f t="shared" si="8"/>
        <v>256</v>
      </c>
      <c r="Y33" s="113">
        <f t="shared" si="8"/>
        <v>0</v>
      </c>
      <c r="Z33" s="113">
        <f t="shared" si="8"/>
        <v>256</v>
      </c>
      <c r="AA33" s="113">
        <f t="shared" si="8"/>
        <v>0</v>
      </c>
      <c r="AB33" s="113">
        <f t="shared" si="8"/>
        <v>256</v>
      </c>
      <c r="AC33" s="113">
        <f t="shared" si="8"/>
        <v>0</v>
      </c>
      <c r="AD33" s="113">
        <f t="shared" si="8"/>
        <v>260</v>
      </c>
      <c r="AE33" s="113">
        <f t="shared" si="8"/>
        <v>0</v>
      </c>
      <c r="AF33" s="113">
        <f t="shared" si="8"/>
        <v>264</v>
      </c>
      <c r="AG33" s="113">
        <f t="shared" si="8"/>
        <v>0</v>
      </c>
      <c r="AH33" s="113">
        <f t="shared" si="8"/>
        <v>264</v>
      </c>
      <c r="AI33" s="113">
        <f t="shared" si="8"/>
        <v>0</v>
      </c>
      <c r="AJ33" s="113">
        <f t="shared" si="8"/>
        <v>264</v>
      </c>
      <c r="AK33" s="113">
        <f t="shared" si="8"/>
        <v>0</v>
      </c>
      <c r="AL33" s="113">
        <f t="shared" si="8"/>
        <v>264</v>
      </c>
      <c r="AM33" s="113">
        <f t="shared" si="8"/>
        <v>0</v>
      </c>
      <c r="AN33" s="113">
        <f t="shared" si="8"/>
        <v>264</v>
      </c>
      <c r="AO33" s="113">
        <f t="shared" si="8"/>
        <v>0</v>
      </c>
      <c r="AP33" s="113">
        <f t="shared" si="8"/>
        <v>264</v>
      </c>
      <c r="AQ33" s="113">
        <f t="shared" si="8"/>
        <v>0</v>
      </c>
      <c r="AR33" s="113">
        <f t="shared" si="8"/>
        <v>240</v>
      </c>
      <c r="AS33" s="113">
        <f t="shared" si="8"/>
        <v>0</v>
      </c>
      <c r="AT33" s="113">
        <f t="shared" si="8"/>
        <v>114.5</v>
      </c>
      <c r="AU33" s="114">
        <f t="shared" si="8"/>
        <v>0</v>
      </c>
      <c r="AV33" s="115">
        <f>SUM(AV3:AV32)</f>
        <v>-7</v>
      </c>
      <c r="AW33" s="113">
        <f t="shared" ref="AW33:BR33" si="9">SUM(AW3:AW32)</f>
        <v>-51.5</v>
      </c>
      <c r="AX33" s="113">
        <f t="shared" si="9"/>
        <v>-92</v>
      </c>
      <c r="AY33" s="113">
        <f t="shared" si="9"/>
        <v>-100</v>
      </c>
      <c r="AZ33" s="113">
        <f t="shared" si="9"/>
        <v>-116</v>
      </c>
      <c r="BA33" s="113">
        <f t="shared" si="9"/>
        <v>-66</v>
      </c>
      <c r="BB33" s="113">
        <f t="shared" si="9"/>
        <v>-62</v>
      </c>
      <c r="BC33" s="113">
        <f t="shared" si="9"/>
        <v>-30</v>
      </c>
      <c r="BD33" s="113">
        <f t="shared" si="9"/>
        <v>0</v>
      </c>
      <c r="BE33" s="113">
        <f t="shared" si="9"/>
        <v>0</v>
      </c>
      <c r="BF33" s="113">
        <f t="shared" si="9"/>
        <v>0</v>
      </c>
      <c r="BG33" s="113">
        <f t="shared" si="9"/>
        <v>0</v>
      </c>
      <c r="BH33" s="113">
        <f t="shared" si="9"/>
        <v>0</v>
      </c>
      <c r="BI33" s="113">
        <f t="shared" si="9"/>
        <v>0</v>
      </c>
      <c r="BJ33" s="113">
        <f t="shared" si="9"/>
        <v>0</v>
      </c>
      <c r="BK33" s="113">
        <f t="shared" si="9"/>
        <v>0</v>
      </c>
      <c r="BL33" s="113">
        <f t="shared" si="9"/>
        <v>0</v>
      </c>
      <c r="BM33" s="113">
        <f t="shared" si="9"/>
        <v>0</v>
      </c>
      <c r="BN33" s="113">
        <f t="shared" si="9"/>
        <v>0</v>
      </c>
      <c r="BO33" s="113">
        <f t="shared" si="9"/>
        <v>0</v>
      </c>
      <c r="BP33" s="113">
        <f t="shared" si="9"/>
        <v>0</v>
      </c>
      <c r="BQ33" s="113">
        <f t="shared" si="9"/>
        <v>0</v>
      </c>
      <c r="BR33" s="114">
        <f t="shared" si="9"/>
        <v>0</v>
      </c>
    </row>
    <row r="34" spans="1:70" x14ac:dyDescent="0.25">
      <c r="O34" s="15"/>
    </row>
    <row r="35" spans="1:70" x14ac:dyDescent="0.25">
      <c r="A35" s="205" t="s">
        <v>97</v>
      </c>
      <c r="B35" s="89">
        <v>45992</v>
      </c>
      <c r="C35" s="90"/>
      <c r="D35" s="89">
        <v>46023</v>
      </c>
      <c r="E35" s="90"/>
      <c r="F35" s="89">
        <v>46054</v>
      </c>
      <c r="G35" s="90"/>
      <c r="H35" s="89">
        <v>46082</v>
      </c>
      <c r="I35" s="90"/>
      <c r="J35" s="89">
        <v>46113</v>
      </c>
      <c r="K35" s="90"/>
      <c r="L35" s="89">
        <v>46143</v>
      </c>
      <c r="M35" s="90"/>
      <c r="N35" s="89">
        <v>46174</v>
      </c>
      <c r="O35" s="90"/>
      <c r="P35" s="89">
        <v>46204</v>
      </c>
      <c r="Q35" s="90"/>
      <c r="R35" s="89">
        <v>46235</v>
      </c>
      <c r="S35" s="90"/>
      <c r="T35" s="89">
        <v>46266</v>
      </c>
      <c r="U35" s="90"/>
      <c r="V35" s="89">
        <v>46296</v>
      </c>
      <c r="W35" s="90"/>
      <c r="X35" s="89">
        <v>46327</v>
      </c>
      <c r="Y35" s="90"/>
      <c r="Z35" s="89">
        <v>46357</v>
      </c>
      <c r="AA35" s="90"/>
      <c r="AB35" s="89">
        <v>46388</v>
      </c>
      <c r="AC35" s="90"/>
      <c r="AD35" s="89">
        <v>46419</v>
      </c>
      <c r="AE35" s="90"/>
      <c r="AF35" s="89">
        <v>46447</v>
      </c>
      <c r="AG35" s="90"/>
      <c r="AH35" s="89">
        <v>46478</v>
      </c>
      <c r="AI35" s="90"/>
      <c r="AJ35" s="89">
        <v>46508</v>
      </c>
      <c r="AK35" s="90"/>
      <c r="AL35" s="89">
        <v>46539</v>
      </c>
      <c r="AM35" s="90"/>
      <c r="AN35" s="89">
        <v>46569</v>
      </c>
      <c r="AO35" s="90"/>
      <c r="AP35" s="89">
        <v>46600</v>
      </c>
      <c r="AQ35" s="90"/>
      <c r="AR35" s="89">
        <v>46631</v>
      </c>
      <c r="AS35" s="90"/>
      <c r="AT35" s="89">
        <v>46661</v>
      </c>
      <c r="AU35" s="91"/>
      <c r="AV35" s="92">
        <v>45992</v>
      </c>
      <c r="AW35" s="93">
        <v>46023</v>
      </c>
      <c r="AX35" s="93">
        <v>46054</v>
      </c>
      <c r="AY35" s="93">
        <v>46082</v>
      </c>
      <c r="AZ35" s="93">
        <v>46113</v>
      </c>
      <c r="BA35" s="93">
        <v>46143</v>
      </c>
      <c r="BB35" s="93">
        <v>46174</v>
      </c>
      <c r="BC35" s="93">
        <v>46204</v>
      </c>
      <c r="BD35" s="93">
        <v>46235</v>
      </c>
      <c r="BE35" s="93">
        <v>46266</v>
      </c>
      <c r="BF35" s="93">
        <v>46296</v>
      </c>
      <c r="BG35" s="93">
        <v>46327</v>
      </c>
      <c r="BH35" s="93">
        <v>46357</v>
      </c>
      <c r="BI35" s="93">
        <v>46388</v>
      </c>
      <c r="BJ35" s="93">
        <v>46419</v>
      </c>
      <c r="BK35" s="93">
        <v>46447</v>
      </c>
      <c r="BL35" s="93">
        <v>46478</v>
      </c>
      <c r="BM35" s="93">
        <v>46508</v>
      </c>
      <c r="BN35" s="93">
        <v>46539</v>
      </c>
      <c r="BO35" s="93">
        <v>46569</v>
      </c>
      <c r="BP35" s="93">
        <v>46600</v>
      </c>
      <c r="BQ35" s="93">
        <v>46631</v>
      </c>
      <c r="BR35" s="94">
        <v>46661</v>
      </c>
    </row>
    <row r="36" spans="1:70" x14ac:dyDescent="0.25">
      <c r="A36" s="206"/>
      <c r="B36" s="96" t="s">
        <v>63</v>
      </c>
      <c r="C36" s="97" t="s">
        <v>64</v>
      </c>
      <c r="D36" s="96" t="s">
        <v>63</v>
      </c>
      <c r="E36" s="97" t="s">
        <v>64</v>
      </c>
      <c r="F36" s="96" t="s">
        <v>63</v>
      </c>
      <c r="G36" s="97" t="s">
        <v>64</v>
      </c>
      <c r="H36" s="96" t="s">
        <v>63</v>
      </c>
      <c r="I36" s="97" t="s">
        <v>64</v>
      </c>
      <c r="J36" s="96" t="s">
        <v>63</v>
      </c>
      <c r="K36" s="97" t="s">
        <v>64</v>
      </c>
      <c r="L36" s="96" t="s">
        <v>63</v>
      </c>
      <c r="M36" s="97" t="s">
        <v>64</v>
      </c>
      <c r="N36" s="96" t="s">
        <v>63</v>
      </c>
      <c r="O36" s="97" t="s">
        <v>64</v>
      </c>
      <c r="P36" s="96" t="s">
        <v>63</v>
      </c>
      <c r="Q36" s="97" t="s">
        <v>64</v>
      </c>
      <c r="R36" s="96" t="s">
        <v>63</v>
      </c>
      <c r="S36" s="97" t="s">
        <v>64</v>
      </c>
      <c r="T36" s="96" t="s">
        <v>63</v>
      </c>
      <c r="U36" s="97" t="s">
        <v>64</v>
      </c>
      <c r="V36" s="96" t="s">
        <v>63</v>
      </c>
      <c r="W36" s="97" t="s">
        <v>64</v>
      </c>
      <c r="X36" s="96" t="s">
        <v>63</v>
      </c>
      <c r="Y36" s="97" t="s">
        <v>64</v>
      </c>
      <c r="Z36" s="96" t="s">
        <v>63</v>
      </c>
      <c r="AA36" s="97" t="s">
        <v>64</v>
      </c>
      <c r="AB36" s="96" t="s">
        <v>63</v>
      </c>
      <c r="AC36" s="97" t="s">
        <v>64</v>
      </c>
      <c r="AD36" s="96" t="s">
        <v>63</v>
      </c>
      <c r="AE36" s="97" t="s">
        <v>64</v>
      </c>
      <c r="AF36" s="96" t="s">
        <v>63</v>
      </c>
      <c r="AG36" s="97" t="s">
        <v>64</v>
      </c>
      <c r="AH36" s="96" t="s">
        <v>63</v>
      </c>
      <c r="AI36" s="97" t="s">
        <v>64</v>
      </c>
      <c r="AJ36" s="96" t="s">
        <v>63</v>
      </c>
      <c r="AK36" s="97" t="s">
        <v>64</v>
      </c>
      <c r="AL36" s="96" t="s">
        <v>63</v>
      </c>
      <c r="AM36" s="97" t="s">
        <v>64</v>
      </c>
      <c r="AN36" s="96" t="s">
        <v>63</v>
      </c>
      <c r="AO36" s="97" t="s">
        <v>64</v>
      </c>
      <c r="AP36" s="96" t="s">
        <v>63</v>
      </c>
      <c r="AQ36" s="97" t="s">
        <v>64</v>
      </c>
      <c r="AR36" s="96" t="s">
        <v>63</v>
      </c>
      <c r="AS36" s="97" t="s">
        <v>64</v>
      </c>
      <c r="AT36" s="96" t="s">
        <v>63</v>
      </c>
      <c r="AU36" s="98" t="s">
        <v>64</v>
      </c>
      <c r="AV36" s="99" t="s">
        <v>65</v>
      </c>
      <c r="AW36" s="96" t="s">
        <v>65</v>
      </c>
      <c r="AX36" s="96" t="s">
        <v>65</v>
      </c>
      <c r="AY36" s="96" t="s">
        <v>65</v>
      </c>
      <c r="AZ36" s="96" t="s">
        <v>65</v>
      </c>
      <c r="BA36" s="96" t="s">
        <v>65</v>
      </c>
      <c r="BB36" s="96" t="s">
        <v>65</v>
      </c>
      <c r="BC36" s="96" t="s">
        <v>65</v>
      </c>
      <c r="BD36" s="96" t="s">
        <v>65</v>
      </c>
      <c r="BE36" s="96" t="s">
        <v>65</v>
      </c>
      <c r="BF36" s="96" t="s">
        <v>65</v>
      </c>
      <c r="BG36" s="96" t="s">
        <v>65</v>
      </c>
      <c r="BH36" s="96" t="s">
        <v>65</v>
      </c>
      <c r="BI36" s="96" t="s">
        <v>65</v>
      </c>
      <c r="BJ36" s="96" t="s">
        <v>65</v>
      </c>
      <c r="BK36" s="96" t="s">
        <v>65</v>
      </c>
      <c r="BL36" s="96" t="s">
        <v>65</v>
      </c>
      <c r="BM36" s="96" t="s">
        <v>65</v>
      </c>
      <c r="BN36" s="96" t="s">
        <v>65</v>
      </c>
      <c r="BO36" s="96" t="s">
        <v>65</v>
      </c>
      <c r="BP36" s="96" t="s">
        <v>65</v>
      </c>
      <c r="BQ36" s="96" t="s">
        <v>65</v>
      </c>
      <c r="BR36" s="100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>
        <v>6</v>
      </c>
      <c r="V37" s="9">
        <v>3</v>
      </c>
      <c r="W37" s="10"/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1" t="s">
        <v>99</v>
      </c>
      <c r="B38" s="102">
        <v>0</v>
      </c>
      <c r="C38" s="103">
        <v>1</v>
      </c>
      <c r="D38" s="102">
        <v>0</v>
      </c>
      <c r="E38" s="103">
        <v>1</v>
      </c>
      <c r="F38" s="102">
        <v>1</v>
      </c>
      <c r="G38" s="103">
        <v>2</v>
      </c>
      <c r="H38" s="102">
        <v>1</v>
      </c>
      <c r="I38" s="103">
        <v>2</v>
      </c>
      <c r="J38" s="102">
        <v>1</v>
      </c>
      <c r="K38" s="103">
        <v>1</v>
      </c>
      <c r="L38" s="102">
        <v>1</v>
      </c>
      <c r="M38" s="103">
        <v>1</v>
      </c>
      <c r="N38" s="102">
        <v>1</v>
      </c>
      <c r="O38" s="103">
        <v>1</v>
      </c>
      <c r="P38" s="102">
        <v>1</v>
      </c>
      <c r="Q38" s="103">
        <v>1</v>
      </c>
      <c r="R38" s="102">
        <v>1</v>
      </c>
      <c r="S38" s="64">
        <v>1</v>
      </c>
      <c r="T38" s="102">
        <v>1</v>
      </c>
      <c r="U38" s="103">
        <v>1</v>
      </c>
      <c r="V38" s="102">
        <v>1</v>
      </c>
      <c r="W38" s="103"/>
      <c r="X38" s="102">
        <v>1</v>
      </c>
      <c r="Y38" s="103"/>
      <c r="Z38" s="102">
        <v>1</v>
      </c>
      <c r="AA38" s="103"/>
      <c r="AB38" s="102">
        <v>1</v>
      </c>
      <c r="AC38" s="103"/>
      <c r="AD38" s="102">
        <v>1</v>
      </c>
      <c r="AE38" s="103"/>
      <c r="AF38" s="102">
        <v>1</v>
      </c>
      <c r="AG38" s="103"/>
      <c r="AH38" s="102">
        <v>1</v>
      </c>
      <c r="AI38" s="103"/>
      <c r="AJ38" s="102">
        <v>1</v>
      </c>
      <c r="AK38" s="103"/>
      <c r="AL38" s="102">
        <v>1</v>
      </c>
      <c r="AM38" s="103"/>
      <c r="AN38" s="102">
        <v>1</v>
      </c>
      <c r="AO38" s="103"/>
      <c r="AP38" s="102">
        <v>1</v>
      </c>
      <c r="AQ38" s="103"/>
      <c r="AR38" s="102">
        <v>1</v>
      </c>
      <c r="AS38" s="103"/>
      <c r="AT38" s="116">
        <v>1</v>
      </c>
      <c r="AU38" s="104"/>
      <c r="AV38" s="105">
        <f t="shared" ref="AV38:AV78" si="11">C38-B38</f>
        <v>1</v>
      </c>
      <c r="AW38" s="103">
        <f t="shared" ref="AW38:AW78" si="12">E38-D38</f>
        <v>1</v>
      </c>
      <c r="AX38" s="103">
        <f t="shared" ref="AX38:AX78" si="13">G38-F38</f>
        <v>1</v>
      </c>
      <c r="AY38" s="103">
        <f t="shared" ref="AY38:AY78" si="14">I38-H38</f>
        <v>1</v>
      </c>
      <c r="AZ38" s="103">
        <f t="shared" ref="AZ38:AZ78" si="15">K38-J38</f>
        <v>0</v>
      </c>
      <c r="BA38" s="103">
        <f t="shared" ref="BA38:BA78" si="16">M38-L38</f>
        <v>0</v>
      </c>
      <c r="BB38" s="103">
        <f t="shared" ref="BB38:BB78" si="17">O38-N38</f>
        <v>0</v>
      </c>
      <c r="BC38" s="103">
        <f t="shared" si="10"/>
        <v>0</v>
      </c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4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>
        <v>1</v>
      </c>
      <c r="V39" s="12">
        <v>2</v>
      </c>
      <c r="W39" s="13"/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1" t="s">
        <v>101</v>
      </c>
      <c r="B40" s="102">
        <v>0</v>
      </c>
      <c r="C40" s="103">
        <v>0</v>
      </c>
      <c r="D40" s="102">
        <v>0</v>
      </c>
      <c r="E40" s="103">
        <v>0</v>
      </c>
      <c r="F40" s="102">
        <v>1</v>
      </c>
      <c r="G40" s="103">
        <v>0</v>
      </c>
      <c r="H40" s="102">
        <v>1</v>
      </c>
      <c r="I40" s="103">
        <v>0</v>
      </c>
      <c r="J40" s="102">
        <v>1</v>
      </c>
      <c r="K40" s="103">
        <v>0</v>
      </c>
      <c r="L40" s="102">
        <v>1</v>
      </c>
      <c r="M40" s="103">
        <v>0</v>
      </c>
      <c r="N40" s="102">
        <v>1</v>
      </c>
      <c r="O40" s="103">
        <v>0</v>
      </c>
      <c r="P40" s="102">
        <v>1</v>
      </c>
      <c r="Q40" s="103">
        <v>0</v>
      </c>
      <c r="R40" s="102">
        <v>1</v>
      </c>
      <c r="S40" s="64"/>
      <c r="T40" s="102">
        <v>1</v>
      </c>
      <c r="U40" s="103"/>
      <c r="V40" s="102">
        <v>1</v>
      </c>
      <c r="W40" s="103"/>
      <c r="X40" s="102">
        <v>1</v>
      </c>
      <c r="Y40" s="103"/>
      <c r="Z40" s="102">
        <v>1</v>
      </c>
      <c r="AA40" s="103"/>
      <c r="AB40" s="102">
        <v>1</v>
      </c>
      <c r="AC40" s="103"/>
      <c r="AD40" s="102">
        <v>1</v>
      </c>
      <c r="AE40" s="103"/>
      <c r="AF40" s="102">
        <v>1</v>
      </c>
      <c r="AG40" s="103"/>
      <c r="AH40" s="102">
        <v>1</v>
      </c>
      <c r="AI40" s="103"/>
      <c r="AJ40" s="102">
        <v>1</v>
      </c>
      <c r="AK40" s="103"/>
      <c r="AL40" s="102">
        <v>1</v>
      </c>
      <c r="AM40" s="103"/>
      <c r="AN40" s="102">
        <v>1</v>
      </c>
      <c r="AO40" s="103"/>
      <c r="AP40" s="102">
        <v>1</v>
      </c>
      <c r="AQ40" s="103"/>
      <c r="AR40" s="102">
        <v>1</v>
      </c>
      <c r="AS40" s="103"/>
      <c r="AT40" s="116">
        <v>1</v>
      </c>
      <c r="AU40" s="104"/>
      <c r="AV40" s="105">
        <f t="shared" si="11"/>
        <v>0</v>
      </c>
      <c r="AW40" s="103">
        <f t="shared" si="12"/>
        <v>0</v>
      </c>
      <c r="AX40" s="103">
        <f t="shared" si="13"/>
        <v>-1</v>
      </c>
      <c r="AY40" s="103">
        <f t="shared" si="14"/>
        <v>-1</v>
      </c>
      <c r="AZ40" s="103">
        <f t="shared" si="15"/>
        <v>-1</v>
      </c>
      <c r="BA40" s="103">
        <f t="shared" si="16"/>
        <v>-1</v>
      </c>
      <c r="BB40" s="103">
        <f t="shared" si="17"/>
        <v>-1</v>
      </c>
      <c r="BC40" s="103">
        <f t="shared" si="10"/>
        <v>-1</v>
      </c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4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>
        <v>3</v>
      </c>
      <c r="V41" s="12">
        <v>3</v>
      </c>
      <c r="W41" s="13"/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1" t="s">
        <v>103</v>
      </c>
      <c r="B42" s="102">
        <v>0</v>
      </c>
      <c r="C42" s="103">
        <v>0</v>
      </c>
      <c r="D42" s="102">
        <v>1</v>
      </c>
      <c r="E42" s="103">
        <v>0</v>
      </c>
      <c r="F42" s="102">
        <v>2</v>
      </c>
      <c r="G42" s="103">
        <v>0</v>
      </c>
      <c r="H42" s="102">
        <v>2</v>
      </c>
      <c r="I42" s="103">
        <v>0</v>
      </c>
      <c r="J42" s="102">
        <v>2</v>
      </c>
      <c r="K42" s="103">
        <v>0</v>
      </c>
      <c r="L42" s="102">
        <v>2</v>
      </c>
      <c r="M42" s="103">
        <v>0</v>
      </c>
      <c r="N42" s="102">
        <v>2</v>
      </c>
      <c r="O42" s="103">
        <v>0</v>
      </c>
      <c r="P42" s="102">
        <v>2</v>
      </c>
      <c r="Q42" s="103">
        <v>0</v>
      </c>
      <c r="R42" s="102">
        <v>2</v>
      </c>
      <c r="S42" s="64"/>
      <c r="T42" s="102">
        <v>2</v>
      </c>
      <c r="U42" s="103"/>
      <c r="V42" s="102">
        <v>2</v>
      </c>
      <c r="W42" s="103"/>
      <c r="X42" s="102">
        <v>2</v>
      </c>
      <c r="Y42" s="103"/>
      <c r="Z42" s="102">
        <v>2</v>
      </c>
      <c r="AA42" s="103"/>
      <c r="AB42" s="102">
        <v>2</v>
      </c>
      <c r="AC42" s="103"/>
      <c r="AD42" s="102">
        <v>2</v>
      </c>
      <c r="AE42" s="103"/>
      <c r="AF42" s="102">
        <v>2</v>
      </c>
      <c r="AG42" s="103"/>
      <c r="AH42" s="102">
        <v>2</v>
      </c>
      <c r="AI42" s="103"/>
      <c r="AJ42" s="102">
        <v>2</v>
      </c>
      <c r="AK42" s="103"/>
      <c r="AL42" s="102">
        <v>2</v>
      </c>
      <c r="AM42" s="103"/>
      <c r="AN42" s="102">
        <v>2</v>
      </c>
      <c r="AO42" s="103"/>
      <c r="AP42" s="102">
        <v>2</v>
      </c>
      <c r="AQ42" s="103"/>
      <c r="AR42" s="102">
        <v>1.5</v>
      </c>
      <c r="AS42" s="103"/>
      <c r="AT42" s="116">
        <v>0.5</v>
      </c>
      <c r="AU42" s="104"/>
      <c r="AV42" s="105">
        <f t="shared" si="11"/>
        <v>0</v>
      </c>
      <c r="AW42" s="103">
        <f t="shared" si="12"/>
        <v>-1</v>
      </c>
      <c r="AX42" s="103">
        <f t="shared" si="13"/>
        <v>-2</v>
      </c>
      <c r="AY42" s="103">
        <f t="shared" si="14"/>
        <v>-2</v>
      </c>
      <c r="AZ42" s="103">
        <f t="shared" si="15"/>
        <v>-2</v>
      </c>
      <c r="BA42" s="103">
        <f t="shared" si="16"/>
        <v>-2</v>
      </c>
      <c r="BB42" s="103">
        <f t="shared" si="17"/>
        <v>-2</v>
      </c>
      <c r="BC42" s="103">
        <f t="shared" si="10"/>
        <v>-2</v>
      </c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4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>
        <v>2</v>
      </c>
      <c r="V43" s="12">
        <v>4</v>
      </c>
      <c r="W43" s="13"/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1" t="s">
        <v>105</v>
      </c>
      <c r="B44" s="102">
        <v>0</v>
      </c>
      <c r="C44" s="103">
        <v>0</v>
      </c>
      <c r="D44" s="102">
        <v>0</v>
      </c>
      <c r="E44" s="103">
        <v>8</v>
      </c>
      <c r="F44" s="102">
        <v>14</v>
      </c>
      <c r="G44" s="103">
        <v>8</v>
      </c>
      <c r="H44" s="102">
        <v>15</v>
      </c>
      <c r="I44" s="103">
        <v>10</v>
      </c>
      <c r="J44" s="102">
        <v>16</v>
      </c>
      <c r="K44" s="103">
        <v>10</v>
      </c>
      <c r="L44" s="102">
        <v>16</v>
      </c>
      <c r="M44" s="103">
        <v>10</v>
      </c>
      <c r="N44" s="102">
        <v>16</v>
      </c>
      <c r="O44" s="103">
        <v>11</v>
      </c>
      <c r="P44" s="102">
        <v>16</v>
      </c>
      <c r="Q44" s="103">
        <v>9</v>
      </c>
      <c r="R44" s="102">
        <v>16</v>
      </c>
      <c r="S44" s="64">
        <v>13</v>
      </c>
      <c r="T44" s="102">
        <v>16</v>
      </c>
      <c r="U44" s="103">
        <v>11</v>
      </c>
      <c r="V44" s="102">
        <v>16</v>
      </c>
      <c r="W44" s="103"/>
      <c r="X44" s="102">
        <v>15</v>
      </c>
      <c r="Y44" s="103"/>
      <c r="Z44" s="102">
        <v>15</v>
      </c>
      <c r="AA44" s="103"/>
      <c r="AB44" s="102">
        <v>15</v>
      </c>
      <c r="AC44" s="103"/>
      <c r="AD44" s="102">
        <v>16</v>
      </c>
      <c r="AE44" s="103"/>
      <c r="AF44" s="102">
        <v>16</v>
      </c>
      <c r="AG44" s="103"/>
      <c r="AH44" s="102">
        <v>16</v>
      </c>
      <c r="AI44" s="103"/>
      <c r="AJ44" s="102">
        <v>16</v>
      </c>
      <c r="AK44" s="103"/>
      <c r="AL44" s="102">
        <v>16</v>
      </c>
      <c r="AM44" s="103"/>
      <c r="AN44" s="102">
        <v>16</v>
      </c>
      <c r="AO44" s="103"/>
      <c r="AP44" s="102">
        <v>16</v>
      </c>
      <c r="AQ44" s="103"/>
      <c r="AR44" s="102">
        <v>15</v>
      </c>
      <c r="AS44" s="103"/>
      <c r="AT44" s="116">
        <v>9</v>
      </c>
      <c r="AU44" s="104"/>
      <c r="AV44" s="105">
        <f t="shared" si="11"/>
        <v>0</v>
      </c>
      <c r="AW44" s="103">
        <f t="shared" si="12"/>
        <v>8</v>
      </c>
      <c r="AX44" s="103">
        <f t="shared" si="13"/>
        <v>-6</v>
      </c>
      <c r="AY44" s="103">
        <f t="shared" si="14"/>
        <v>-5</v>
      </c>
      <c r="AZ44" s="103">
        <f t="shared" si="15"/>
        <v>-6</v>
      </c>
      <c r="BA44" s="103">
        <f t="shared" si="16"/>
        <v>-6</v>
      </c>
      <c r="BB44" s="103">
        <f t="shared" si="17"/>
        <v>-5</v>
      </c>
      <c r="BC44" s="103">
        <f t="shared" si="10"/>
        <v>-7</v>
      </c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4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>
        <v>1</v>
      </c>
      <c r="V45" s="12">
        <v>2</v>
      </c>
      <c r="W45" s="13"/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1" t="s">
        <v>107</v>
      </c>
      <c r="B46" s="102">
        <v>0</v>
      </c>
      <c r="C46" s="103">
        <v>0</v>
      </c>
      <c r="D46" s="102">
        <v>2</v>
      </c>
      <c r="E46" s="103">
        <v>1</v>
      </c>
      <c r="F46" s="102">
        <v>5</v>
      </c>
      <c r="G46" s="103">
        <v>3</v>
      </c>
      <c r="H46" s="102">
        <v>5</v>
      </c>
      <c r="I46" s="103">
        <v>3</v>
      </c>
      <c r="J46" s="102">
        <v>6</v>
      </c>
      <c r="K46" s="103">
        <v>3</v>
      </c>
      <c r="L46" s="102">
        <v>6</v>
      </c>
      <c r="M46" s="103">
        <v>5</v>
      </c>
      <c r="N46" s="102">
        <v>6</v>
      </c>
      <c r="O46" s="103">
        <v>5</v>
      </c>
      <c r="P46" s="102">
        <v>6</v>
      </c>
      <c r="Q46" s="103">
        <v>7</v>
      </c>
      <c r="R46" s="102">
        <v>6</v>
      </c>
      <c r="S46" s="64">
        <v>7</v>
      </c>
      <c r="T46" s="102">
        <v>6</v>
      </c>
      <c r="U46" s="103">
        <v>5</v>
      </c>
      <c r="V46" s="102">
        <v>6</v>
      </c>
      <c r="W46" s="103"/>
      <c r="X46" s="102">
        <v>5</v>
      </c>
      <c r="Y46" s="103"/>
      <c r="Z46" s="102">
        <v>5</v>
      </c>
      <c r="AA46" s="103"/>
      <c r="AB46" s="102">
        <v>5</v>
      </c>
      <c r="AC46" s="103"/>
      <c r="AD46" s="102">
        <v>6</v>
      </c>
      <c r="AE46" s="103"/>
      <c r="AF46" s="102">
        <v>6</v>
      </c>
      <c r="AG46" s="103"/>
      <c r="AH46" s="102">
        <v>6</v>
      </c>
      <c r="AI46" s="103"/>
      <c r="AJ46" s="102">
        <v>6</v>
      </c>
      <c r="AK46" s="103"/>
      <c r="AL46" s="102">
        <v>6</v>
      </c>
      <c r="AM46" s="103"/>
      <c r="AN46" s="102">
        <v>6</v>
      </c>
      <c r="AO46" s="103"/>
      <c r="AP46" s="102">
        <v>6</v>
      </c>
      <c r="AQ46" s="103"/>
      <c r="AR46" s="102">
        <v>5</v>
      </c>
      <c r="AS46" s="103"/>
      <c r="AT46" s="116">
        <v>2.5</v>
      </c>
      <c r="AU46" s="104"/>
      <c r="AV46" s="105">
        <f t="shared" si="11"/>
        <v>0</v>
      </c>
      <c r="AW46" s="103">
        <f t="shared" si="12"/>
        <v>-1</v>
      </c>
      <c r="AX46" s="103">
        <f t="shared" si="13"/>
        <v>-2</v>
      </c>
      <c r="AY46" s="103">
        <f t="shared" si="14"/>
        <v>-2</v>
      </c>
      <c r="AZ46" s="103">
        <f t="shared" si="15"/>
        <v>-3</v>
      </c>
      <c r="BA46" s="103">
        <f t="shared" si="16"/>
        <v>-1</v>
      </c>
      <c r="BB46" s="103">
        <f t="shared" si="17"/>
        <v>-1</v>
      </c>
      <c r="BC46" s="103">
        <f t="shared" si="10"/>
        <v>1</v>
      </c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4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>
        <v>2</v>
      </c>
      <c r="V47" s="12">
        <v>1</v>
      </c>
      <c r="W47" s="13"/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1" t="s">
        <v>109</v>
      </c>
      <c r="B48" s="102">
        <v>0</v>
      </c>
      <c r="C48" s="103">
        <v>0</v>
      </c>
      <c r="D48" s="102">
        <v>0</v>
      </c>
      <c r="E48" s="103">
        <v>0</v>
      </c>
      <c r="F48" s="102">
        <v>2</v>
      </c>
      <c r="G48" s="103">
        <v>1</v>
      </c>
      <c r="H48" s="102">
        <v>2</v>
      </c>
      <c r="I48" s="103">
        <v>1</v>
      </c>
      <c r="J48" s="102">
        <v>2</v>
      </c>
      <c r="K48" s="103">
        <v>1</v>
      </c>
      <c r="L48" s="102">
        <v>2</v>
      </c>
      <c r="M48" s="103">
        <v>1</v>
      </c>
      <c r="N48" s="102">
        <v>2</v>
      </c>
      <c r="O48" s="103">
        <v>2</v>
      </c>
      <c r="P48" s="102">
        <v>2</v>
      </c>
      <c r="Q48" s="103">
        <v>2</v>
      </c>
      <c r="R48" s="102">
        <v>2</v>
      </c>
      <c r="S48" s="64">
        <v>2</v>
      </c>
      <c r="T48" s="102">
        <v>2</v>
      </c>
      <c r="U48" s="103">
        <v>2</v>
      </c>
      <c r="V48" s="102">
        <v>2</v>
      </c>
      <c r="W48" s="103"/>
      <c r="X48" s="102">
        <v>2</v>
      </c>
      <c r="Y48" s="103"/>
      <c r="Z48" s="102">
        <v>2</v>
      </c>
      <c r="AA48" s="103"/>
      <c r="AB48" s="102">
        <v>2</v>
      </c>
      <c r="AC48" s="103"/>
      <c r="AD48" s="102">
        <v>2</v>
      </c>
      <c r="AE48" s="103"/>
      <c r="AF48" s="102">
        <v>2</v>
      </c>
      <c r="AG48" s="103"/>
      <c r="AH48" s="102">
        <v>2</v>
      </c>
      <c r="AI48" s="103"/>
      <c r="AJ48" s="102">
        <v>2</v>
      </c>
      <c r="AK48" s="103"/>
      <c r="AL48" s="102">
        <v>2</v>
      </c>
      <c r="AM48" s="103"/>
      <c r="AN48" s="102">
        <v>2</v>
      </c>
      <c r="AO48" s="103"/>
      <c r="AP48" s="102">
        <v>2</v>
      </c>
      <c r="AQ48" s="103"/>
      <c r="AR48" s="102">
        <v>2</v>
      </c>
      <c r="AS48" s="103"/>
      <c r="AT48" s="116">
        <v>2</v>
      </c>
      <c r="AU48" s="104"/>
      <c r="AV48" s="105">
        <f t="shared" si="11"/>
        <v>0</v>
      </c>
      <c r="AW48" s="103">
        <f t="shared" si="12"/>
        <v>0</v>
      </c>
      <c r="AX48" s="103">
        <f t="shared" si="13"/>
        <v>-1</v>
      </c>
      <c r="AY48" s="103">
        <f t="shared" si="14"/>
        <v>-1</v>
      </c>
      <c r="AZ48" s="103">
        <f t="shared" si="15"/>
        <v>-1</v>
      </c>
      <c r="BA48" s="103">
        <f t="shared" si="16"/>
        <v>-1</v>
      </c>
      <c r="BB48" s="103">
        <f t="shared" si="17"/>
        <v>0</v>
      </c>
      <c r="BC48" s="103">
        <f t="shared" si="10"/>
        <v>0</v>
      </c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4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>
        <v>2</v>
      </c>
      <c r="V49" s="12">
        <v>1</v>
      </c>
      <c r="W49" s="13"/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1" t="s">
        <v>111</v>
      </c>
      <c r="B50" s="102">
        <v>0</v>
      </c>
      <c r="C50" s="103">
        <v>0</v>
      </c>
      <c r="D50" s="102">
        <v>2</v>
      </c>
      <c r="E50" s="103">
        <v>0</v>
      </c>
      <c r="F50" s="102">
        <v>2</v>
      </c>
      <c r="G50" s="103">
        <v>0</v>
      </c>
      <c r="H50" s="102">
        <v>2</v>
      </c>
      <c r="I50" s="103">
        <v>0</v>
      </c>
      <c r="J50" s="102">
        <v>2</v>
      </c>
      <c r="K50" s="103">
        <v>0</v>
      </c>
      <c r="L50" s="102">
        <v>2</v>
      </c>
      <c r="M50" s="103">
        <v>0</v>
      </c>
      <c r="N50" s="102">
        <v>2</v>
      </c>
      <c r="O50" s="103">
        <v>0</v>
      </c>
      <c r="P50" s="102">
        <v>2</v>
      </c>
      <c r="Q50" s="103">
        <v>0</v>
      </c>
      <c r="R50" s="102">
        <v>2</v>
      </c>
      <c r="S50" s="64">
        <v>1</v>
      </c>
      <c r="T50" s="102">
        <v>2</v>
      </c>
      <c r="U50" s="103">
        <v>1</v>
      </c>
      <c r="V50" s="102">
        <v>2</v>
      </c>
      <c r="W50" s="103"/>
      <c r="X50" s="102">
        <v>2</v>
      </c>
      <c r="Y50" s="103"/>
      <c r="Z50" s="102">
        <v>2</v>
      </c>
      <c r="AA50" s="103"/>
      <c r="AB50" s="102">
        <v>2</v>
      </c>
      <c r="AC50" s="103"/>
      <c r="AD50" s="102">
        <v>2</v>
      </c>
      <c r="AE50" s="103"/>
      <c r="AF50" s="102">
        <v>2</v>
      </c>
      <c r="AG50" s="103"/>
      <c r="AH50" s="102">
        <v>2</v>
      </c>
      <c r="AI50" s="103"/>
      <c r="AJ50" s="102">
        <v>2</v>
      </c>
      <c r="AK50" s="103"/>
      <c r="AL50" s="102">
        <v>2</v>
      </c>
      <c r="AM50" s="103"/>
      <c r="AN50" s="102">
        <v>2</v>
      </c>
      <c r="AO50" s="103"/>
      <c r="AP50" s="102">
        <v>2</v>
      </c>
      <c r="AQ50" s="103"/>
      <c r="AR50" s="102">
        <v>2</v>
      </c>
      <c r="AS50" s="103"/>
      <c r="AT50" s="116">
        <v>1</v>
      </c>
      <c r="AU50" s="104"/>
      <c r="AV50" s="105">
        <f t="shared" si="11"/>
        <v>0</v>
      </c>
      <c r="AW50" s="103">
        <f t="shared" si="12"/>
        <v>-2</v>
      </c>
      <c r="AX50" s="103">
        <f t="shared" si="13"/>
        <v>-2</v>
      </c>
      <c r="AY50" s="103">
        <f t="shared" si="14"/>
        <v>-2</v>
      </c>
      <c r="AZ50" s="103">
        <f t="shared" si="15"/>
        <v>-2</v>
      </c>
      <c r="BA50" s="103">
        <f t="shared" si="16"/>
        <v>-2</v>
      </c>
      <c r="BB50" s="103">
        <f t="shared" si="17"/>
        <v>-2</v>
      </c>
      <c r="BC50" s="103">
        <f t="shared" si="10"/>
        <v>-2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4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>
        <v>1</v>
      </c>
      <c r="V51" s="12">
        <v>1</v>
      </c>
      <c r="W51" s="13"/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1" t="s">
        <v>113</v>
      </c>
      <c r="B52" s="102">
        <v>0</v>
      </c>
      <c r="C52" s="103">
        <v>0</v>
      </c>
      <c r="D52" s="102">
        <v>0</v>
      </c>
      <c r="E52" s="103">
        <v>1</v>
      </c>
      <c r="F52" s="102">
        <v>1</v>
      </c>
      <c r="G52" s="103">
        <v>1</v>
      </c>
      <c r="H52" s="102">
        <v>1</v>
      </c>
      <c r="I52" s="103">
        <v>1</v>
      </c>
      <c r="J52" s="102">
        <v>1</v>
      </c>
      <c r="K52" s="103">
        <v>1</v>
      </c>
      <c r="L52" s="102">
        <v>1</v>
      </c>
      <c r="M52" s="103">
        <v>1</v>
      </c>
      <c r="N52" s="102">
        <v>1</v>
      </c>
      <c r="O52" s="103">
        <v>1</v>
      </c>
      <c r="P52" s="102">
        <v>1</v>
      </c>
      <c r="Q52" s="103">
        <v>1</v>
      </c>
      <c r="R52" s="102">
        <v>1</v>
      </c>
      <c r="S52" s="64">
        <v>1</v>
      </c>
      <c r="T52" s="102">
        <v>1</v>
      </c>
      <c r="U52" s="103">
        <v>1</v>
      </c>
      <c r="V52" s="102">
        <v>1</v>
      </c>
      <c r="W52" s="103"/>
      <c r="X52" s="102">
        <v>1</v>
      </c>
      <c r="Y52" s="103"/>
      <c r="Z52" s="102">
        <v>1</v>
      </c>
      <c r="AA52" s="103"/>
      <c r="AB52" s="102">
        <v>1</v>
      </c>
      <c r="AC52" s="103"/>
      <c r="AD52" s="102">
        <v>1</v>
      </c>
      <c r="AE52" s="103"/>
      <c r="AF52" s="102">
        <v>1</v>
      </c>
      <c r="AG52" s="103"/>
      <c r="AH52" s="102">
        <v>1</v>
      </c>
      <c r="AI52" s="103"/>
      <c r="AJ52" s="102">
        <v>1</v>
      </c>
      <c r="AK52" s="103"/>
      <c r="AL52" s="102">
        <v>1</v>
      </c>
      <c r="AM52" s="103"/>
      <c r="AN52" s="102">
        <v>1</v>
      </c>
      <c r="AO52" s="103"/>
      <c r="AP52" s="102">
        <v>1</v>
      </c>
      <c r="AQ52" s="103"/>
      <c r="AR52" s="102">
        <v>1</v>
      </c>
      <c r="AS52" s="103"/>
      <c r="AT52" s="116">
        <v>1</v>
      </c>
      <c r="AU52" s="104"/>
      <c r="AV52" s="105">
        <f t="shared" si="11"/>
        <v>0</v>
      </c>
      <c r="AW52" s="103">
        <f t="shared" si="12"/>
        <v>1</v>
      </c>
      <c r="AX52" s="103">
        <f t="shared" si="13"/>
        <v>0</v>
      </c>
      <c r="AY52" s="103">
        <f t="shared" si="14"/>
        <v>0</v>
      </c>
      <c r="AZ52" s="103">
        <f t="shared" si="15"/>
        <v>0</v>
      </c>
      <c r="BA52" s="103">
        <f t="shared" si="16"/>
        <v>0</v>
      </c>
      <c r="BB52" s="103">
        <f t="shared" si="17"/>
        <v>0</v>
      </c>
      <c r="BC52" s="103">
        <f t="shared" si="10"/>
        <v>0</v>
      </c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4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>
        <v>1</v>
      </c>
      <c r="V53" s="12">
        <v>1</v>
      </c>
      <c r="W53" s="13"/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1" t="s">
        <v>115</v>
      </c>
      <c r="B54" s="102">
        <v>0</v>
      </c>
      <c r="C54" s="103">
        <v>1</v>
      </c>
      <c r="D54" s="102">
        <v>0</v>
      </c>
      <c r="E54" s="103">
        <v>2</v>
      </c>
      <c r="F54" s="102">
        <v>2</v>
      </c>
      <c r="G54" s="103">
        <v>2</v>
      </c>
      <c r="H54" s="102">
        <v>2</v>
      </c>
      <c r="I54" s="103">
        <v>2</v>
      </c>
      <c r="J54" s="102">
        <v>2</v>
      </c>
      <c r="K54" s="103">
        <v>0</v>
      </c>
      <c r="L54" s="102">
        <v>2</v>
      </c>
      <c r="M54" s="103">
        <v>4</v>
      </c>
      <c r="N54" s="102">
        <v>2</v>
      </c>
      <c r="O54" s="103">
        <v>1</v>
      </c>
      <c r="P54" s="102">
        <v>2</v>
      </c>
      <c r="Q54" s="103">
        <v>3</v>
      </c>
      <c r="R54" s="102">
        <v>2</v>
      </c>
      <c r="S54" s="64">
        <v>5</v>
      </c>
      <c r="T54" s="102">
        <v>2</v>
      </c>
      <c r="U54" s="103">
        <v>5</v>
      </c>
      <c r="V54" s="102">
        <v>2</v>
      </c>
      <c r="W54" s="103"/>
      <c r="X54" s="102">
        <v>2</v>
      </c>
      <c r="Y54" s="103"/>
      <c r="Z54" s="102">
        <v>2</v>
      </c>
      <c r="AA54" s="103"/>
      <c r="AB54" s="102">
        <v>2</v>
      </c>
      <c r="AC54" s="103"/>
      <c r="AD54" s="102">
        <v>2</v>
      </c>
      <c r="AE54" s="103"/>
      <c r="AF54" s="102">
        <v>2</v>
      </c>
      <c r="AG54" s="103"/>
      <c r="AH54" s="102">
        <v>2</v>
      </c>
      <c r="AI54" s="103"/>
      <c r="AJ54" s="102">
        <v>2</v>
      </c>
      <c r="AK54" s="103"/>
      <c r="AL54" s="102">
        <v>2</v>
      </c>
      <c r="AM54" s="103"/>
      <c r="AN54" s="102">
        <v>2</v>
      </c>
      <c r="AO54" s="103"/>
      <c r="AP54" s="102">
        <v>2</v>
      </c>
      <c r="AQ54" s="103"/>
      <c r="AR54" s="102">
        <v>2</v>
      </c>
      <c r="AS54" s="103"/>
      <c r="AT54" s="116">
        <v>2</v>
      </c>
      <c r="AU54" s="104"/>
      <c r="AV54" s="105">
        <f t="shared" si="11"/>
        <v>1</v>
      </c>
      <c r="AW54" s="103">
        <f t="shared" si="12"/>
        <v>2</v>
      </c>
      <c r="AX54" s="103">
        <f t="shared" si="13"/>
        <v>0</v>
      </c>
      <c r="AY54" s="103">
        <f t="shared" si="14"/>
        <v>0</v>
      </c>
      <c r="AZ54" s="103">
        <f t="shared" si="15"/>
        <v>-2</v>
      </c>
      <c r="BA54" s="103">
        <f t="shared" si="16"/>
        <v>2</v>
      </c>
      <c r="BB54" s="103">
        <f t="shared" si="17"/>
        <v>-1</v>
      </c>
      <c r="BC54" s="103">
        <f t="shared" si="10"/>
        <v>1</v>
      </c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4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>
        <v>1</v>
      </c>
      <c r="V55" s="12">
        <v>1</v>
      </c>
      <c r="W55" s="13"/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1" t="s">
        <v>117</v>
      </c>
      <c r="B56" s="102">
        <v>0</v>
      </c>
      <c r="C56" s="103">
        <v>0</v>
      </c>
      <c r="D56" s="102">
        <v>0</v>
      </c>
      <c r="E56" s="103">
        <v>0</v>
      </c>
      <c r="F56" s="102">
        <v>1</v>
      </c>
      <c r="G56" s="103">
        <v>1</v>
      </c>
      <c r="H56" s="102">
        <v>1</v>
      </c>
      <c r="I56" s="103">
        <v>1</v>
      </c>
      <c r="J56" s="102">
        <v>1</v>
      </c>
      <c r="K56" s="103">
        <v>1</v>
      </c>
      <c r="L56" s="102">
        <v>1</v>
      </c>
      <c r="M56" s="103">
        <v>1</v>
      </c>
      <c r="N56" s="102">
        <v>1</v>
      </c>
      <c r="O56" s="103">
        <v>1</v>
      </c>
      <c r="P56" s="102">
        <v>1</v>
      </c>
      <c r="Q56" s="103">
        <v>1</v>
      </c>
      <c r="R56" s="102">
        <v>1</v>
      </c>
      <c r="S56" s="64">
        <v>1</v>
      </c>
      <c r="T56" s="102">
        <v>1</v>
      </c>
      <c r="U56" s="103">
        <v>1</v>
      </c>
      <c r="V56" s="102">
        <v>1</v>
      </c>
      <c r="W56" s="103"/>
      <c r="X56" s="102">
        <v>1</v>
      </c>
      <c r="Y56" s="103"/>
      <c r="Z56" s="102">
        <v>1</v>
      </c>
      <c r="AA56" s="103"/>
      <c r="AB56" s="102">
        <v>1</v>
      </c>
      <c r="AC56" s="103"/>
      <c r="AD56" s="102">
        <v>1</v>
      </c>
      <c r="AE56" s="103"/>
      <c r="AF56" s="102">
        <v>1</v>
      </c>
      <c r="AG56" s="103"/>
      <c r="AH56" s="102">
        <v>1</v>
      </c>
      <c r="AI56" s="103"/>
      <c r="AJ56" s="102">
        <v>1</v>
      </c>
      <c r="AK56" s="103"/>
      <c r="AL56" s="102">
        <v>1</v>
      </c>
      <c r="AM56" s="103"/>
      <c r="AN56" s="102">
        <v>1</v>
      </c>
      <c r="AO56" s="103"/>
      <c r="AP56" s="102">
        <v>1</v>
      </c>
      <c r="AQ56" s="103"/>
      <c r="AR56" s="102">
        <v>1</v>
      </c>
      <c r="AS56" s="103"/>
      <c r="AT56" s="116">
        <v>1</v>
      </c>
      <c r="AU56" s="104"/>
      <c r="AV56" s="105">
        <f t="shared" si="11"/>
        <v>0</v>
      </c>
      <c r="AW56" s="103">
        <f t="shared" si="12"/>
        <v>0</v>
      </c>
      <c r="AX56" s="103">
        <f t="shared" si="13"/>
        <v>0</v>
      </c>
      <c r="AY56" s="103">
        <f t="shared" si="14"/>
        <v>0</v>
      </c>
      <c r="AZ56" s="103">
        <f t="shared" si="15"/>
        <v>0</v>
      </c>
      <c r="BA56" s="103">
        <f t="shared" si="16"/>
        <v>0</v>
      </c>
      <c r="BB56" s="103">
        <f t="shared" si="17"/>
        <v>0</v>
      </c>
      <c r="BC56" s="103">
        <f t="shared" si="10"/>
        <v>0</v>
      </c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4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>
        <v>2</v>
      </c>
      <c r="V57" s="12">
        <v>1</v>
      </c>
      <c r="W57" s="13"/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1" t="s">
        <v>119</v>
      </c>
      <c r="B58" s="102">
        <v>0</v>
      </c>
      <c r="C58" s="103">
        <v>0</v>
      </c>
      <c r="D58" s="102">
        <v>0</v>
      </c>
      <c r="E58" s="103">
        <v>0</v>
      </c>
      <c r="F58" s="102">
        <v>1</v>
      </c>
      <c r="G58" s="103">
        <v>1</v>
      </c>
      <c r="H58" s="102">
        <v>1</v>
      </c>
      <c r="I58" s="103">
        <v>1</v>
      </c>
      <c r="J58" s="102">
        <v>1</v>
      </c>
      <c r="K58" s="103">
        <v>1</v>
      </c>
      <c r="L58" s="102">
        <v>1</v>
      </c>
      <c r="M58" s="103">
        <v>1</v>
      </c>
      <c r="N58" s="102">
        <v>1</v>
      </c>
      <c r="O58" s="103">
        <v>2</v>
      </c>
      <c r="P58" s="102">
        <v>1</v>
      </c>
      <c r="Q58" s="103">
        <v>2</v>
      </c>
      <c r="R58" s="102">
        <v>1</v>
      </c>
      <c r="S58" s="64">
        <v>1</v>
      </c>
      <c r="T58" s="102">
        <v>1</v>
      </c>
      <c r="U58" s="103">
        <v>1</v>
      </c>
      <c r="V58" s="102">
        <v>1</v>
      </c>
      <c r="W58" s="103"/>
      <c r="X58" s="102">
        <v>1</v>
      </c>
      <c r="Y58" s="103"/>
      <c r="Z58" s="102">
        <v>1</v>
      </c>
      <c r="AA58" s="103"/>
      <c r="AB58" s="102">
        <v>1</v>
      </c>
      <c r="AC58" s="103"/>
      <c r="AD58" s="102">
        <v>1</v>
      </c>
      <c r="AE58" s="103"/>
      <c r="AF58" s="102">
        <v>1</v>
      </c>
      <c r="AG58" s="103"/>
      <c r="AH58" s="102">
        <v>1</v>
      </c>
      <c r="AI58" s="103"/>
      <c r="AJ58" s="102">
        <v>1</v>
      </c>
      <c r="AK58" s="103"/>
      <c r="AL58" s="102">
        <v>1</v>
      </c>
      <c r="AM58" s="103"/>
      <c r="AN58" s="102">
        <v>1</v>
      </c>
      <c r="AO58" s="103"/>
      <c r="AP58" s="102">
        <v>1</v>
      </c>
      <c r="AQ58" s="103"/>
      <c r="AR58" s="102">
        <v>1</v>
      </c>
      <c r="AS58" s="103"/>
      <c r="AT58" s="116">
        <v>1</v>
      </c>
      <c r="AU58" s="104"/>
      <c r="AV58" s="105">
        <f t="shared" si="11"/>
        <v>0</v>
      </c>
      <c r="AW58" s="103">
        <f t="shared" si="12"/>
        <v>0</v>
      </c>
      <c r="AX58" s="103">
        <f t="shared" si="13"/>
        <v>0</v>
      </c>
      <c r="AY58" s="103">
        <f t="shared" si="14"/>
        <v>0</v>
      </c>
      <c r="AZ58" s="103">
        <f t="shared" si="15"/>
        <v>0</v>
      </c>
      <c r="BA58" s="103">
        <f t="shared" si="16"/>
        <v>0</v>
      </c>
      <c r="BB58" s="103">
        <f t="shared" si="17"/>
        <v>1</v>
      </c>
      <c r="BC58" s="103">
        <f t="shared" si="10"/>
        <v>1</v>
      </c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4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>
        <v>2</v>
      </c>
      <c r="V59" s="12">
        <v>2</v>
      </c>
      <c r="W59" s="13"/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1" t="s">
        <v>121</v>
      </c>
      <c r="B60" s="102">
        <v>0</v>
      </c>
      <c r="C60" s="103">
        <v>0</v>
      </c>
      <c r="D60" s="102">
        <v>2</v>
      </c>
      <c r="E60" s="103">
        <v>1</v>
      </c>
      <c r="F60" s="102">
        <v>3</v>
      </c>
      <c r="G60" s="103">
        <v>2</v>
      </c>
      <c r="H60" s="102">
        <v>3</v>
      </c>
      <c r="I60" s="103">
        <v>2</v>
      </c>
      <c r="J60" s="102">
        <v>3</v>
      </c>
      <c r="K60" s="103">
        <v>2</v>
      </c>
      <c r="L60" s="102">
        <v>3</v>
      </c>
      <c r="M60" s="103">
        <v>2</v>
      </c>
      <c r="N60" s="102">
        <v>3</v>
      </c>
      <c r="O60" s="103">
        <v>3</v>
      </c>
      <c r="P60" s="102">
        <v>3</v>
      </c>
      <c r="Q60" s="103">
        <v>3</v>
      </c>
      <c r="R60" s="102">
        <v>3</v>
      </c>
      <c r="S60" s="64">
        <v>4</v>
      </c>
      <c r="T60" s="102">
        <v>3</v>
      </c>
      <c r="U60" s="103">
        <v>4</v>
      </c>
      <c r="V60" s="102">
        <v>3</v>
      </c>
      <c r="W60" s="103"/>
      <c r="X60" s="102">
        <v>3</v>
      </c>
      <c r="Y60" s="103"/>
      <c r="Z60" s="102">
        <v>3</v>
      </c>
      <c r="AA60" s="103"/>
      <c r="AB60" s="102">
        <v>3</v>
      </c>
      <c r="AC60" s="103"/>
      <c r="AD60" s="102">
        <v>3</v>
      </c>
      <c r="AE60" s="103"/>
      <c r="AF60" s="102">
        <v>3</v>
      </c>
      <c r="AG60" s="103"/>
      <c r="AH60" s="102">
        <v>3</v>
      </c>
      <c r="AI60" s="103"/>
      <c r="AJ60" s="102">
        <v>3</v>
      </c>
      <c r="AK60" s="103"/>
      <c r="AL60" s="102">
        <v>3</v>
      </c>
      <c r="AM60" s="103"/>
      <c r="AN60" s="102">
        <v>3</v>
      </c>
      <c r="AO60" s="103"/>
      <c r="AP60" s="102">
        <v>3</v>
      </c>
      <c r="AQ60" s="103"/>
      <c r="AR60" s="102">
        <v>3</v>
      </c>
      <c r="AS60" s="103"/>
      <c r="AT60" s="116">
        <v>1.5</v>
      </c>
      <c r="AU60" s="104"/>
      <c r="AV60" s="105">
        <f t="shared" si="11"/>
        <v>0</v>
      </c>
      <c r="AW60" s="103">
        <f t="shared" si="12"/>
        <v>-1</v>
      </c>
      <c r="AX60" s="103">
        <f t="shared" si="13"/>
        <v>-1</v>
      </c>
      <c r="AY60" s="103">
        <f t="shared" si="14"/>
        <v>-1</v>
      </c>
      <c r="AZ60" s="103">
        <f t="shared" si="15"/>
        <v>-1</v>
      </c>
      <c r="BA60" s="103">
        <f t="shared" si="16"/>
        <v>-1</v>
      </c>
      <c r="BB60" s="103">
        <f t="shared" si="17"/>
        <v>0</v>
      </c>
      <c r="BC60" s="103">
        <f t="shared" si="10"/>
        <v>0</v>
      </c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4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>
        <v>2</v>
      </c>
      <c r="V61" s="12">
        <v>2</v>
      </c>
      <c r="W61" s="13"/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1" t="s">
        <v>123</v>
      </c>
      <c r="B62" s="102">
        <v>0</v>
      </c>
      <c r="C62" s="103">
        <v>0</v>
      </c>
      <c r="D62" s="102">
        <v>2</v>
      </c>
      <c r="E62" s="103">
        <v>0</v>
      </c>
      <c r="F62" s="102">
        <v>2</v>
      </c>
      <c r="G62" s="103">
        <v>0</v>
      </c>
      <c r="H62" s="102">
        <v>2</v>
      </c>
      <c r="I62" s="103">
        <v>0</v>
      </c>
      <c r="J62" s="102">
        <v>2</v>
      </c>
      <c r="K62" s="103">
        <v>2</v>
      </c>
      <c r="L62" s="102">
        <v>2</v>
      </c>
      <c r="M62" s="103">
        <v>2</v>
      </c>
      <c r="N62" s="102">
        <v>2</v>
      </c>
      <c r="O62" s="103">
        <v>0</v>
      </c>
      <c r="P62" s="102">
        <v>2</v>
      </c>
      <c r="Q62" s="103">
        <v>0</v>
      </c>
      <c r="R62" s="102">
        <v>2</v>
      </c>
      <c r="S62" s="64"/>
      <c r="T62" s="102">
        <v>2</v>
      </c>
      <c r="U62" s="103">
        <v>2</v>
      </c>
      <c r="V62" s="102">
        <v>2</v>
      </c>
      <c r="W62" s="103"/>
      <c r="X62" s="102">
        <v>2</v>
      </c>
      <c r="Y62" s="103"/>
      <c r="Z62" s="102">
        <v>2</v>
      </c>
      <c r="AA62" s="103"/>
      <c r="AB62" s="102">
        <v>2</v>
      </c>
      <c r="AC62" s="103"/>
      <c r="AD62" s="102">
        <v>2</v>
      </c>
      <c r="AE62" s="103"/>
      <c r="AF62" s="102">
        <v>2</v>
      </c>
      <c r="AG62" s="103"/>
      <c r="AH62" s="102">
        <v>2</v>
      </c>
      <c r="AI62" s="103"/>
      <c r="AJ62" s="102">
        <v>2</v>
      </c>
      <c r="AK62" s="103"/>
      <c r="AL62" s="102">
        <v>2</v>
      </c>
      <c r="AM62" s="103"/>
      <c r="AN62" s="102">
        <v>2</v>
      </c>
      <c r="AO62" s="103"/>
      <c r="AP62" s="102">
        <v>2</v>
      </c>
      <c r="AQ62" s="103"/>
      <c r="AR62" s="102">
        <v>2</v>
      </c>
      <c r="AS62" s="103"/>
      <c r="AT62" s="116">
        <v>1</v>
      </c>
      <c r="AU62" s="104"/>
      <c r="AV62" s="105">
        <f t="shared" si="11"/>
        <v>0</v>
      </c>
      <c r="AW62" s="103">
        <f t="shared" si="12"/>
        <v>-2</v>
      </c>
      <c r="AX62" s="103">
        <f t="shared" si="13"/>
        <v>-2</v>
      </c>
      <c r="AY62" s="103">
        <f t="shared" si="14"/>
        <v>-2</v>
      </c>
      <c r="AZ62" s="103">
        <f t="shared" si="15"/>
        <v>0</v>
      </c>
      <c r="BA62" s="103">
        <f t="shared" si="16"/>
        <v>0</v>
      </c>
      <c r="BB62" s="103">
        <f t="shared" si="17"/>
        <v>-2</v>
      </c>
      <c r="BC62" s="103">
        <f t="shared" si="10"/>
        <v>-2</v>
      </c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4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>
        <v>9</v>
      </c>
      <c r="V63" s="12">
        <v>2</v>
      </c>
      <c r="W63" s="13"/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1" t="s">
        <v>125</v>
      </c>
      <c r="B64" s="102">
        <v>0</v>
      </c>
      <c r="C64" s="103">
        <v>0</v>
      </c>
      <c r="D64" s="102">
        <v>0</v>
      </c>
      <c r="E64" s="103">
        <v>0</v>
      </c>
      <c r="F64" s="102">
        <v>1</v>
      </c>
      <c r="G64" s="103">
        <v>0</v>
      </c>
      <c r="H64" s="102">
        <v>1</v>
      </c>
      <c r="I64" s="103">
        <v>0</v>
      </c>
      <c r="J64" s="102">
        <v>1</v>
      </c>
      <c r="K64" s="103">
        <v>0</v>
      </c>
      <c r="L64" s="102">
        <v>1</v>
      </c>
      <c r="M64" s="103">
        <v>1</v>
      </c>
      <c r="N64" s="102">
        <v>1</v>
      </c>
      <c r="O64" s="103">
        <v>1</v>
      </c>
      <c r="P64" s="102">
        <v>1</v>
      </c>
      <c r="Q64" s="103">
        <v>1</v>
      </c>
      <c r="R64" s="102">
        <v>1</v>
      </c>
      <c r="S64" s="64">
        <v>1</v>
      </c>
      <c r="T64" s="102">
        <v>1</v>
      </c>
      <c r="U64" s="103">
        <v>1</v>
      </c>
      <c r="V64" s="102">
        <v>1</v>
      </c>
      <c r="W64" s="103"/>
      <c r="X64" s="102">
        <v>1</v>
      </c>
      <c r="Y64" s="103"/>
      <c r="Z64" s="102">
        <v>1</v>
      </c>
      <c r="AA64" s="103"/>
      <c r="AB64" s="102">
        <v>1</v>
      </c>
      <c r="AC64" s="103"/>
      <c r="AD64" s="102">
        <v>1</v>
      </c>
      <c r="AE64" s="103"/>
      <c r="AF64" s="102">
        <v>1</v>
      </c>
      <c r="AG64" s="103"/>
      <c r="AH64" s="102">
        <v>1</v>
      </c>
      <c r="AI64" s="103"/>
      <c r="AJ64" s="102">
        <v>1</v>
      </c>
      <c r="AK64" s="103"/>
      <c r="AL64" s="102">
        <v>1</v>
      </c>
      <c r="AM64" s="103"/>
      <c r="AN64" s="102">
        <v>1</v>
      </c>
      <c r="AO64" s="103"/>
      <c r="AP64" s="102">
        <v>1</v>
      </c>
      <c r="AQ64" s="103"/>
      <c r="AR64" s="102">
        <v>1</v>
      </c>
      <c r="AS64" s="103"/>
      <c r="AT64" s="116">
        <v>1</v>
      </c>
      <c r="AU64" s="104"/>
      <c r="AV64" s="105">
        <f t="shared" si="11"/>
        <v>0</v>
      </c>
      <c r="AW64" s="103">
        <f t="shared" si="12"/>
        <v>0</v>
      </c>
      <c r="AX64" s="103">
        <f t="shared" si="13"/>
        <v>-1</v>
      </c>
      <c r="AY64" s="103">
        <f t="shared" si="14"/>
        <v>-1</v>
      </c>
      <c r="AZ64" s="103">
        <f t="shared" si="15"/>
        <v>-1</v>
      </c>
      <c r="BA64" s="103">
        <f t="shared" si="16"/>
        <v>0</v>
      </c>
      <c r="BB64" s="103">
        <f t="shared" si="17"/>
        <v>0</v>
      </c>
      <c r="BC64" s="103">
        <f t="shared" si="10"/>
        <v>0</v>
      </c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4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>
        <v>3</v>
      </c>
      <c r="V65" s="12">
        <v>3</v>
      </c>
      <c r="W65" s="13"/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1" t="s">
        <v>127</v>
      </c>
      <c r="B66" s="102">
        <v>0</v>
      </c>
      <c r="C66" s="103">
        <v>0</v>
      </c>
      <c r="D66" s="102">
        <v>0</v>
      </c>
      <c r="E66" s="103">
        <v>4</v>
      </c>
      <c r="F66" s="102">
        <v>7</v>
      </c>
      <c r="G66" s="103">
        <v>6</v>
      </c>
      <c r="H66" s="102">
        <v>8</v>
      </c>
      <c r="I66" s="103">
        <v>8</v>
      </c>
      <c r="J66" s="102">
        <v>8</v>
      </c>
      <c r="K66" s="103">
        <v>8</v>
      </c>
      <c r="L66" s="102">
        <v>8</v>
      </c>
      <c r="M66" s="103">
        <v>10</v>
      </c>
      <c r="N66" s="102">
        <v>8</v>
      </c>
      <c r="O66" s="103">
        <v>10</v>
      </c>
      <c r="P66" s="102">
        <v>8</v>
      </c>
      <c r="Q66" s="103">
        <v>10</v>
      </c>
      <c r="R66" s="102">
        <v>8</v>
      </c>
      <c r="S66" s="64">
        <v>10</v>
      </c>
      <c r="T66" s="102">
        <v>8</v>
      </c>
      <c r="U66" s="103">
        <v>12</v>
      </c>
      <c r="V66" s="102">
        <v>8</v>
      </c>
      <c r="W66" s="103"/>
      <c r="X66" s="102">
        <v>8</v>
      </c>
      <c r="Y66" s="103"/>
      <c r="Z66" s="102">
        <v>8</v>
      </c>
      <c r="AA66" s="103"/>
      <c r="AB66" s="102">
        <v>8</v>
      </c>
      <c r="AC66" s="103"/>
      <c r="AD66" s="102">
        <v>8</v>
      </c>
      <c r="AE66" s="103"/>
      <c r="AF66" s="102">
        <v>8</v>
      </c>
      <c r="AG66" s="103"/>
      <c r="AH66" s="102">
        <v>8</v>
      </c>
      <c r="AI66" s="103"/>
      <c r="AJ66" s="102">
        <v>8</v>
      </c>
      <c r="AK66" s="103"/>
      <c r="AL66" s="102">
        <v>9</v>
      </c>
      <c r="AM66" s="103"/>
      <c r="AN66" s="102">
        <v>9</v>
      </c>
      <c r="AO66" s="103"/>
      <c r="AP66" s="102">
        <v>8</v>
      </c>
      <c r="AQ66" s="103"/>
      <c r="AR66" s="102">
        <v>5</v>
      </c>
      <c r="AS66" s="103"/>
      <c r="AT66" s="116">
        <v>2</v>
      </c>
      <c r="AU66" s="116"/>
      <c r="AV66" s="105">
        <f t="shared" si="11"/>
        <v>0</v>
      </c>
      <c r="AW66" s="103">
        <f t="shared" si="12"/>
        <v>4</v>
      </c>
      <c r="AX66" s="103">
        <f t="shared" si="13"/>
        <v>-1</v>
      </c>
      <c r="AY66" s="103">
        <f t="shared" si="14"/>
        <v>0</v>
      </c>
      <c r="AZ66" s="103">
        <f t="shared" si="15"/>
        <v>0</v>
      </c>
      <c r="BA66" s="103">
        <f t="shared" si="16"/>
        <v>2</v>
      </c>
      <c r="BB66" s="103">
        <f t="shared" si="17"/>
        <v>2</v>
      </c>
      <c r="BC66" s="103">
        <f t="shared" si="10"/>
        <v>2</v>
      </c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4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>
        <v>10</v>
      </c>
      <c r="V67" s="12">
        <v>8</v>
      </c>
      <c r="W67" s="13"/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1" t="s">
        <v>129</v>
      </c>
      <c r="B68" s="102">
        <v>0</v>
      </c>
      <c r="C68" s="103">
        <v>0</v>
      </c>
      <c r="D68" s="102">
        <v>1</v>
      </c>
      <c r="E68" s="103">
        <v>0</v>
      </c>
      <c r="F68" s="102">
        <v>2</v>
      </c>
      <c r="G68" s="103">
        <v>0</v>
      </c>
      <c r="H68" s="102">
        <v>2</v>
      </c>
      <c r="I68" s="103">
        <v>0</v>
      </c>
      <c r="J68" s="102">
        <v>3</v>
      </c>
      <c r="K68" s="103">
        <v>0</v>
      </c>
      <c r="L68" s="102">
        <v>3</v>
      </c>
      <c r="M68" s="103">
        <v>0</v>
      </c>
      <c r="N68" s="102">
        <v>3</v>
      </c>
      <c r="O68" s="103">
        <v>1</v>
      </c>
      <c r="P68" s="102">
        <v>3</v>
      </c>
      <c r="Q68" s="103">
        <v>1</v>
      </c>
      <c r="R68" s="102">
        <v>3</v>
      </c>
      <c r="S68" s="64">
        <v>1</v>
      </c>
      <c r="T68" s="102">
        <v>3</v>
      </c>
      <c r="U68" s="103">
        <v>3</v>
      </c>
      <c r="V68" s="102">
        <v>3</v>
      </c>
      <c r="W68" s="103"/>
      <c r="X68" s="102">
        <v>2</v>
      </c>
      <c r="Y68" s="103"/>
      <c r="Z68" s="102">
        <v>2</v>
      </c>
      <c r="AA68" s="103"/>
      <c r="AB68" s="102">
        <v>2</v>
      </c>
      <c r="AC68" s="103"/>
      <c r="AD68" s="102">
        <v>3</v>
      </c>
      <c r="AE68" s="103"/>
      <c r="AF68" s="102">
        <v>3</v>
      </c>
      <c r="AG68" s="103"/>
      <c r="AH68" s="102">
        <v>3</v>
      </c>
      <c r="AI68" s="103"/>
      <c r="AJ68" s="102">
        <v>3</v>
      </c>
      <c r="AK68" s="103"/>
      <c r="AL68" s="102">
        <v>3</v>
      </c>
      <c r="AM68" s="103"/>
      <c r="AN68" s="102">
        <v>3</v>
      </c>
      <c r="AO68" s="103"/>
      <c r="AP68" s="102">
        <v>3</v>
      </c>
      <c r="AQ68" s="103"/>
      <c r="AR68" s="102">
        <v>2</v>
      </c>
      <c r="AS68" s="103"/>
      <c r="AT68" s="116">
        <v>1</v>
      </c>
      <c r="AU68" s="104"/>
      <c r="AV68" s="105">
        <f t="shared" si="11"/>
        <v>0</v>
      </c>
      <c r="AW68" s="103">
        <f t="shared" si="12"/>
        <v>-1</v>
      </c>
      <c r="AX68" s="103">
        <f t="shared" si="13"/>
        <v>-2</v>
      </c>
      <c r="AY68" s="103">
        <f t="shared" si="14"/>
        <v>-2</v>
      </c>
      <c r="AZ68" s="103">
        <f t="shared" si="15"/>
        <v>-3</v>
      </c>
      <c r="BA68" s="103">
        <f t="shared" si="16"/>
        <v>-3</v>
      </c>
      <c r="BB68" s="103">
        <f t="shared" si="17"/>
        <v>-2</v>
      </c>
      <c r="BC68" s="103">
        <f t="shared" si="10"/>
        <v>-2</v>
      </c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4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>
        <v>1</v>
      </c>
      <c r="V69" s="12">
        <v>1</v>
      </c>
      <c r="W69" s="13"/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1" t="s">
        <v>131</v>
      </c>
      <c r="B70" s="102">
        <v>0</v>
      </c>
      <c r="C70" s="103">
        <v>0</v>
      </c>
      <c r="D70" s="102">
        <v>0</v>
      </c>
      <c r="E70" s="103">
        <v>0</v>
      </c>
      <c r="F70" s="102">
        <v>1</v>
      </c>
      <c r="G70" s="103">
        <v>0</v>
      </c>
      <c r="H70" s="102">
        <v>1</v>
      </c>
      <c r="I70" s="103">
        <v>0</v>
      </c>
      <c r="J70" s="102">
        <v>1</v>
      </c>
      <c r="K70" s="103">
        <v>0</v>
      </c>
      <c r="L70" s="102">
        <v>1</v>
      </c>
      <c r="M70" s="103">
        <v>0</v>
      </c>
      <c r="N70" s="102">
        <v>1</v>
      </c>
      <c r="O70" s="103">
        <v>0</v>
      </c>
      <c r="P70" s="102">
        <v>1</v>
      </c>
      <c r="Q70" s="103">
        <v>0</v>
      </c>
      <c r="R70" s="102">
        <v>1</v>
      </c>
      <c r="S70" s="64"/>
      <c r="T70" s="102">
        <v>1</v>
      </c>
      <c r="U70" s="103"/>
      <c r="V70" s="102">
        <v>1</v>
      </c>
      <c r="W70" s="103"/>
      <c r="X70" s="102">
        <v>1</v>
      </c>
      <c r="Y70" s="103"/>
      <c r="Z70" s="102">
        <v>1</v>
      </c>
      <c r="AA70" s="103"/>
      <c r="AB70" s="102">
        <v>1</v>
      </c>
      <c r="AC70" s="103"/>
      <c r="AD70" s="102">
        <v>1</v>
      </c>
      <c r="AE70" s="103"/>
      <c r="AF70" s="102">
        <v>1</v>
      </c>
      <c r="AG70" s="103"/>
      <c r="AH70" s="102">
        <v>1</v>
      </c>
      <c r="AI70" s="103"/>
      <c r="AJ70" s="102">
        <v>1</v>
      </c>
      <c r="AK70" s="103"/>
      <c r="AL70" s="102">
        <v>1</v>
      </c>
      <c r="AM70" s="103"/>
      <c r="AN70" s="102">
        <v>1</v>
      </c>
      <c r="AO70" s="103"/>
      <c r="AP70" s="102">
        <v>1</v>
      </c>
      <c r="AQ70" s="103"/>
      <c r="AR70" s="102">
        <v>1</v>
      </c>
      <c r="AS70" s="103"/>
      <c r="AT70" s="116">
        <v>1</v>
      </c>
      <c r="AU70" s="104"/>
      <c r="AV70" s="105">
        <f t="shared" si="11"/>
        <v>0</v>
      </c>
      <c r="AW70" s="103">
        <f t="shared" si="12"/>
        <v>0</v>
      </c>
      <c r="AX70" s="103">
        <f t="shared" si="13"/>
        <v>-1</v>
      </c>
      <c r="AY70" s="103">
        <f t="shared" si="14"/>
        <v>-1</v>
      </c>
      <c r="AZ70" s="103">
        <f t="shared" si="15"/>
        <v>-1</v>
      </c>
      <c r="BA70" s="103">
        <f t="shared" si="16"/>
        <v>-1</v>
      </c>
      <c r="BB70" s="103">
        <f t="shared" si="17"/>
        <v>-1</v>
      </c>
      <c r="BC70" s="103">
        <f t="shared" si="10"/>
        <v>-1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4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>
        <v>1</v>
      </c>
      <c r="V71" s="12">
        <v>2</v>
      </c>
      <c r="W71" s="13"/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1" t="s">
        <v>133</v>
      </c>
      <c r="B72" s="102">
        <v>0</v>
      </c>
      <c r="C72" s="103">
        <v>0</v>
      </c>
      <c r="D72" s="102">
        <v>0</v>
      </c>
      <c r="E72" s="103">
        <v>0</v>
      </c>
      <c r="F72" s="102">
        <v>1</v>
      </c>
      <c r="G72" s="103">
        <v>0</v>
      </c>
      <c r="H72" s="102">
        <v>1</v>
      </c>
      <c r="I72" s="103">
        <v>1</v>
      </c>
      <c r="J72" s="102">
        <v>1</v>
      </c>
      <c r="K72" s="103">
        <v>1</v>
      </c>
      <c r="L72" s="102">
        <v>1</v>
      </c>
      <c r="M72" s="103">
        <v>1</v>
      </c>
      <c r="N72" s="102">
        <v>1</v>
      </c>
      <c r="O72" s="103">
        <v>1</v>
      </c>
      <c r="P72" s="102">
        <v>1</v>
      </c>
      <c r="Q72" s="103">
        <v>1</v>
      </c>
      <c r="R72" s="102">
        <v>1</v>
      </c>
      <c r="S72" s="64">
        <v>1</v>
      </c>
      <c r="T72" s="102">
        <v>1</v>
      </c>
      <c r="U72" s="103">
        <v>1</v>
      </c>
      <c r="V72" s="102">
        <v>1</v>
      </c>
      <c r="W72" s="103"/>
      <c r="X72" s="102">
        <v>1</v>
      </c>
      <c r="Y72" s="103"/>
      <c r="Z72" s="102">
        <v>1</v>
      </c>
      <c r="AA72" s="103"/>
      <c r="AB72" s="102">
        <v>1</v>
      </c>
      <c r="AC72" s="103"/>
      <c r="AD72" s="102">
        <v>1</v>
      </c>
      <c r="AE72" s="103"/>
      <c r="AF72" s="102">
        <v>1</v>
      </c>
      <c r="AG72" s="103"/>
      <c r="AH72" s="102">
        <v>1</v>
      </c>
      <c r="AI72" s="103"/>
      <c r="AJ72" s="102">
        <v>1</v>
      </c>
      <c r="AK72" s="103"/>
      <c r="AL72" s="102">
        <v>1</v>
      </c>
      <c r="AM72" s="103"/>
      <c r="AN72" s="102">
        <v>1</v>
      </c>
      <c r="AO72" s="103"/>
      <c r="AP72" s="102">
        <v>1</v>
      </c>
      <c r="AQ72" s="103"/>
      <c r="AR72" s="102">
        <v>1</v>
      </c>
      <c r="AS72" s="103"/>
      <c r="AT72" s="116">
        <v>1</v>
      </c>
      <c r="AU72" s="104"/>
      <c r="AV72" s="105">
        <f t="shared" si="11"/>
        <v>0</v>
      </c>
      <c r="AW72" s="103">
        <f t="shared" si="12"/>
        <v>0</v>
      </c>
      <c r="AX72" s="103">
        <f t="shared" si="13"/>
        <v>-1</v>
      </c>
      <c r="AY72" s="103">
        <f t="shared" si="14"/>
        <v>0</v>
      </c>
      <c r="AZ72" s="103">
        <f t="shared" si="15"/>
        <v>0</v>
      </c>
      <c r="BA72" s="103">
        <f t="shared" si="16"/>
        <v>0</v>
      </c>
      <c r="BB72" s="103">
        <f t="shared" si="17"/>
        <v>0</v>
      </c>
      <c r="BC72" s="103">
        <f t="shared" si="10"/>
        <v>0</v>
      </c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4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>
        <v>1</v>
      </c>
      <c r="V73" s="12">
        <v>1</v>
      </c>
      <c r="W73" s="13"/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1" t="s">
        <v>135</v>
      </c>
      <c r="B74" s="102">
        <v>0</v>
      </c>
      <c r="C74" s="103">
        <v>0</v>
      </c>
      <c r="D74" s="102">
        <v>0</v>
      </c>
      <c r="E74" s="103">
        <v>0</v>
      </c>
      <c r="F74" s="102">
        <v>1</v>
      </c>
      <c r="G74" s="103">
        <v>1</v>
      </c>
      <c r="H74" s="102">
        <v>1</v>
      </c>
      <c r="I74" s="103">
        <v>1</v>
      </c>
      <c r="J74" s="102">
        <v>1</v>
      </c>
      <c r="K74" s="103">
        <v>1</v>
      </c>
      <c r="L74" s="102">
        <v>1</v>
      </c>
      <c r="M74" s="103">
        <v>1</v>
      </c>
      <c r="N74" s="102">
        <v>1</v>
      </c>
      <c r="O74" s="103">
        <v>2</v>
      </c>
      <c r="P74" s="102">
        <v>1</v>
      </c>
      <c r="Q74" s="103">
        <v>2</v>
      </c>
      <c r="R74" s="102">
        <v>1</v>
      </c>
      <c r="S74" s="64">
        <v>2</v>
      </c>
      <c r="T74" s="102">
        <v>1</v>
      </c>
      <c r="U74" s="103">
        <v>2</v>
      </c>
      <c r="V74" s="102">
        <v>1</v>
      </c>
      <c r="W74" s="103"/>
      <c r="X74" s="102">
        <v>1</v>
      </c>
      <c r="Y74" s="103"/>
      <c r="Z74" s="102">
        <v>1</v>
      </c>
      <c r="AA74" s="103"/>
      <c r="AB74" s="102">
        <v>1</v>
      </c>
      <c r="AC74" s="103"/>
      <c r="AD74" s="102">
        <v>1</v>
      </c>
      <c r="AE74" s="103"/>
      <c r="AF74" s="102">
        <v>1</v>
      </c>
      <c r="AG74" s="103"/>
      <c r="AH74" s="102">
        <v>1</v>
      </c>
      <c r="AI74" s="103"/>
      <c r="AJ74" s="102">
        <v>1</v>
      </c>
      <c r="AK74" s="103"/>
      <c r="AL74" s="102">
        <v>1</v>
      </c>
      <c r="AM74" s="103"/>
      <c r="AN74" s="102">
        <v>1</v>
      </c>
      <c r="AO74" s="103"/>
      <c r="AP74" s="102">
        <v>1</v>
      </c>
      <c r="AQ74" s="103"/>
      <c r="AR74" s="102">
        <v>1</v>
      </c>
      <c r="AS74" s="103"/>
      <c r="AT74" s="116">
        <v>1</v>
      </c>
      <c r="AU74" s="104"/>
      <c r="AV74" s="105">
        <f t="shared" si="11"/>
        <v>0</v>
      </c>
      <c r="AW74" s="103">
        <f t="shared" si="12"/>
        <v>0</v>
      </c>
      <c r="AX74" s="103">
        <f t="shared" si="13"/>
        <v>0</v>
      </c>
      <c r="AY74" s="103">
        <f t="shared" si="14"/>
        <v>0</v>
      </c>
      <c r="AZ74" s="103">
        <f t="shared" si="15"/>
        <v>0</v>
      </c>
      <c r="BA74" s="103">
        <f t="shared" si="16"/>
        <v>0</v>
      </c>
      <c r="BB74" s="103">
        <f t="shared" si="17"/>
        <v>1</v>
      </c>
      <c r="BC74" s="103">
        <f t="shared" si="10"/>
        <v>1</v>
      </c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4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>
        <v>2</v>
      </c>
      <c r="V75" s="12">
        <v>3</v>
      </c>
      <c r="W75" s="13"/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1" t="s">
        <v>137</v>
      </c>
      <c r="B76" s="102">
        <v>0</v>
      </c>
      <c r="C76" s="103">
        <v>0</v>
      </c>
      <c r="D76" s="102">
        <v>0</v>
      </c>
      <c r="E76" s="103">
        <v>2</v>
      </c>
      <c r="F76" s="102">
        <v>1</v>
      </c>
      <c r="G76" s="103">
        <v>3</v>
      </c>
      <c r="H76" s="102">
        <v>6</v>
      </c>
      <c r="I76" s="103">
        <v>4</v>
      </c>
      <c r="J76" s="102">
        <v>6</v>
      </c>
      <c r="K76" s="103">
        <v>6</v>
      </c>
      <c r="L76" s="102">
        <v>6</v>
      </c>
      <c r="M76" s="103">
        <v>6</v>
      </c>
      <c r="N76" s="102">
        <v>6</v>
      </c>
      <c r="O76" s="103">
        <v>6</v>
      </c>
      <c r="P76" s="102">
        <v>6</v>
      </c>
      <c r="Q76" s="103">
        <v>7</v>
      </c>
      <c r="R76" s="102">
        <v>6</v>
      </c>
      <c r="S76" s="64">
        <v>7</v>
      </c>
      <c r="T76" s="102">
        <v>6</v>
      </c>
      <c r="U76" s="103">
        <v>7</v>
      </c>
      <c r="V76" s="102">
        <v>6</v>
      </c>
      <c r="W76" s="103"/>
      <c r="X76" s="102">
        <v>6</v>
      </c>
      <c r="Y76" s="103"/>
      <c r="Z76" s="102">
        <v>6</v>
      </c>
      <c r="AA76" s="103"/>
      <c r="AB76" s="102">
        <v>6</v>
      </c>
      <c r="AC76" s="103"/>
      <c r="AD76" s="102">
        <v>6</v>
      </c>
      <c r="AE76" s="103"/>
      <c r="AF76" s="102">
        <v>6</v>
      </c>
      <c r="AG76" s="103"/>
      <c r="AH76" s="102">
        <v>6</v>
      </c>
      <c r="AI76" s="103"/>
      <c r="AJ76" s="102">
        <v>6</v>
      </c>
      <c r="AK76" s="103"/>
      <c r="AL76" s="102">
        <v>6</v>
      </c>
      <c r="AM76" s="103"/>
      <c r="AN76" s="102">
        <v>6</v>
      </c>
      <c r="AO76" s="103"/>
      <c r="AP76" s="102">
        <v>6</v>
      </c>
      <c r="AQ76" s="103"/>
      <c r="AR76" s="102">
        <v>6</v>
      </c>
      <c r="AS76" s="103"/>
      <c r="AT76" s="116">
        <v>6</v>
      </c>
      <c r="AU76" s="104"/>
      <c r="AV76" s="105">
        <f t="shared" si="11"/>
        <v>0</v>
      </c>
      <c r="AW76" s="103">
        <f t="shared" si="12"/>
        <v>2</v>
      </c>
      <c r="AX76" s="103">
        <f t="shared" si="13"/>
        <v>2</v>
      </c>
      <c r="AY76" s="103">
        <f t="shared" si="14"/>
        <v>-2</v>
      </c>
      <c r="AZ76" s="103">
        <f t="shared" si="15"/>
        <v>0</v>
      </c>
      <c r="BA76" s="103">
        <f t="shared" si="16"/>
        <v>0</v>
      </c>
      <c r="BB76" s="103">
        <f t="shared" si="17"/>
        <v>0</v>
      </c>
      <c r="BC76" s="103">
        <f t="shared" si="10"/>
        <v>1</v>
      </c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4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>
        <v>1</v>
      </c>
      <c r="V77" s="12">
        <v>1</v>
      </c>
      <c r="W77" s="13"/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6" t="s">
        <v>139</v>
      </c>
      <c r="B78" s="107">
        <v>0</v>
      </c>
      <c r="C78" s="108">
        <v>0</v>
      </c>
      <c r="D78" s="107">
        <v>1</v>
      </c>
      <c r="E78" s="108">
        <v>2</v>
      </c>
      <c r="F78" s="107">
        <v>1</v>
      </c>
      <c r="G78" s="108">
        <v>2</v>
      </c>
      <c r="H78" s="107">
        <v>1</v>
      </c>
      <c r="I78" s="108">
        <v>2</v>
      </c>
      <c r="J78" s="107">
        <v>1</v>
      </c>
      <c r="K78" s="108">
        <v>5</v>
      </c>
      <c r="L78" s="107">
        <v>1</v>
      </c>
      <c r="M78" s="108">
        <v>2</v>
      </c>
      <c r="N78" s="107">
        <v>1</v>
      </c>
      <c r="O78" s="108">
        <v>2</v>
      </c>
      <c r="P78" s="107">
        <v>1</v>
      </c>
      <c r="Q78" s="108">
        <v>3</v>
      </c>
      <c r="R78" s="107">
        <v>1</v>
      </c>
      <c r="S78" s="65">
        <v>3</v>
      </c>
      <c r="T78" s="107">
        <v>1</v>
      </c>
      <c r="U78" s="108">
        <v>1</v>
      </c>
      <c r="V78" s="107">
        <v>1</v>
      </c>
      <c r="W78" s="108"/>
      <c r="X78" s="107">
        <v>1</v>
      </c>
      <c r="Y78" s="108"/>
      <c r="Z78" s="107">
        <v>1</v>
      </c>
      <c r="AA78" s="108"/>
      <c r="AB78" s="107">
        <v>1</v>
      </c>
      <c r="AC78" s="108"/>
      <c r="AD78" s="107">
        <v>1</v>
      </c>
      <c r="AE78" s="108"/>
      <c r="AF78" s="107">
        <v>1</v>
      </c>
      <c r="AG78" s="108"/>
      <c r="AH78" s="107">
        <v>1</v>
      </c>
      <c r="AI78" s="108"/>
      <c r="AJ78" s="107">
        <v>1</v>
      </c>
      <c r="AK78" s="108"/>
      <c r="AL78" s="107">
        <v>1</v>
      </c>
      <c r="AM78" s="108"/>
      <c r="AN78" s="107">
        <v>1</v>
      </c>
      <c r="AO78" s="108"/>
      <c r="AP78" s="107">
        <v>1</v>
      </c>
      <c r="AQ78" s="108"/>
      <c r="AR78" s="107">
        <v>1</v>
      </c>
      <c r="AS78" s="108"/>
      <c r="AT78" s="117">
        <v>0.375</v>
      </c>
      <c r="AU78" s="109"/>
      <c r="AV78" s="110">
        <f t="shared" si="11"/>
        <v>0</v>
      </c>
      <c r="AW78" s="108">
        <f t="shared" si="12"/>
        <v>1</v>
      </c>
      <c r="AX78" s="108">
        <f t="shared" si="13"/>
        <v>1</v>
      </c>
      <c r="AY78" s="108">
        <f t="shared" si="14"/>
        <v>1</v>
      </c>
      <c r="AZ78" s="108">
        <f t="shared" si="15"/>
        <v>4</v>
      </c>
      <c r="BA78" s="108">
        <f t="shared" si="16"/>
        <v>1</v>
      </c>
      <c r="BB78" s="108">
        <f t="shared" si="17"/>
        <v>1</v>
      </c>
      <c r="BC78" s="108">
        <f t="shared" si="10"/>
        <v>2</v>
      </c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  <c r="BO78" s="108"/>
      <c r="BP78" s="108"/>
      <c r="BQ78" s="108"/>
      <c r="BR78" s="109"/>
    </row>
    <row r="79" spans="1:70" x14ac:dyDescent="0.25">
      <c r="A79" s="111" t="s">
        <v>96</v>
      </c>
      <c r="B79" s="112">
        <f>SUM(B37:B78)</f>
        <v>0</v>
      </c>
      <c r="C79" s="112">
        <f t="shared" ref="C79:BN79" si="18">SUM(C37:C78)</f>
        <v>4</v>
      </c>
      <c r="D79" s="112">
        <f t="shared" si="18"/>
        <v>32.5</v>
      </c>
      <c r="E79" s="112">
        <f t="shared" si="18"/>
        <v>34</v>
      </c>
      <c r="F79" s="112">
        <f t="shared" si="18"/>
        <v>97</v>
      </c>
      <c r="G79" s="112">
        <f t="shared" si="18"/>
        <v>56</v>
      </c>
      <c r="H79" s="112">
        <f t="shared" si="18"/>
        <v>104</v>
      </c>
      <c r="I79" s="112">
        <f t="shared" si="18"/>
        <v>64</v>
      </c>
      <c r="J79" s="112">
        <f t="shared" si="18"/>
        <v>107</v>
      </c>
      <c r="K79" s="112">
        <f t="shared" si="18"/>
        <v>72</v>
      </c>
      <c r="L79" s="112">
        <f t="shared" si="18"/>
        <v>107</v>
      </c>
      <c r="M79" s="112">
        <f t="shared" si="18"/>
        <v>84</v>
      </c>
      <c r="N79" s="112">
        <f t="shared" si="18"/>
        <v>107</v>
      </c>
      <c r="O79" s="112">
        <f t="shared" si="18"/>
        <v>88</v>
      </c>
      <c r="P79" s="112">
        <f t="shared" si="18"/>
        <v>107</v>
      </c>
      <c r="Q79" s="112">
        <f t="shared" si="18"/>
        <v>102</v>
      </c>
      <c r="R79" s="112">
        <f t="shared" si="18"/>
        <v>107</v>
      </c>
      <c r="S79" s="112">
        <f t="shared" si="18"/>
        <v>109</v>
      </c>
      <c r="T79" s="112">
        <f t="shared" si="18"/>
        <v>107</v>
      </c>
      <c r="U79" s="112">
        <f t="shared" si="18"/>
        <v>115</v>
      </c>
      <c r="V79" s="112">
        <f t="shared" si="18"/>
        <v>107</v>
      </c>
      <c r="W79" s="112">
        <f t="shared" si="18"/>
        <v>0</v>
      </c>
      <c r="X79" s="112">
        <f t="shared" si="18"/>
        <v>104</v>
      </c>
      <c r="Y79" s="112">
        <f t="shared" si="18"/>
        <v>0</v>
      </c>
      <c r="Z79" s="112">
        <f t="shared" si="18"/>
        <v>104</v>
      </c>
      <c r="AA79" s="112">
        <f t="shared" si="18"/>
        <v>0</v>
      </c>
      <c r="AB79" s="112">
        <f t="shared" si="18"/>
        <v>104</v>
      </c>
      <c r="AC79" s="112">
        <f t="shared" si="18"/>
        <v>0</v>
      </c>
      <c r="AD79" s="112">
        <f t="shared" si="18"/>
        <v>107</v>
      </c>
      <c r="AE79" s="112">
        <f t="shared" si="18"/>
        <v>0</v>
      </c>
      <c r="AF79" s="112">
        <f t="shared" si="18"/>
        <v>108</v>
      </c>
      <c r="AG79" s="112">
        <f t="shared" si="18"/>
        <v>0</v>
      </c>
      <c r="AH79" s="112">
        <f t="shared" si="18"/>
        <v>108</v>
      </c>
      <c r="AI79" s="112">
        <f t="shared" si="18"/>
        <v>0</v>
      </c>
      <c r="AJ79" s="112">
        <f t="shared" si="18"/>
        <v>108</v>
      </c>
      <c r="AK79" s="112">
        <f t="shared" si="18"/>
        <v>0</v>
      </c>
      <c r="AL79" s="112">
        <f t="shared" si="18"/>
        <v>109</v>
      </c>
      <c r="AM79" s="112">
        <f t="shared" si="18"/>
        <v>0</v>
      </c>
      <c r="AN79" s="112">
        <f t="shared" si="18"/>
        <v>109</v>
      </c>
      <c r="AO79" s="112">
        <f t="shared" si="18"/>
        <v>0</v>
      </c>
      <c r="AP79" s="112">
        <f t="shared" si="18"/>
        <v>108</v>
      </c>
      <c r="AQ79" s="112">
        <f t="shared" si="18"/>
        <v>0</v>
      </c>
      <c r="AR79" s="112">
        <f t="shared" si="18"/>
        <v>101</v>
      </c>
      <c r="AS79" s="112">
        <f t="shared" si="18"/>
        <v>0</v>
      </c>
      <c r="AT79" s="112">
        <f t="shared" si="18"/>
        <v>69.375</v>
      </c>
      <c r="AU79" s="118">
        <f t="shared" si="18"/>
        <v>0</v>
      </c>
      <c r="AV79" s="119">
        <f t="shared" si="18"/>
        <v>4</v>
      </c>
      <c r="AW79" s="120">
        <f t="shared" si="18"/>
        <v>1.5</v>
      </c>
      <c r="AX79" s="120">
        <f t="shared" si="18"/>
        <v>-41</v>
      </c>
      <c r="AY79" s="120">
        <f t="shared" si="18"/>
        <v>-40</v>
      </c>
      <c r="AZ79" s="120">
        <f t="shared" si="18"/>
        <v>-35</v>
      </c>
      <c r="BA79" s="120">
        <f t="shared" si="18"/>
        <v>-23</v>
      </c>
      <c r="BB79" s="120">
        <f t="shared" si="18"/>
        <v>-19</v>
      </c>
      <c r="BC79" s="120">
        <f t="shared" si="18"/>
        <v>-5</v>
      </c>
      <c r="BD79" s="120">
        <f t="shared" si="18"/>
        <v>0</v>
      </c>
      <c r="BE79" s="120">
        <f t="shared" si="18"/>
        <v>0</v>
      </c>
      <c r="BF79" s="120">
        <f t="shared" si="18"/>
        <v>0</v>
      </c>
      <c r="BG79" s="120">
        <f t="shared" si="18"/>
        <v>0</v>
      </c>
      <c r="BH79" s="120">
        <f t="shared" si="18"/>
        <v>0</v>
      </c>
      <c r="BI79" s="120">
        <f t="shared" si="18"/>
        <v>0</v>
      </c>
      <c r="BJ79" s="120">
        <f t="shared" si="18"/>
        <v>0</v>
      </c>
      <c r="BK79" s="120">
        <f t="shared" si="18"/>
        <v>0</v>
      </c>
      <c r="BL79" s="120">
        <f t="shared" si="18"/>
        <v>0</v>
      </c>
      <c r="BM79" s="120">
        <f t="shared" si="18"/>
        <v>0</v>
      </c>
      <c r="BN79" s="120">
        <f t="shared" si="18"/>
        <v>0</v>
      </c>
      <c r="BO79" s="120">
        <f t="shared" ref="BO79:BR79" si="19">SUM(BO37:BO78)</f>
        <v>0</v>
      </c>
      <c r="BP79" s="120">
        <f t="shared" si="19"/>
        <v>0</v>
      </c>
      <c r="BQ79" s="120">
        <f t="shared" si="19"/>
        <v>0</v>
      </c>
      <c r="BR79" s="121">
        <f t="shared" si="19"/>
        <v>0</v>
      </c>
    </row>
    <row r="80" spans="1:70" x14ac:dyDescent="0.25">
      <c r="O80" s="15"/>
    </row>
    <row r="81" spans="1:70" x14ac:dyDescent="0.25">
      <c r="A81" s="205" t="s">
        <v>140</v>
      </c>
      <c r="B81" s="89">
        <v>45992</v>
      </c>
      <c r="C81" s="90"/>
      <c r="D81" s="89">
        <v>46023</v>
      </c>
      <c r="E81" s="90"/>
      <c r="F81" s="89">
        <v>46054</v>
      </c>
      <c r="G81" s="90"/>
      <c r="H81" s="89">
        <v>46082</v>
      </c>
      <c r="I81" s="90"/>
      <c r="J81" s="89">
        <v>46113</v>
      </c>
      <c r="K81" s="90"/>
      <c r="L81" s="89">
        <v>46143</v>
      </c>
      <c r="M81" s="90"/>
      <c r="N81" s="89">
        <v>46174</v>
      </c>
      <c r="O81" s="90"/>
      <c r="P81" s="89">
        <v>46204</v>
      </c>
      <c r="Q81" s="90"/>
      <c r="R81" s="89">
        <v>46235</v>
      </c>
      <c r="S81" s="90"/>
      <c r="T81" s="89">
        <v>46266</v>
      </c>
      <c r="U81" s="90"/>
      <c r="V81" s="89">
        <v>46296</v>
      </c>
      <c r="W81" s="90"/>
      <c r="X81" s="89">
        <v>46327</v>
      </c>
      <c r="Y81" s="90"/>
      <c r="Z81" s="89">
        <v>46357</v>
      </c>
      <c r="AA81" s="90"/>
      <c r="AB81" s="89">
        <v>46388</v>
      </c>
      <c r="AC81" s="90"/>
      <c r="AD81" s="89">
        <v>46419</v>
      </c>
      <c r="AE81" s="90"/>
      <c r="AF81" s="89">
        <v>46447</v>
      </c>
      <c r="AG81" s="90"/>
      <c r="AH81" s="89">
        <v>46478</v>
      </c>
      <c r="AI81" s="90"/>
      <c r="AJ81" s="89">
        <v>46508</v>
      </c>
      <c r="AK81" s="90"/>
      <c r="AL81" s="89">
        <v>46539</v>
      </c>
      <c r="AM81" s="90"/>
      <c r="AN81" s="89">
        <v>46569</v>
      </c>
      <c r="AO81" s="90"/>
      <c r="AP81" s="89">
        <v>46600</v>
      </c>
      <c r="AQ81" s="90"/>
      <c r="AR81" s="89">
        <v>46631</v>
      </c>
      <c r="AS81" s="90"/>
      <c r="AT81" s="89">
        <v>46661</v>
      </c>
      <c r="AU81" s="91"/>
      <c r="AV81" s="92">
        <v>45992</v>
      </c>
      <c r="AW81" s="93">
        <v>46023</v>
      </c>
      <c r="AX81" s="93">
        <v>46054</v>
      </c>
      <c r="AY81" s="93">
        <v>46082</v>
      </c>
      <c r="AZ81" s="93">
        <v>46113</v>
      </c>
      <c r="BA81" s="93">
        <v>46143</v>
      </c>
      <c r="BB81" s="93">
        <v>46174</v>
      </c>
      <c r="BC81" s="93">
        <v>46204</v>
      </c>
      <c r="BD81" s="93">
        <v>46235</v>
      </c>
      <c r="BE81" s="93">
        <v>46266</v>
      </c>
      <c r="BF81" s="93">
        <v>46296</v>
      </c>
      <c r="BG81" s="93">
        <v>46327</v>
      </c>
      <c r="BH81" s="93">
        <v>46357</v>
      </c>
      <c r="BI81" s="93">
        <v>46388</v>
      </c>
      <c r="BJ81" s="93">
        <v>46419</v>
      </c>
      <c r="BK81" s="93">
        <v>46447</v>
      </c>
      <c r="BL81" s="93">
        <v>46478</v>
      </c>
      <c r="BM81" s="93">
        <v>46508</v>
      </c>
      <c r="BN81" s="93">
        <v>46539</v>
      </c>
      <c r="BO81" s="93">
        <v>46569</v>
      </c>
      <c r="BP81" s="93">
        <v>46600</v>
      </c>
      <c r="BQ81" s="93">
        <v>46631</v>
      </c>
      <c r="BR81" s="94">
        <v>46661</v>
      </c>
    </row>
    <row r="82" spans="1:70" x14ac:dyDescent="0.25">
      <c r="A82" s="207"/>
      <c r="B82" s="96" t="s">
        <v>63</v>
      </c>
      <c r="C82" s="97" t="s">
        <v>64</v>
      </c>
      <c r="D82" s="96" t="s">
        <v>63</v>
      </c>
      <c r="E82" s="97" t="s">
        <v>64</v>
      </c>
      <c r="F82" s="96" t="s">
        <v>63</v>
      </c>
      <c r="G82" s="97" t="s">
        <v>64</v>
      </c>
      <c r="H82" s="96" t="s">
        <v>63</v>
      </c>
      <c r="I82" s="97" t="s">
        <v>64</v>
      </c>
      <c r="J82" s="96" t="s">
        <v>63</v>
      </c>
      <c r="K82" s="97" t="s">
        <v>64</v>
      </c>
      <c r="L82" s="96" t="s">
        <v>63</v>
      </c>
      <c r="M82" s="97" t="s">
        <v>64</v>
      </c>
      <c r="N82" s="96" t="s">
        <v>63</v>
      </c>
      <c r="O82" s="97" t="s">
        <v>64</v>
      </c>
      <c r="P82" s="96" t="s">
        <v>63</v>
      </c>
      <c r="Q82" s="97" t="s">
        <v>64</v>
      </c>
      <c r="R82" s="96" t="s">
        <v>63</v>
      </c>
      <c r="S82" s="97" t="s">
        <v>64</v>
      </c>
      <c r="T82" s="96" t="s">
        <v>63</v>
      </c>
      <c r="U82" s="97" t="s">
        <v>64</v>
      </c>
      <c r="V82" s="96" t="s">
        <v>63</v>
      </c>
      <c r="W82" s="97" t="s">
        <v>64</v>
      </c>
      <c r="X82" s="96" t="s">
        <v>63</v>
      </c>
      <c r="Y82" s="97" t="s">
        <v>64</v>
      </c>
      <c r="Z82" s="96" t="s">
        <v>63</v>
      </c>
      <c r="AA82" s="97" t="s">
        <v>64</v>
      </c>
      <c r="AB82" s="96" t="s">
        <v>63</v>
      </c>
      <c r="AC82" s="97" t="s">
        <v>64</v>
      </c>
      <c r="AD82" s="96" t="s">
        <v>63</v>
      </c>
      <c r="AE82" s="97" t="s">
        <v>64</v>
      </c>
      <c r="AF82" s="96" t="s">
        <v>63</v>
      </c>
      <c r="AG82" s="97" t="s">
        <v>64</v>
      </c>
      <c r="AH82" s="96" t="s">
        <v>63</v>
      </c>
      <c r="AI82" s="97" t="s">
        <v>64</v>
      </c>
      <c r="AJ82" s="96" t="s">
        <v>63</v>
      </c>
      <c r="AK82" s="97" t="s">
        <v>64</v>
      </c>
      <c r="AL82" s="96" t="s">
        <v>63</v>
      </c>
      <c r="AM82" s="97" t="s">
        <v>64</v>
      </c>
      <c r="AN82" s="96" t="s">
        <v>63</v>
      </c>
      <c r="AO82" s="97" t="s">
        <v>64</v>
      </c>
      <c r="AP82" s="96" t="s">
        <v>63</v>
      </c>
      <c r="AQ82" s="97" t="s">
        <v>64</v>
      </c>
      <c r="AR82" s="96" t="s">
        <v>63</v>
      </c>
      <c r="AS82" s="97" t="s">
        <v>64</v>
      </c>
      <c r="AT82" s="96" t="s">
        <v>63</v>
      </c>
      <c r="AU82" s="98" t="s">
        <v>64</v>
      </c>
      <c r="AV82" s="99" t="s">
        <v>65</v>
      </c>
      <c r="AW82" s="96" t="s">
        <v>65</v>
      </c>
      <c r="AX82" s="96" t="s">
        <v>65</v>
      </c>
      <c r="AY82" s="96" t="s">
        <v>65</v>
      </c>
      <c r="AZ82" s="96" t="s">
        <v>65</v>
      </c>
      <c r="BA82" s="96" t="s">
        <v>65</v>
      </c>
      <c r="BB82" s="96" t="s">
        <v>65</v>
      </c>
      <c r="BC82" s="96" t="s">
        <v>65</v>
      </c>
      <c r="BD82" s="96" t="s">
        <v>65</v>
      </c>
      <c r="BE82" s="96" t="s">
        <v>65</v>
      </c>
      <c r="BF82" s="96" t="s">
        <v>65</v>
      </c>
      <c r="BG82" s="96" t="s">
        <v>65</v>
      </c>
      <c r="BH82" s="96" t="s">
        <v>65</v>
      </c>
      <c r="BI82" s="96" t="s">
        <v>65</v>
      </c>
      <c r="BJ82" s="96" t="s">
        <v>65</v>
      </c>
      <c r="BK82" s="96" t="s">
        <v>65</v>
      </c>
      <c r="BL82" s="96" t="s">
        <v>65</v>
      </c>
      <c r="BM82" s="96" t="s">
        <v>65</v>
      </c>
      <c r="BN82" s="96" t="s">
        <v>65</v>
      </c>
      <c r="BO82" s="96" t="s">
        <v>65</v>
      </c>
      <c r="BP82" s="96" t="s">
        <v>65</v>
      </c>
      <c r="BQ82" s="96" t="s">
        <v>65</v>
      </c>
      <c r="BR82" s="100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>
        <v>27</v>
      </c>
      <c r="V83" s="9">
        <v>2</v>
      </c>
      <c r="W83" s="10"/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1" t="s">
        <v>141</v>
      </c>
      <c r="B84" s="102">
        <v>0</v>
      </c>
      <c r="C84" s="103">
        <v>0</v>
      </c>
      <c r="D84" s="102">
        <v>2</v>
      </c>
      <c r="E84" s="103">
        <v>1</v>
      </c>
      <c r="F84" s="102">
        <v>5</v>
      </c>
      <c r="G84" s="103">
        <v>5</v>
      </c>
      <c r="H84" s="102">
        <v>12</v>
      </c>
      <c r="I84" s="103">
        <v>5</v>
      </c>
      <c r="J84" s="102">
        <v>12</v>
      </c>
      <c r="K84" s="103">
        <v>5</v>
      </c>
      <c r="L84" s="102">
        <v>12</v>
      </c>
      <c r="M84" s="103">
        <v>5</v>
      </c>
      <c r="N84" s="102">
        <v>12</v>
      </c>
      <c r="O84" s="103">
        <v>5</v>
      </c>
      <c r="P84" s="102">
        <v>12</v>
      </c>
      <c r="Q84" s="103">
        <v>5</v>
      </c>
      <c r="R84" s="102">
        <v>12</v>
      </c>
      <c r="S84" s="64">
        <v>5</v>
      </c>
      <c r="T84" s="102">
        <v>12</v>
      </c>
      <c r="U84" s="103">
        <v>5</v>
      </c>
      <c r="V84" s="102">
        <v>12</v>
      </c>
      <c r="W84" s="103"/>
      <c r="X84" s="102">
        <v>12</v>
      </c>
      <c r="Y84" s="103"/>
      <c r="Z84" s="102">
        <v>12</v>
      </c>
      <c r="AA84" s="103"/>
      <c r="AB84" s="102">
        <v>12</v>
      </c>
      <c r="AC84" s="103"/>
      <c r="AD84" s="102">
        <v>12</v>
      </c>
      <c r="AE84" s="103"/>
      <c r="AF84" s="102">
        <v>12</v>
      </c>
      <c r="AG84" s="103"/>
      <c r="AH84" s="102">
        <v>12</v>
      </c>
      <c r="AI84" s="103"/>
      <c r="AJ84" s="102">
        <v>12</v>
      </c>
      <c r="AK84" s="103"/>
      <c r="AL84" s="102">
        <v>12</v>
      </c>
      <c r="AM84" s="103"/>
      <c r="AN84" s="102">
        <v>12</v>
      </c>
      <c r="AO84" s="103"/>
      <c r="AP84" s="102">
        <v>12</v>
      </c>
      <c r="AQ84" s="103"/>
      <c r="AR84" s="102">
        <v>12</v>
      </c>
      <c r="AS84" s="103"/>
      <c r="AT84" s="116">
        <v>8</v>
      </c>
      <c r="AU84" s="104"/>
      <c r="AV84" s="105">
        <f t="shared" ref="AV84:AV89" si="21">C84-B84</f>
        <v>0</v>
      </c>
      <c r="AW84" s="103">
        <f t="shared" ref="AW84:AW89" si="22">E84-D84</f>
        <v>-1</v>
      </c>
      <c r="AX84" s="103">
        <f t="shared" ref="AX84:AX89" si="23">G84-F84</f>
        <v>0</v>
      </c>
      <c r="AY84" s="103">
        <f t="shared" ref="AY84:AY89" si="24">I84-H84</f>
        <v>-7</v>
      </c>
      <c r="AZ84" s="103">
        <f t="shared" ref="AZ84:AZ89" si="25">K84-J84</f>
        <v>-7</v>
      </c>
      <c r="BA84" s="103">
        <f t="shared" ref="BA84:BA89" si="26">M84-L84</f>
        <v>-7</v>
      </c>
      <c r="BB84" s="103">
        <f t="shared" ref="BB84:BB89" si="27">O84-N84</f>
        <v>-7</v>
      </c>
      <c r="BC84" s="103">
        <f t="shared" si="20"/>
        <v>-7</v>
      </c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4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1" t="s">
        <v>141</v>
      </c>
      <c r="B86" s="102">
        <v>0</v>
      </c>
      <c r="C86" s="103">
        <v>0</v>
      </c>
      <c r="D86" s="102">
        <v>0</v>
      </c>
      <c r="E86" s="103">
        <v>1</v>
      </c>
      <c r="F86" s="102">
        <v>1</v>
      </c>
      <c r="G86" s="103">
        <v>2</v>
      </c>
      <c r="H86" s="102">
        <v>1</v>
      </c>
      <c r="I86" s="103">
        <v>2</v>
      </c>
      <c r="J86" s="102">
        <v>1</v>
      </c>
      <c r="K86" s="103">
        <v>2</v>
      </c>
      <c r="L86" s="102">
        <v>1</v>
      </c>
      <c r="M86" s="103">
        <v>2</v>
      </c>
      <c r="N86" s="102">
        <v>1</v>
      </c>
      <c r="O86" s="103">
        <v>2</v>
      </c>
      <c r="P86" s="102">
        <v>1</v>
      </c>
      <c r="Q86" s="103">
        <v>2</v>
      </c>
      <c r="R86" s="102">
        <v>1</v>
      </c>
      <c r="S86" s="64">
        <v>2</v>
      </c>
      <c r="T86" s="102">
        <v>1</v>
      </c>
      <c r="U86" s="103">
        <v>2</v>
      </c>
      <c r="V86" s="102">
        <v>1</v>
      </c>
      <c r="W86" s="103"/>
      <c r="X86" s="102">
        <v>1</v>
      </c>
      <c r="Y86" s="103"/>
      <c r="Z86" s="102">
        <v>1</v>
      </c>
      <c r="AA86" s="103"/>
      <c r="AB86" s="102">
        <v>1</v>
      </c>
      <c r="AC86" s="103"/>
      <c r="AD86" s="102">
        <v>1</v>
      </c>
      <c r="AE86" s="103"/>
      <c r="AF86" s="102">
        <v>1</v>
      </c>
      <c r="AG86" s="103"/>
      <c r="AH86" s="102">
        <v>1</v>
      </c>
      <c r="AI86" s="103"/>
      <c r="AJ86" s="102">
        <v>1</v>
      </c>
      <c r="AK86" s="103"/>
      <c r="AL86" s="102">
        <v>1</v>
      </c>
      <c r="AM86" s="103"/>
      <c r="AN86" s="102">
        <v>1</v>
      </c>
      <c r="AO86" s="103"/>
      <c r="AP86" s="102">
        <v>1</v>
      </c>
      <c r="AQ86" s="103"/>
      <c r="AR86" s="102">
        <v>1</v>
      </c>
      <c r="AS86" s="103"/>
      <c r="AT86" s="116">
        <v>1</v>
      </c>
      <c r="AU86" s="104"/>
      <c r="AV86" s="105">
        <f t="shared" si="21"/>
        <v>0</v>
      </c>
      <c r="AW86" s="103">
        <f t="shared" si="22"/>
        <v>1</v>
      </c>
      <c r="AX86" s="103">
        <f t="shared" si="23"/>
        <v>1</v>
      </c>
      <c r="AY86" s="103">
        <f t="shared" si="24"/>
        <v>1</v>
      </c>
      <c r="AZ86" s="103">
        <f t="shared" si="25"/>
        <v>1</v>
      </c>
      <c r="BA86" s="103">
        <f t="shared" si="26"/>
        <v>1</v>
      </c>
      <c r="BB86" s="103">
        <f t="shared" si="27"/>
        <v>1</v>
      </c>
      <c r="BC86" s="103">
        <f t="shared" si="20"/>
        <v>1</v>
      </c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4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>
        <v>1</v>
      </c>
      <c r="V87" s="12">
        <v>1</v>
      </c>
      <c r="W87" s="13"/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1" t="s">
        <v>143</v>
      </c>
      <c r="B88" s="102">
        <v>0</v>
      </c>
      <c r="C88" s="103">
        <v>0</v>
      </c>
      <c r="D88" s="102">
        <v>0</v>
      </c>
      <c r="E88" s="103">
        <v>6</v>
      </c>
      <c r="F88" s="102">
        <v>7</v>
      </c>
      <c r="G88" s="103">
        <v>7</v>
      </c>
      <c r="H88" s="102">
        <v>8</v>
      </c>
      <c r="I88" s="103">
        <v>7</v>
      </c>
      <c r="J88" s="102">
        <v>8</v>
      </c>
      <c r="K88" s="103">
        <v>7</v>
      </c>
      <c r="L88" s="102">
        <v>8</v>
      </c>
      <c r="M88" s="103">
        <v>7</v>
      </c>
      <c r="N88" s="102">
        <v>8</v>
      </c>
      <c r="O88" s="103">
        <v>7</v>
      </c>
      <c r="P88" s="102">
        <v>8</v>
      </c>
      <c r="Q88" s="103">
        <v>9</v>
      </c>
      <c r="R88" s="102">
        <v>8</v>
      </c>
      <c r="S88" s="64">
        <v>10</v>
      </c>
      <c r="T88" s="102">
        <v>8</v>
      </c>
      <c r="U88" s="103">
        <v>11</v>
      </c>
      <c r="V88" s="102">
        <v>8</v>
      </c>
      <c r="W88" s="103"/>
      <c r="X88" s="102">
        <v>8</v>
      </c>
      <c r="Y88" s="103"/>
      <c r="Z88" s="102">
        <v>8</v>
      </c>
      <c r="AA88" s="103"/>
      <c r="AB88" s="102">
        <v>8</v>
      </c>
      <c r="AC88" s="103"/>
      <c r="AD88" s="102">
        <v>8</v>
      </c>
      <c r="AE88" s="103"/>
      <c r="AF88" s="102">
        <v>8</v>
      </c>
      <c r="AG88" s="103"/>
      <c r="AH88" s="102">
        <v>8</v>
      </c>
      <c r="AI88" s="103"/>
      <c r="AJ88" s="102">
        <v>8</v>
      </c>
      <c r="AK88" s="103"/>
      <c r="AL88" s="102">
        <v>8</v>
      </c>
      <c r="AM88" s="103"/>
      <c r="AN88" s="102">
        <v>8</v>
      </c>
      <c r="AO88" s="103"/>
      <c r="AP88" s="102">
        <v>8</v>
      </c>
      <c r="AQ88" s="103"/>
      <c r="AR88" s="102">
        <v>5</v>
      </c>
      <c r="AS88" s="103"/>
      <c r="AT88" s="116">
        <v>2</v>
      </c>
      <c r="AU88" s="104"/>
      <c r="AV88" s="105">
        <f t="shared" si="21"/>
        <v>0</v>
      </c>
      <c r="AW88" s="103">
        <f t="shared" si="22"/>
        <v>6</v>
      </c>
      <c r="AX88" s="103">
        <f t="shared" si="23"/>
        <v>0</v>
      </c>
      <c r="AY88" s="103">
        <f t="shared" si="24"/>
        <v>-1</v>
      </c>
      <c r="AZ88" s="103">
        <f t="shared" si="25"/>
        <v>-1</v>
      </c>
      <c r="BA88" s="103">
        <f t="shared" si="26"/>
        <v>-1</v>
      </c>
      <c r="BB88" s="103">
        <f t="shared" si="27"/>
        <v>-1</v>
      </c>
      <c r="BC88" s="103">
        <f t="shared" si="20"/>
        <v>1</v>
      </c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4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>
        <v>3</v>
      </c>
      <c r="V89" s="17">
        <v>3</v>
      </c>
      <c r="W89" s="18"/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1" t="s">
        <v>96</v>
      </c>
      <c r="B90" s="112">
        <f>SUM(B83:B89)</f>
        <v>0</v>
      </c>
      <c r="C90" s="112">
        <f t="shared" ref="C90:AU90" si="28">SUM(C83:C89)</f>
        <v>0</v>
      </c>
      <c r="D90" s="112">
        <f t="shared" si="28"/>
        <v>4</v>
      </c>
      <c r="E90" s="112">
        <f t="shared" si="28"/>
        <v>13</v>
      </c>
      <c r="F90" s="112">
        <f t="shared" si="28"/>
        <v>20</v>
      </c>
      <c r="G90" s="112">
        <f t="shared" si="28"/>
        <v>25</v>
      </c>
      <c r="H90" s="112">
        <f t="shared" si="28"/>
        <v>32</v>
      </c>
      <c r="I90" s="112">
        <f t="shared" si="28"/>
        <v>25</v>
      </c>
      <c r="J90" s="112">
        <f t="shared" si="28"/>
        <v>34</v>
      </c>
      <c r="K90" s="112">
        <f t="shared" si="28"/>
        <v>38</v>
      </c>
      <c r="L90" s="112">
        <f t="shared" si="28"/>
        <v>34</v>
      </c>
      <c r="M90" s="112">
        <f t="shared" si="28"/>
        <v>41</v>
      </c>
      <c r="N90" s="112">
        <f t="shared" si="28"/>
        <v>34</v>
      </c>
      <c r="O90" s="112">
        <f t="shared" si="28"/>
        <v>42</v>
      </c>
      <c r="P90" s="112">
        <f t="shared" si="28"/>
        <v>34</v>
      </c>
      <c r="Q90" s="112">
        <f t="shared" si="28"/>
        <v>47</v>
      </c>
      <c r="R90" s="112">
        <f t="shared" si="28"/>
        <v>34</v>
      </c>
      <c r="S90" s="112">
        <f t="shared" si="28"/>
        <v>48</v>
      </c>
      <c r="T90" s="112">
        <f t="shared" si="28"/>
        <v>34</v>
      </c>
      <c r="U90" s="112">
        <f t="shared" si="28"/>
        <v>49</v>
      </c>
      <c r="V90" s="112">
        <f t="shared" si="28"/>
        <v>34</v>
      </c>
      <c r="W90" s="112">
        <f t="shared" si="28"/>
        <v>0</v>
      </c>
      <c r="X90" s="112">
        <f t="shared" si="28"/>
        <v>34</v>
      </c>
      <c r="Y90" s="112">
        <f t="shared" si="28"/>
        <v>0</v>
      </c>
      <c r="Z90" s="112">
        <f t="shared" si="28"/>
        <v>34</v>
      </c>
      <c r="AA90" s="112">
        <f t="shared" si="28"/>
        <v>0</v>
      </c>
      <c r="AB90" s="112">
        <f t="shared" si="28"/>
        <v>34</v>
      </c>
      <c r="AC90" s="112">
        <f t="shared" si="28"/>
        <v>0</v>
      </c>
      <c r="AD90" s="112">
        <f t="shared" si="28"/>
        <v>34</v>
      </c>
      <c r="AE90" s="112">
        <f t="shared" si="28"/>
        <v>0</v>
      </c>
      <c r="AF90" s="112">
        <f t="shared" si="28"/>
        <v>35</v>
      </c>
      <c r="AG90" s="112">
        <f t="shared" si="28"/>
        <v>0</v>
      </c>
      <c r="AH90" s="112">
        <f t="shared" si="28"/>
        <v>35</v>
      </c>
      <c r="AI90" s="112">
        <f t="shared" si="28"/>
        <v>0</v>
      </c>
      <c r="AJ90" s="112">
        <f t="shared" si="28"/>
        <v>35</v>
      </c>
      <c r="AK90" s="112">
        <f t="shared" si="28"/>
        <v>0</v>
      </c>
      <c r="AL90" s="112">
        <f t="shared" si="28"/>
        <v>35</v>
      </c>
      <c r="AM90" s="112">
        <f t="shared" si="28"/>
        <v>0</v>
      </c>
      <c r="AN90" s="112">
        <f t="shared" si="28"/>
        <v>35</v>
      </c>
      <c r="AO90" s="112">
        <f t="shared" si="28"/>
        <v>0</v>
      </c>
      <c r="AP90" s="112">
        <f t="shared" si="28"/>
        <v>35</v>
      </c>
      <c r="AQ90" s="112">
        <f t="shared" si="28"/>
        <v>0</v>
      </c>
      <c r="AR90" s="112">
        <f t="shared" si="28"/>
        <v>32</v>
      </c>
      <c r="AS90" s="112">
        <f t="shared" si="28"/>
        <v>0</v>
      </c>
      <c r="AT90" s="112">
        <f t="shared" si="28"/>
        <v>15</v>
      </c>
      <c r="AU90" s="118">
        <f t="shared" si="28"/>
        <v>0</v>
      </c>
      <c r="AV90" s="119">
        <f>SUM(AV83:AV89)</f>
        <v>0</v>
      </c>
      <c r="AW90" s="120">
        <f t="shared" ref="AW90:BR90" si="29">SUM(AW83:AW89)</f>
        <v>9</v>
      </c>
      <c r="AX90" s="120">
        <f t="shared" si="29"/>
        <v>5</v>
      </c>
      <c r="AY90" s="120">
        <f t="shared" si="29"/>
        <v>-7</v>
      </c>
      <c r="AZ90" s="120">
        <f t="shared" si="29"/>
        <v>4</v>
      </c>
      <c r="BA90" s="120">
        <f t="shared" si="29"/>
        <v>7</v>
      </c>
      <c r="BB90" s="120">
        <f t="shared" si="29"/>
        <v>8</v>
      </c>
      <c r="BC90" s="120">
        <f t="shared" si="29"/>
        <v>13</v>
      </c>
      <c r="BD90" s="120">
        <f t="shared" si="29"/>
        <v>0</v>
      </c>
      <c r="BE90" s="120">
        <f t="shared" si="29"/>
        <v>0</v>
      </c>
      <c r="BF90" s="120">
        <f t="shared" si="29"/>
        <v>0</v>
      </c>
      <c r="BG90" s="120">
        <f t="shared" si="29"/>
        <v>0</v>
      </c>
      <c r="BH90" s="120">
        <f t="shared" si="29"/>
        <v>0</v>
      </c>
      <c r="BI90" s="120">
        <f t="shared" si="29"/>
        <v>0</v>
      </c>
      <c r="BJ90" s="120">
        <f t="shared" si="29"/>
        <v>0</v>
      </c>
      <c r="BK90" s="120">
        <f t="shared" si="29"/>
        <v>0</v>
      </c>
      <c r="BL90" s="120">
        <f t="shared" si="29"/>
        <v>0</v>
      </c>
      <c r="BM90" s="120">
        <f t="shared" si="29"/>
        <v>0</v>
      </c>
      <c r="BN90" s="120">
        <f t="shared" si="29"/>
        <v>0</v>
      </c>
      <c r="BO90" s="120">
        <f t="shared" si="29"/>
        <v>0</v>
      </c>
      <c r="BP90" s="120">
        <f t="shared" si="29"/>
        <v>0</v>
      </c>
      <c r="BQ90" s="120">
        <f t="shared" si="29"/>
        <v>0</v>
      </c>
      <c r="BR90" s="121">
        <f t="shared" si="29"/>
        <v>0</v>
      </c>
    </row>
    <row r="91" spans="1:70" x14ac:dyDescent="0.25">
      <c r="O91" s="15"/>
    </row>
    <row r="92" spans="1:70" x14ac:dyDescent="0.25">
      <c r="A92" s="205" t="s">
        <v>145</v>
      </c>
      <c r="B92" s="89">
        <v>45992</v>
      </c>
      <c r="C92" s="90"/>
      <c r="D92" s="89">
        <v>46023</v>
      </c>
      <c r="E92" s="90"/>
      <c r="F92" s="89">
        <v>46054</v>
      </c>
      <c r="G92" s="90"/>
      <c r="H92" s="89">
        <v>46082</v>
      </c>
      <c r="I92" s="90"/>
      <c r="J92" s="89">
        <v>46113</v>
      </c>
      <c r="K92" s="90"/>
      <c r="L92" s="89">
        <v>46143</v>
      </c>
      <c r="M92" s="90"/>
      <c r="N92" s="89">
        <v>46174</v>
      </c>
      <c r="O92" s="90"/>
      <c r="P92" s="89">
        <v>46204</v>
      </c>
      <c r="Q92" s="90"/>
      <c r="R92" s="89">
        <v>46235</v>
      </c>
      <c r="S92" s="90"/>
      <c r="T92" s="89">
        <v>46266</v>
      </c>
      <c r="U92" s="90"/>
      <c r="V92" s="89">
        <v>46296</v>
      </c>
      <c r="W92" s="90"/>
      <c r="X92" s="89">
        <v>46327</v>
      </c>
      <c r="Y92" s="90"/>
      <c r="Z92" s="89">
        <v>46357</v>
      </c>
      <c r="AA92" s="90"/>
      <c r="AB92" s="89">
        <v>46388</v>
      </c>
      <c r="AC92" s="90"/>
      <c r="AD92" s="89">
        <v>46419</v>
      </c>
      <c r="AE92" s="90"/>
      <c r="AF92" s="89">
        <v>46447</v>
      </c>
      <c r="AG92" s="90"/>
      <c r="AH92" s="89">
        <v>46478</v>
      </c>
      <c r="AI92" s="90"/>
      <c r="AJ92" s="89">
        <v>46508</v>
      </c>
      <c r="AK92" s="90"/>
      <c r="AL92" s="89">
        <v>46539</v>
      </c>
      <c r="AM92" s="90"/>
      <c r="AN92" s="89">
        <v>46569</v>
      </c>
      <c r="AO92" s="90"/>
      <c r="AP92" s="89">
        <v>46600</v>
      </c>
      <c r="AQ92" s="90"/>
      <c r="AR92" s="89">
        <v>46631</v>
      </c>
      <c r="AS92" s="90"/>
      <c r="AT92" s="89">
        <v>46661</v>
      </c>
      <c r="AU92" s="91"/>
      <c r="AV92" s="92">
        <v>45992</v>
      </c>
      <c r="AW92" s="93">
        <v>46023</v>
      </c>
      <c r="AX92" s="93">
        <v>46054</v>
      </c>
      <c r="AY92" s="93">
        <v>46082</v>
      </c>
      <c r="AZ92" s="93">
        <v>46113</v>
      </c>
      <c r="BA92" s="93">
        <v>46143</v>
      </c>
      <c r="BB92" s="93">
        <v>46174</v>
      </c>
      <c r="BC92" s="93">
        <v>46204</v>
      </c>
      <c r="BD92" s="93">
        <v>46235</v>
      </c>
      <c r="BE92" s="93">
        <v>46266</v>
      </c>
      <c r="BF92" s="93">
        <v>46296</v>
      </c>
      <c r="BG92" s="93">
        <v>46327</v>
      </c>
      <c r="BH92" s="93">
        <v>46357</v>
      </c>
      <c r="BI92" s="93">
        <v>46388</v>
      </c>
      <c r="BJ92" s="93">
        <v>46419</v>
      </c>
      <c r="BK92" s="93">
        <v>46447</v>
      </c>
      <c r="BL92" s="93">
        <v>46478</v>
      </c>
      <c r="BM92" s="93">
        <v>46508</v>
      </c>
      <c r="BN92" s="93">
        <v>46539</v>
      </c>
      <c r="BO92" s="93">
        <v>46569</v>
      </c>
      <c r="BP92" s="93">
        <v>46600</v>
      </c>
      <c r="BQ92" s="93">
        <v>46631</v>
      </c>
      <c r="BR92" s="94">
        <v>46661</v>
      </c>
    </row>
    <row r="93" spans="1:70" x14ac:dyDescent="0.25">
      <c r="A93" s="206"/>
      <c r="B93" s="96" t="s">
        <v>63</v>
      </c>
      <c r="C93" s="97" t="s">
        <v>64</v>
      </c>
      <c r="D93" s="96" t="s">
        <v>63</v>
      </c>
      <c r="E93" s="97" t="s">
        <v>64</v>
      </c>
      <c r="F93" s="96" t="s">
        <v>63</v>
      </c>
      <c r="G93" s="97" t="s">
        <v>64</v>
      </c>
      <c r="H93" s="96" t="s">
        <v>63</v>
      </c>
      <c r="I93" s="97" t="s">
        <v>64</v>
      </c>
      <c r="J93" s="96" t="s">
        <v>63</v>
      </c>
      <c r="K93" s="97" t="s">
        <v>64</v>
      </c>
      <c r="L93" s="96" t="s">
        <v>63</v>
      </c>
      <c r="M93" s="97" t="s">
        <v>64</v>
      </c>
      <c r="N93" s="96" t="s">
        <v>63</v>
      </c>
      <c r="O93" s="97" t="s">
        <v>64</v>
      </c>
      <c r="P93" s="96" t="s">
        <v>63</v>
      </c>
      <c r="Q93" s="97" t="s">
        <v>64</v>
      </c>
      <c r="R93" s="96" t="s">
        <v>63</v>
      </c>
      <c r="S93" s="97" t="s">
        <v>64</v>
      </c>
      <c r="T93" s="96" t="s">
        <v>63</v>
      </c>
      <c r="U93" s="97" t="s">
        <v>64</v>
      </c>
      <c r="V93" s="96" t="s">
        <v>63</v>
      </c>
      <c r="W93" s="97" t="s">
        <v>64</v>
      </c>
      <c r="X93" s="96" t="s">
        <v>63</v>
      </c>
      <c r="Y93" s="97" t="s">
        <v>64</v>
      </c>
      <c r="Z93" s="96" t="s">
        <v>63</v>
      </c>
      <c r="AA93" s="97" t="s">
        <v>64</v>
      </c>
      <c r="AB93" s="96" t="s">
        <v>63</v>
      </c>
      <c r="AC93" s="97" t="s">
        <v>64</v>
      </c>
      <c r="AD93" s="96" t="s">
        <v>63</v>
      </c>
      <c r="AE93" s="97" t="s">
        <v>64</v>
      </c>
      <c r="AF93" s="96" t="s">
        <v>63</v>
      </c>
      <c r="AG93" s="97" t="s">
        <v>64</v>
      </c>
      <c r="AH93" s="96" t="s">
        <v>63</v>
      </c>
      <c r="AI93" s="97" t="s">
        <v>64</v>
      </c>
      <c r="AJ93" s="96" t="s">
        <v>63</v>
      </c>
      <c r="AK93" s="97" t="s">
        <v>64</v>
      </c>
      <c r="AL93" s="96" t="s">
        <v>63</v>
      </c>
      <c r="AM93" s="97" t="s">
        <v>64</v>
      </c>
      <c r="AN93" s="96" t="s">
        <v>63</v>
      </c>
      <c r="AO93" s="97" t="s">
        <v>64</v>
      </c>
      <c r="AP93" s="96" t="s">
        <v>63</v>
      </c>
      <c r="AQ93" s="97" t="s">
        <v>64</v>
      </c>
      <c r="AR93" s="96" t="s">
        <v>63</v>
      </c>
      <c r="AS93" s="97" t="s">
        <v>64</v>
      </c>
      <c r="AT93" s="96" t="s">
        <v>63</v>
      </c>
      <c r="AU93" s="98" t="s">
        <v>64</v>
      </c>
      <c r="AV93" s="99" t="s">
        <v>65</v>
      </c>
      <c r="AW93" s="96" t="s">
        <v>65</v>
      </c>
      <c r="AX93" s="96" t="s">
        <v>65</v>
      </c>
      <c r="AY93" s="96" t="s">
        <v>65</v>
      </c>
      <c r="AZ93" s="96" t="s">
        <v>65</v>
      </c>
      <c r="BA93" s="96" t="s">
        <v>65</v>
      </c>
      <c r="BB93" s="96" t="s">
        <v>65</v>
      </c>
      <c r="BC93" s="96" t="s">
        <v>65</v>
      </c>
      <c r="BD93" s="96" t="s">
        <v>65</v>
      </c>
      <c r="BE93" s="96" t="s">
        <v>65</v>
      </c>
      <c r="BF93" s="96" t="s">
        <v>65</v>
      </c>
      <c r="BG93" s="96" t="s">
        <v>65</v>
      </c>
      <c r="BH93" s="96" t="s">
        <v>65</v>
      </c>
      <c r="BI93" s="96" t="s">
        <v>65</v>
      </c>
      <c r="BJ93" s="96" t="s">
        <v>65</v>
      </c>
      <c r="BK93" s="96" t="s">
        <v>65</v>
      </c>
      <c r="BL93" s="96" t="s">
        <v>65</v>
      </c>
      <c r="BM93" s="96" t="s">
        <v>65</v>
      </c>
      <c r="BN93" s="96" t="s">
        <v>65</v>
      </c>
      <c r="BO93" s="96" t="s">
        <v>65</v>
      </c>
      <c r="BP93" s="96" t="s">
        <v>65</v>
      </c>
      <c r="BQ93" s="96" t="s">
        <v>65</v>
      </c>
      <c r="BR93" s="100" t="s">
        <v>65</v>
      </c>
    </row>
    <row r="94" spans="1:70" x14ac:dyDescent="0.25">
      <c r="A94" s="101" t="s">
        <v>146</v>
      </c>
      <c r="B94" s="122">
        <v>0</v>
      </c>
      <c r="C94" s="123">
        <v>0</v>
      </c>
      <c r="D94" s="122">
        <v>0</v>
      </c>
      <c r="E94" s="123">
        <v>1</v>
      </c>
      <c r="F94" s="122">
        <v>1</v>
      </c>
      <c r="G94" s="123">
        <v>3</v>
      </c>
      <c r="H94" s="122">
        <v>3</v>
      </c>
      <c r="I94" s="123">
        <v>3</v>
      </c>
      <c r="J94" s="122">
        <v>3</v>
      </c>
      <c r="K94" s="123">
        <v>3</v>
      </c>
      <c r="L94" s="122">
        <v>3</v>
      </c>
      <c r="M94" s="123">
        <v>3</v>
      </c>
      <c r="N94" s="122">
        <v>3</v>
      </c>
      <c r="O94" s="123">
        <v>5</v>
      </c>
      <c r="P94" s="122">
        <v>3</v>
      </c>
      <c r="Q94" s="123">
        <v>7</v>
      </c>
      <c r="R94" s="122">
        <v>3</v>
      </c>
      <c r="S94" s="63">
        <v>7</v>
      </c>
      <c r="T94" s="122">
        <v>3</v>
      </c>
      <c r="U94" s="123">
        <v>7</v>
      </c>
      <c r="V94" s="122">
        <v>3</v>
      </c>
      <c r="W94" s="123"/>
      <c r="X94" s="122">
        <v>3</v>
      </c>
      <c r="Y94" s="123"/>
      <c r="Z94" s="122">
        <v>3</v>
      </c>
      <c r="AA94" s="123"/>
      <c r="AB94" s="122">
        <v>3</v>
      </c>
      <c r="AC94" s="123"/>
      <c r="AD94" s="122">
        <v>3</v>
      </c>
      <c r="AE94" s="123"/>
      <c r="AF94" s="122">
        <v>3</v>
      </c>
      <c r="AG94" s="123"/>
      <c r="AH94" s="122">
        <v>3</v>
      </c>
      <c r="AI94" s="123"/>
      <c r="AJ94" s="122">
        <v>3</v>
      </c>
      <c r="AK94" s="123"/>
      <c r="AL94" s="122">
        <v>3</v>
      </c>
      <c r="AM94" s="123"/>
      <c r="AN94" s="122">
        <v>3</v>
      </c>
      <c r="AO94" s="123"/>
      <c r="AP94" s="122">
        <v>3</v>
      </c>
      <c r="AQ94" s="123"/>
      <c r="AR94" s="122">
        <v>3</v>
      </c>
      <c r="AS94" s="123"/>
      <c r="AT94" s="116">
        <v>0</v>
      </c>
      <c r="AU94" s="124"/>
      <c r="AV94" s="125">
        <f>C94-B94</f>
        <v>0</v>
      </c>
      <c r="AW94" s="116">
        <f>E94-D94</f>
        <v>1</v>
      </c>
      <c r="AX94" s="116">
        <f>G94-F94</f>
        <v>2</v>
      </c>
      <c r="AY94" s="116">
        <f>I94-H94</f>
        <v>0</v>
      </c>
      <c r="AZ94" s="116">
        <f>K94-J94</f>
        <v>0</v>
      </c>
      <c r="BA94" s="116">
        <f>M94-L94</f>
        <v>0</v>
      </c>
      <c r="BB94" s="116">
        <f>O94-N94</f>
        <v>2</v>
      </c>
      <c r="BC94" s="116">
        <f t="shared" ref="BC94:BC115" si="30">Q94-P94</f>
        <v>4</v>
      </c>
      <c r="BD94" s="116"/>
      <c r="BE94" s="116"/>
      <c r="BF94" s="116"/>
      <c r="BG94" s="116"/>
      <c r="BH94" s="116"/>
      <c r="BI94" s="116"/>
      <c r="BJ94" s="116"/>
      <c r="BK94" s="116"/>
      <c r="BL94" s="116"/>
      <c r="BM94" s="116"/>
      <c r="BN94" s="116"/>
      <c r="BO94" s="116"/>
      <c r="BP94" s="116"/>
      <c r="BQ94" s="116"/>
      <c r="BR94" s="104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>
        <v>5</v>
      </c>
      <c r="V95" s="12">
        <v>5</v>
      </c>
      <c r="W95" s="13"/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1" t="s">
        <v>148</v>
      </c>
      <c r="B96" s="102">
        <v>0</v>
      </c>
      <c r="C96" s="103">
        <v>0</v>
      </c>
      <c r="D96" s="102">
        <v>0</v>
      </c>
      <c r="E96" s="103">
        <v>1</v>
      </c>
      <c r="F96" s="102">
        <v>3</v>
      </c>
      <c r="G96" s="103">
        <v>1</v>
      </c>
      <c r="H96" s="102">
        <v>4</v>
      </c>
      <c r="I96" s="103">
        <v>1</v>
      </c>
      <c r="J96" s="102">
        <v>5</v>
      </c>
      <c r="K96" s="103">
        <v>1</v>
      </c>
      <c r="L96" s="102">
        <v>5</v>
      </c>
      <c r="M96" s="103">
        <v>5</v>
      </c>
      <c r="N96" s="102">
        <v>5</v>
      </c>
      <c r="O96" s="103">
        <v>5</v>
      </c>
      <c r="P96" s="102">
        <v>5</v>
      </c>
      <c r="Q96" s="103">
        <v>7</v>
      </c>
      <c r="R96" s="102">
        <v>5</v>
      </c>
      <c r="S96" s="64">
        <v>6</v>
      </c>
      <c r="T96" s="102">
        <v>5</v>
      </c>
      <c r="U96" s="103">
        <v>6</v>
      </c>
      <c r="V96" s="102">
        <v>5</v>
      </c>
      <c r="W96" s="103"/>
      <c r="X96" s="102">
        <v>5</v>
      </c>
      <c r="Y96" s="103"/>
      <c r="Z96" s="102">
        <v>5</v>
      </c>
      <c r="AA96" s="103"/>
      <c r="AB96" s="102">
        <v>5</v>
      </c>
      <c r="AC96" s="103"/>
      <c r="AD96" s="102">
        <v>5</v>
      </c>
      <c r="AE96" s="103"/>
      <c r="AF96" s="102">
        <v>5</v>
      </c>
      <c r="AG96" s="103"/>
      <c r="AH96" s="102">
        <v>5</v>
      </c>
      <c r="AI96" s="103"/>
      <c r="AJ96" s="102">
        <v>5</v>
      </c>
      <c r="AK96" s="103"/>
      <c r="AL96" s="102">
        <v>5</v>
      </c>
      <c r="AM96" s="103"/>
      <c r="AN96" s="102">
        <v>5</v>
      </c>
      <c r="AO96" s="103"/>
      <c r="AP96" s="102">
        <v>5</v>
      </c>
      <c r="AQ96" s="103"/>
      <c r="AR96" s="102">
        <v>5</v>
      </c>
      <c r="AS96" s="103"/>
      <c r="AT96" s="116">
        <v>2</v>
      </c>
      <c r="AU96" s="124"/>
      <c r="AV96" s="125">
        <f t="shared" si="31"/>
        <v>0</v>
      </c>
      <c r="AW96" s="116">
        <f t="shared" si="32"/>
        <v>1</v>
      </c>
      <c r="AX96" s="116">
        <f t="shared" si="33"/>
        <v>-2</v>
      </c>
      <c r="AY96" s="116">
        <f t="shared" si="34"/>
        <v>-3</v>
      </c>
      <c r="AZ96" s="116">
        <f t="shared" si="35"/>
        <v>-4</v>
      </c>
      <c r="BA96" s="116">
        <f t="shared" si="36"/>
        <v>0</v>
      </c>
      <c r="BB96" s="116">
        <f t="shared" si="37"/>
        <v>0</v>
      </c>
      <c r="BC96" s="116">
        <f t="shared" si="30"/>
        <v>2</v>
      </c>
      <c r="BD96" s="116"/>
      <c r="BE96" s="116"/>
      <c r="BF96" s="116"/>
      <c r="BG96" s="116"/>
      <c r="BH96" s="116"/>
      <c r="BI96" s="116"/>
      <c r="BJ96" s="116"/>
      <c r="BK96" s="116"/>
      <c r="BL96" s="116"/>
      <c r="BM96" s="116"/>
      <c r="BN96" s="116"/>
      <c r="BO96" s="116"/>
      <c r="BP96" s="116"/>
      <c r="BQ96" s="116"/>
      <c r="BR96" s="104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>
        <v>1</v>
      </c>
      <c r="V97" s="12">
        <v>2</v>
      </c>
      <c r="W97" s="13"/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1" t="s">
        <v>150</v>
      </c>
      <c r="B98" s="102">
        <v>0</v>
      </c>
      <c r="C98" s="103">
        <v>0</v>
      </c>
      <c r="D98" s="102">
        <v>0</v>
      </c>
      <c r="E98" s="103">
        <v>0</v>
      </c>
      <c r="F98" s="102">
        <v>1</v>
      </c>
      <c r="G98" s="103">
        <v>0</v>
      </c>
      <c r="H98" s="102">
        <v>1</v>
      </c>
      <c r="I98" s="103">
        <v>0</v>
      </c>
      <c r="J98" s="102">
        <v>1</v>
      </c>
      <c r="K98" s="103">
        <v>0</v>
      </c>
      <c r="L98" s="102">
        <v>1</v>
      </c>
      <c r="M98" s="103">
        <v>0</v>
      </c>
      <c r="N98" s="102">
        <v>1</v>
      </c>
      <c r="O98" s="103">
        <v>0</v>
      </c>
      <c r="P98" s="102">
        <v>1</v>
      </c>
      <c r="Q98" s="103">
        <v>0</v>
      </c>
      <c r="R98" s="102">
        <v>1</v>
      </c>
      <c r="S98" s="64">
        <v>1</v>
      </c>
      <c r="T98" s="102">
        <v>1</v>
      </c>
      <c r="U98" s="103">
        <v>1</v>
      </c>
      <c r="V98" s="102">
        <v>1</v>
      </c>
      <c r="W98" s="103"/>
      <c r="X98" s="102">
        <v>1</v>
      </c>
      <c r="Y98" s="103"/>
      <c r="Z98" s="102">
        <v>1</v>
      </c>
      <c r="AA98" s="103"/>
      <c r="AB98" s="102">
        <v>1</v>
      </c>
      <c r="AC98" s="103"/>
      <c r="AD98" s="102">
        <v>1</v>
      </c>
      <c r="AE98" s="103"/>
      <c r="AF98" s="102">
        <v>1</v>
      </c>
      <c r="AG98" s="103"/>
      <c r="AH98" s="102">
        <v>1</v>
      </c>
      <c r="AI98" s="103"/>
      <c r="AJ98" s="102">
        <v>1</v>
      </c>
      <c r="AK98" s="103"/>
      <c r="AL98" s="102">
        <v>1</v>
      </c>
      <c r="AM98" s="103"/>
      <c r="AN98" s="102">
        <v>1</v>
      </c>
      <c r="AO98" s="103"/>
      <c r="AP98" s="102">
        <v>1</v>
      </c>
      <c r="AQ98" s="103"/>
      <c r="AR98" s="102">
        <v>1</v>
      </c>
      <c r="AS98" s="103"/>
      <c r="AT98" s="116">
        <v>0</v>
      </c>
      <c r="AU98" s="124"/>
      <c r="AV98" s="125">
        <f t="shared" si="31"/>
        <v>0</v>
      </c>
      <c r="AW98" s="116">
        <f t="shared" si="32"/>
        <v>0</v>
      </c>
      <c r="AX98" s="116">
        <f t="shared" si="33"/>
        <v>-1</v>
      </c>
      <c r="AY98" s="116">
        <f t="shared" si="34"/>
        <v>-1</v>
      </c>
      <c r="AZ98" s="116">
        <f t="shared" si="35"/>
        <v>-1</v>
      </c>
      <c r="BA98" s="116">
        <f t="shared" si="36"/>
        <v>-1</v>
      </c>
      <c r="BB98" s="116">
        <f t="shared" si="37"/>
        <v>-1</v>
      </c>
      <c r="BC98" s="116">
        <f t="shared" si="30"/>
        <v>-1</v>
      </c>
      <c r="BD98" s="116"/>
      <c r="BE98" s="116"/>
      <c r="BF98" s="116"/>
      <c r="BG98" s="116"/>
      <c r="BH98" s="116"/>
      <c r="BI98" s="116"/>
      <c r="BJ98" s="116"/>
      <c r="BK98" s="116"/>
      <c r="BL98" s="116"/>
      <c r="BM98" s="116"/>
      <c r="BN98" s="116"/>
      <c r="BO98" s="116"/>
      <c r="BP98" s="116"/>
      <c r="BQ98" s="116"/>
      <c r="BR98" s="104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>
        <v>2</v>
      </c>
      <c r="V99" s="12">
        <v>1</v>
      </c>
      <c r="W99" s="13"/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6" t="s">
        <v>151</v>
      </c>
      <c r="B100" s="127">
        <v>0</v>
      </c>
      <c r="C100" s="66">
        <v>0</v>
      </c>
      <c r="D100" s="127">
        <v>0</v>
      </c>
      <c r="E100" s="66">
        <v>1</v>
      </c>
      <c r="F100" s="127">
        <v>0</v>
      </c>
      <c r="G100" s="66">
        <v>2</v>
      </c>
      <c r="H100" s="127">
        <v>0</v>
      </c>
      <c r="I100" s="66">
        <v>3</v>
      </c>
      <c r="J100" s="127">
        <v>0</v>
      </c>
      <c r="K100" s="66">
        <v>5</v>
      </c>
      <c r="L100" s="127">
        <v>0</v>
      </c>
      <c r="M100" s="66">
        <v>5</v>
      </c>
      <c r="N100" s="127">
        <v>0</v>
      </c>
      <c r="O100" s="66">
        <v>5</v>
      </c>
      <c r="P100" s="127">
        <v>0</v>
      </c>
      <c r="Q100" s="66">
        <v>5</v>
      </c>
      <c r="R100" s="127">
        <v>0</v>
      </c>
      <c r="S100" s="64">
        <v>7</v>
      </c>
      <c r="T100" s="127">
        <v>0</v>
      </c>
      <c r="U100" s="66">
        <v>7</v>
      </c>
      <c r="V100" s="127">
        <v>0</v>
      </c>
      <c r="W100" s="66"/>
      <c r="X100" s="127">
        <v>0</v>
      </c>
      <c r="Y100" s="66"/>
      <c r="Z100" s="127">
        <v>0</v>
      </c>
      <c r="AA100" s="66"/>
      <c r="AB100" s="127">
        <v>0</v>
      </c>
      <c r="AC100" s="66"/>
      <c r="AD100" s="127">
        <v>0</v>
      </c>
      <c r="AE100" s="66"/>
      <c r="AF100" s="127">
        <v>0</v>
      </c>
      <c r="AG100" s="66"/>
      <c r="AH100" s="127">
        <v>0</v>
      </c>
      <c r="AI100" s="66"/>
      <c r="AJ100" s="127">
        <v>0</v>
      </c>
      <c r="AK100" s="66"/>
      <c r="AL100" s="127">
        <v>0</v>
      </c>
      <c r="AM100" s="66"/>
      <c r="AN100" s="127">
        <v>0</v>
      </c>
      <c r="AO100" s="66"/>
      <c r="AP100" s="127">
        <v>0</v>
      </c>
      <c r="AQ100" s="66"/>
      <c r="AR100" s="127">
        <v>0</v>
      </c>
      <c r="AS100" s="66"/>
      <c r="AT100" s="128">
        <v>0</v>
      </c>
      <c r="AU100" s="129"/>
      <c r="AV100" s="130">
        <f t="shared" si="31"/>
        <v>0</v>
      </c>
      <c r="AW100" s="128">
        <f t="shared" si="32"/>
        <v>1</v>
      </c>
      <c r="AX100" s="128">
        <f t="shared" si="33"/>
        <v>2</v>
      </c>
      <c r="AY100" s="128">
        <f t="shared" si="34"/>
        <v>3</v>
      </c>
      <c r="AZ100" s="128">
        <f t="shared" si="35"/>
        <v>5</v>
      </c>
      <c r="BA100" s="128">
        <f t="shared" si="36"/>
        <v>5</v>
      </c>
      <c r="BB100" s="128">
        <f t="shared" si="37"/>
        <v>5</v>
      </c>
      <c r="BC100" s="128">
        <f t="shared" si="30"/>
        <v>5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31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>
        <v>1</v>
      </c>
      <c r="V101" s="12">
        <v>1</v>
      </c>
      <c r="W101" s="13"/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1" t="s">
        <v>153</v>
      </c>
      <c r="B102" s="102">
        <v>0</v>
      </c>
      <c r="C102" s="103">
        <v>0</v>
      </c>
      <c r="D102" s="102">
        <v>0</v>
      </c>
      <c r="E102" s="103">
        <v>1</v>
      </c>
      <c r="F102" s="102">
        <v>1</v>
      </c>
      <c r="G102" s="103">
        <v>1</v>
      </c>
      <c r="H102" s="102">
        <v>2</v>
      </c>
      <c r="I102" s="103">
        <v>1</v>
      </c>
      <c r="J102" s="102">
        <v>2</v>
      </c>
      <c r="K102" s="103">
        <v>1</v>
      </c>
      <c r="L102" s="102">
        <v>2</v>
      </c>
      <c r="M102" s="103">
        <v>1</v>
      </c>
      <c r="N102" s="102">
        <v>2</v>
      </c>
      <c r="O102" s="103">
        <v>1</v>
      </c>
      <c r="P102" s="102">
        <v>2</v>
      </c>
      <c r="Q102" s="103">
        <v>2</v>
      </c>
      <c r="R102" s="102">
        <v>2</v>
      </c>
      <c r="S102" s="64">
        <v>2</v>
      </c>
      <c r="T102" s="102">
        <v>2</v>
      </c>
      <c r="U102" s="103">
        <v>2</v>
      </c>
      <c r="V102" s="102">
        <v>2</v>
      </c>
      <c r="W102" s="103"/>
      <c r="X102" s="102">
        <v>2</v>
      </c>
      <c r="Y102" s="103"/>
      <c r="Z102" s="102">
        <v>2</v>
      </c>
      <c r="AA102" s="103"/>
      <c r="AB102" s="102">
        <v>2</v>
      </c>
      <c r="AC102" s="103"/>
      <c r="AD102" s="102">
        <v>2</v>
      </c>
      <c r="AE102" s="103"/>
      <c r="AF102" s="102">
        <v>2</v>
      </c>
      <c r="AG102" s="103"/>
      <c r="AH102" s="102">
        <v>2</v>
      </c>
      <c r="AI102" s="103"/>
      <c r="AJ102" s="102">
        <v>2</v>
      </c>
      <c r="AK102" s="103"/>
      <c r="AL102" s="102">
        <v>2</v>
      </c>
      <c r="AM102" s="103"/>
      <c r="AN102" s="102">
        <v>2</v>
      </c>
      <c r="AO102" s="103"/>
      <c r="AP102" s="102">
        <v>2</v>
      </c>
      <c r="AQ102" s="103"/>
      <c r="AR102" s="102">
        <v>2</v>
      </c>
      <c r="AS102" s="103"/>
      <c r="AT102" s="116">
        <v>0</v>
      </c>
      <c r="AU102" s="124"/>
      <c r="AV102" s="125">
        <f t="shared" si="31"/>
        <v>0</v>
      </c>
      <c r="AW102" s="116">
        <f t="shared" si="32"/>
        <v>1</v>
      </c>
      <c r="AX102" s="116">
        <f t="shared" si="33"/>
        <v>0</v>
      </c>
      <c r="AY102" s="116">
        <f t="shared" si="34"/>
        <v>-1</v>
      </c>
      <c r="AZ102" s="116">
        <f t="shared" si="35"/>
        <v>-1</v>
      </c>
      <c r="BA102" s="116">
        <f t="shared" si="36"/>
        <v>-1</v>
      </c>
      <c r="BB102" s="116">
        <f t="shared" si="37"/>
        <v>-1</v>
      </c>
      <c r="BC102" s="116">
        <f t="shared" si="30"/>
        <v>0</v>
      </c>
      <c r="BD102" s="116"/>
      <c r="BE102" s="116"/>
      <c r="BF102" s="116"/>
      <c r="BG102" s="116"/>
      <c r="BH102" s="116"/>
      <c r="BI102" s="116"/>
      <c r="BJ102" s="116"/>
      <c r="BK102" s="116"/>
      <c r="BL102" s="116"/>
      <c r="BM102" s="116"/>
      <c r="BN102" s="116"/>
      <c r="BO102" s="116"/>
      <c r="BP102" s="116"/>
      <c r="BQ102" s="116"/>
      <c r="BR102" s="104"/>
    </row>
    <row r="103" spans="1:70" x14ac:dyDescent="0.25">
      <c r="A103" s="126" t="s">
        <v>154</v>
      </c>
      <c r="B103" s="127">
        <v>0</v>
      </c>
      <c r="C103" s="66">
        <v>0</v>
      </c>
      <c r="D103" s="127">
        <v>0</v>
      </c>
      <c r="E103" s="66">
        <v>1</v>
      </c>
      <c r="F103" s="127">
        <v>0</v>
      </c>
      <c r="G103" s="66">
        <v>1</v>
      </c>
      <c r="H103" s="127">
        <v>0</v>
      </c>
      <c r="I103" s="66">
        <v>1</v>
      </c>
      <c r="J103" s="127">
        <v>0</v>
      </c>
      <c r="K103" s="66">
        <v>1</v>
      </c>
      <c r="L103" s="127">
        <v>0</v>
      </c>
      <c r="M103" s="66">
        <v>1</v>
      </c>
      <c r="N103" s="127">
        <v>0</v>
      </c>
      <c r="O103" s="66">
        <v>1</v>
      </c>
      <c r="P103" s="127">
        <v>0</v>
      </c>
      <c r="Q103" s="66">
        <v>1</v>
      </c>
      <c r="R103" s="127">
        <v>0</v>
      </c>
      <c r="S103" s="64">
        <v>1</v>
      </c>
      <c r="T103" s="127">
        <v>0</v>
      </c>
      <c r="U103" s="66">
        <v>1</v>
      </c>
      <c r="V103" s="127">
        <v>0</v>
      </c>
      <c r="W103" s="66"/>
      <c r="X103" s="127">
        <v>0</v>
      </c>
      <c r="Y103" s="66"/>
      <c r="Z103" s="127">
        <v>0</v>
      </c>
      <c r="AA103" s="66"/>
      <c r="AB103" s="127">
        <v>0</v>
      </c>
      <c r="AC103" s="66"/>
      <c r="AD103" s="127">
        <v>0</v>
      </c>
      <c r="AE103" s="66"/>
      <c r="AF103" s="127">
        <v>0</v>
      </c>
      <c r="AG103" s="66"/>
      <c r="AH103" s="127">
        <v>0</v>
      </c>
      <c r="AI103" s="66"/>
      <c r="AJ103" s="127">
        <v>0</v>
      </c>
      <c r="AK103" s="66"/>
      <c r="AL103" s="127">
        <v>0</v>
      </c>
      <c r="AM103" s="66"/>
      <c r="AN103" s="127">
        <v>0</v>
      </c>
      <c r="AO103" s="66"/>
      <c r="AP103" s="127">
        <v>0</v>
      </c>
      <c r="AQ103" s="66"/>
      <c r="AR103" s="127">
        <v>0</v>
      </c>
      <c r="AS103" s="66"/>
      <c r="AT103" s="128">
        <v>0</v>
      </c>
      <c r="AU103" s="129"/>
      <c r="AV103" s="130">
        <f t="shared" si="31"/>
        <v>0</v>
      </c>
      <c r="AW103" s="128">
        <f t="shared" si="32"/>
        <v>1</v>
      </c>
      <c r="AX103" s="128">
        <f t="shared" si="33"/>
        <v>1</v>
      </c>
      <c r="AY103" s="128">
        <f t="shared" si="34"/>
        <v>1</v>
      </c>
      <c r="AZ103" s="128">
        <f t="shared" si="35"/>
        <v>1</v>
      </c>
      <c r="BA103" s="128">
        <f t="shared" si="36"/>
        <v>1</v>
      </c>
      <c r="BB103" s="128">
        <f t="shared" si="37"/>
        <v>1</v>
      </c>
      <c r="BC103" s="128">
        <f t="shared" si="30"/>
        <v>1</v>
      </c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31"/>
    </row>
    <row r="104" spans="1:70" x14ac:dyDescent="0.25">
      <c r="A104" s="101" t="s">
        <v>155</v>
      </c>
      <c r="B104" s="102">
        <v>1</v>
      </c>
      <c r="C104" s="103">
        <v>1</v>
      </c>
      <c r="D104" s="102">
        <v>0</v>
      </c>
      <c r="E104" s="103">
        <v>1</v>
      </c>
      <c r="F104" s="102">
        <v>3</v>
      </c>
      <c r="G104" s="103">
        <v>2</v>
      </c>
      <c r="H104" s="102">
        <v>3</v>
      </c>
      <c r="I104" s="103">
        <v>2</v>
      </c>
      <c r="J104" s="102">
        <v>3</v>
      </c>
      <c r="K104" s="103">
        <v>2</v>
      </c>
      <c r="L104" s="102">
        <v>3</v>
      </c>
      <c r="M104" s="103">
        <v>1</v>
      </c>
      <c r="N104" s="102">
        <v>3</v>
      </c>
      <c r="O104" s="103">
        <v>1</v>
      </c>
      <c r="P104" s="102">
        <v>3</v>
      </c>
      <c r="Q104" s="103">
        <v>2</v>
      </c>
      <c r="R104" s="102">
        <v>3</v>
      </c>
      <c r="S104" s="64">
        <v>2</v>
      </c>
      <c r="T104" s="102">
        <v>3</v>
      </c>
      <c r="U104" s="103">
        <v>2</v>
      </c>
      <c r="V104" s="102">
        <v>3</v>
      </c>
      <c r="W104" s="103"/>
      <c r="X104" s="102">
        <v>3</v>
      </c>
      <c r="Y104" s="103"/>
      <c r="Z104" s="102">
        <v>3</v>
      </c>
      <c r="AA104" s="103"/>
      <c r="AB104" s="102">
        <v>3</v>
      </c>
      <c r="AC104" s="103"/>
      <c r="AD104" s="102">
        <v>3</v>
      </c>
      <c r="AE104" s="103"/>
      <c r="AF104" s="102">
        <v>3</v>
      </c>
      <c r="AG104" s="103"/>
      <c r="AH104" s="102">
        <v>3</v>
      </c>
      <c r="AI104" s="103"/>
      <c r="AJ104" s="102">
        <v>3</v>
      </c>
      <c r="AK104" s="103"/>
      <c r="AL104" s="102">
        <v>3</v>
      </c>
      <c r="AM104" s="103"/>
      <c r="AN104" s="102">
        <v>3</v>
      </c>
      <c r="AO104" s="103"/>
      <c r="AP104" s="102">
        <v>3</v>
      </c>
      <c r="AQ104" s="103"/>
      <c r="AR104" s="102">
        <v>1</v>
      </c>
      <c r="AS104" s="103"/>
      <c r="AT104" s="116">
        <v>0</v>
      </c>
      <c r="AU104" s="124"/>
      <c r="AV104" s="125">
        <f t="shared" si="31"/>
        <v>0</v>
      </c>
      <c r="AW104" s="116">
        <f t="shared" si="32"/>
        <v>1</v>
      </c>
      <c r="AX104" s="116">
        <f t="shared" si="33"/>
        <v>-1</v>
      </c>
      <c r="AY104" s="116">
        <f t="shared" si="34"/>
        <v>-1</v>
      </c>
      <c r="AZ104" s="116">
        <f t="shared" si="35"/>
        <v>-1</v>
      </c>
      <c r="BA104" s="116">
        <f t="shared" si="36"/>
        <v>-2</v>
      </c>
      <c r="BB104" s="116">
        <f t="shared" si="37"/>
        <v>-2</v>
      </c>
      <c r="BC104" s="116">
        <f t="shared" si="30"/>
        <v>-1</v>
      </c>
      <c r="BD104" s="116"/>
      <c r="BE104" s="116"/>
      <c r="BF104" s="116"/>
      <c r="BG104" s="116"/>
      <c r="BH104" s="116"/>
      <c r="BI104" s="116"/>
      <c r="BJ104" s="116"/>
      <c r="BK104" s="116"/>
      <c r="BL104" s="116"/>
      <c r="BM104" s="116"/>
      <c r="BN104" s="116"/>
      <c r="BO104" s="116"/>
      <c r="BP104" s="116"/>
      <c r="BQ104" s="116"/>
      <c r="BR104" s="104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>
        <v>5</v>
      </c>
      <c r="V105" s="12">
        <v>3</v>
      </c>
      <c r="W105" s="13"/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1" t="s">
        <v>155</v>
      </c>
      <c r="B106" s="102">
        <v>0</v>
      </c>
      <c r="C106" s="103">
        <v>0</v>
      </c>
      <c r="D106" s="102">
        <v>0</v>
      </c>
      <c r="E106" s="103">
        <v>0</v>
      </c>
      <c r="F106" s="102">
        <v>3</v>
      </c>
      <c r="G106" s="103">
        <v>2</v>
      </c>
      <c r="H106" s="102">
        <v>3</v>
      </c>
      <c r="I106" s="103">
        <v>2</v>
      </c>
      <c r="J106" s="102">
        <v>3</v>
      </c>
      <c r="K106" s="103">
        <v>2</v>
      </c>
      <c r="L106" s="102">
        <v>3</v>
      </c>
      <c r="M106" s="103">
        <v>3</v>
      </c>
      <c r="N106" s="102">
        <v>3</v>
      </c>
      <c r="O106" s="103">
        <v>4</v>
      </c>
      <c r="P106" s="102">
        <v>3</v>
      </c>
      <c r="Q106" s="103">
        <v>4</v>
      </c>
      <c r="R106" s="102">
        <v>3</v>
      </c>
      <c r="S106" s="64">
        <v>4</v>
      </c>
      <c r="T106" s="102">
        <v>3</v>
      </c>
      <c r="U106" s="103">
        <v>4</v>
      </c>
      <c r="V106" s="102">
        <v>3</v>
      </c>
      <c r="W106" s="103"/>
      <c r="X106" s="102">
        <v>3</v>
      </c>
      <c r="Y106" s="103"/>
      <c r="Z106" s="102">
        <v>3</v>
      </c>
      <c r="AA106" s="103"/>
      <c r="AB106" s="102">
        <v>3</v>
      </c>
      <c r="AC106" s="103"/>
      <c r="AD106" s="102">
        <v>3</v>
      </c>
      <c r="AE106" s="103"/>
      <c r="AF106" s="102">
        <v>3</v>
      </c>
      <c r="AG106" s="103"/>
      <c r="AH106" s="102">
        <v>3</v>
      </c>
      <c r="AI106" s="103"/>
      <c r="AJ106" s="102">
        <v>3</v>
      </c>
      <c r="AK106" s="103"/>
      <c r="AL106" s="102">
        <v>3</v>
      </c>
      <c r="AM106" s="103"/>
      <c r="AN106" s="102">
        <v>3</v>
      </c>
      <c r="AO106" s="103"/>
      <c r="AP106" s="102">
        <v>3</v>
      </c>
      <c r="AQ106" s="103"/>
      <c r="AR106" s="102">
        <v>3</v>
      </c>
      <c r="AS106" s="103"/>
      <c r="AT106" s="116">
        <v>1.5</v>
      </c>
      <c r="AU106" s="124"/>
      <c r="AV106" s="125">
        <f t="shared" si="31"/>
        <v>0</v>
      </c>
      <c r="AW106" s="116">
        <f t="shared" si="32"/>
        <v>0</v>
      </c>
      <c r="AX106" s="116">
        <f t="shared" si="33"/>
        <v>-1</v>
      </c>
      <c r="AY106" s="116">
        <f t="shared" si="34"/>
        <v>-1</v>
      </c>
      <c r="AZ106" s="116">
        <f t="shared" si="35"/>
        <v>-1</v>
      </c>
      <c r="BA106" s="116">
        <f t="shared" si="36"/>
        <v>0</v>
      </c>
      <c r="BB106" s="116">
        <f t="shared" si="37"/>
        <v>1</v>
      </c>
      <c r="BC106" s="116">
        <f t="shared" si="30"/>
        <v>1</v>
      </c>
      <c r="BD106" s="116"/>
      <c r="BE106" s="116"/>
      <c r="BF106" s="116"/>
      <c r="BG106" s="116"/>
      <c r="BH106" s="116"/>
      <c r="BI106" s="116"/>
      <c r="BJ106" s="116"/>
      <c r="BK106" s="116"/>
      <c r="BL106" s="116"/>
      <c r="BM106" s="116"/>
      <c r="BN106" s="116"/>
      <c r="BO106" s="116"/>
      <c r="BP106" s="116"/>
      <c r="BQ106" s="116"/>
      <c r="BR106" s="104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>
        <v>2</v>
      </c>
      <c r="V107" s="12">
        <v>1</v>
      </c>
      <c r="W107" s="13"/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1" t="s">
        <v>156</v>
      </c>
      <c r="B108" s="102">
        <v>0</v>
      </c>
      <c r="C108" s="103">
        <v>0</v>
      </c>
      <c r="D108" s="102">
        <v>0</v>
      </c>
      <c r="E108" s="103">
        <v>0</v>
      </c>
      <c r="F108" s="102">
        <v>0</v>
      </c>
      <c r="G108" s="103">
        <v>0</v>
      </c>
      <c r="H108" s="102">
        <v>1</v>
      </c>
      <c r="I108" s="103">
        <v>0</v>
      </c>
      <c r="J108" s="102">
        <v>2</v>
      </c>
      <c r="K108" s="103">
        <v>0</v>
      </c>
      <c r="L108" s="102">
        <v>2</v>
      </c>
      <c r="M108" s="103">
        <v>0</v>
      </c>
      <c r="N108" s="102">
        <v>2</v>
      </c>
      <c r="O108" s="103">
        <v>0</v>
      </c>
      <c r="P108" s="102">
        <v>2</v>
      </c>
      <c r="Q108" s="103">
        <v>0</v>
      </c>
      <c r="R108" s="102">
        <v>2</v>
      </c>
      <c r="S108" s="64"/>
      <c r="T108" s="102">
        <v>2</v>
      </c>
      <c r="U108" s="103"/>
      <c r="V108" s="102">
        <v>2</v>
      </c>
      <c r="W108" s="103"/>
      <c r="X108" s="102">
        <v>1</v>
      </c>
      <c r="Y108" s="103"/>
      <c r="Z108" s="102">
        <v>1</v>
      </c>
      <c r="AA108" s="103"/>
      <c r="AB108" s="102">
        <v>1</v>
      </c>
      <c r="AC108" s="103"/>
      <c r="AD108" s="102">
        <v>2</v>
      </c>
      <c r="AE108" s="103"/>
      <c r="AF108" s="102">
        <v>2</v>
      </c>
      <c r="AG108" s="103"/>
      <c r="AH108" s="102">
        <v>2</v>
      </c>
      <c r="AI108" s="103"/>
      <c r="AJ108" s="102">
        <v>2</v>
      </c>
      <c r="AK108" s="103"/>
      <c r="AL108" s="102">
        <v>2</v>
      </c>
      <c r="AM108" s="103"/>
      <c r="AN108" s="102">
        <v>2</v>
      </c>
      <c r="AO108" s="103"/>
      <c r="AP108" s="102">
        <v>2</v>
      </c>
      <c r="AQ108" s="103"/>
      <c r="AR108" s="102">
        <v>1</v>
      </c>
      <c r="AS108" s="103"/>
      <c r="AT108" s="116">
        <v>0</v>
      </c>
      <c r="AU108" s="124"/>
      <c r="AV108" s="125">
        <f t="shared" si="31"/>
        <v>0</v>
      </c>
      <c r="AW108" s="116">
        <f t="shared" si="32"/>
        <v>0</v>
      </c>
      <c r="AX108" s="116">
        <f t="shared" si="33"/>
        <v>0</v>
      </c>
      <c r="AY108" s="116">
        <f t="shared" si="34"/>
        <v>-1</v>
      </c>
      <c r="AZ108" s="116">
        <f t="shared" si="35"/>
        <v>-2</v>
      </c>
      <c r="BA108" s="116">
        <f t="shared" si="36"/>
        <v>-2</v>
      </c>
      <c r="BB108" s="116">
        <f t="shared" si="37"/>
        <v>-2</v>
      </c>
      <c r="BC108" s="116">
        <f t="shared" si="30"/>
        <v>-2</v>
      </c>
      <c r="BD108" s="116"/>
      <c r="BE108" s="116"/>
      <c r="BF108" s="116"/>
      <c r="BG108" s="116"/>
      <c r="BH108" s="116"/>
      <c r="BI108" s="116"/>
      <c r="BJ108" s="116"/>
      <c r="BK108" s="116"/>
      <c r="BL108" s="116"/>
      <c r="BM108" s="116"/>
      <c r="BN108" s="116"/>
      <c r="BO108" s="116"/>
      <c r="BP108" s="116"/>
      <c r="BQ108" s="116"/>
      <c r="BR108" s="104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>
        <v>1</v>
      </c>
      <c r="V109" s="12">
        <v>2</v>
      </c>
      <c r="W109" s="13"/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1" t="s">
        <v>158</v>
      </c>
      <c r="B110" s="102">
        <v>0</v>
      </c>
      <c r="C110" s="103">
        <v>0</v>
      </c>
      <c r="D110" s="102">
        <v>0</v>
      </c>
      <c r="E110" s="103">
        <v>0</v>
      </c>
      <c r="F110" s="102">
        <v>0</v>
      </c>
      <c r="G110" s="103">
        <v>0</v>
      </c>
      <c r="H110" s="102">
        <v>1</v>
      </c>
      <c r="I110" s="103">
        <v>0</v>
      </c>
      <c r="J110" s="102">
        <v>1</v>
      </c>
      <c r="K110" s="103">
        <v>0</v>
      </c>
      <c r="L110" s="102">
        <v>1</v>
      </c>
      <c r="M110" s="103">
        <v>0</v>
      </c>
      <c r="N110" s="102">
        <v>1</v>
      </c>
      <c r="O110" s="103">
        <v>0</v>
      </c>
      <c r="P110" s="102">
        <v>1</v>
      </c>
      <c r="Q110" s="103">
        <v>0</v>
      </c>
      <c r="R110" s="102">
        <v>1</v>
      </c>
      <c r="S110" s="64">
        <v>1</v>
      </c>
      <c r="T110" s="102">
        <v>1</v>
      </c>
      <c r="U110" s="103">
        <v>1</v>
      </c>
      <c r="V110" s="102">
        <v>1</v>
      </c>
      <c r="W110" s="103"/>
      <c r="X110" s="102">
        <v>1</v>
      </c>
      <c r="Y110" s="103"/>
      <c r="Z110" s="102">
        <v>1</v>
      </c>
      <c r="AA110" s="103"/>
      <c r="AB110" s="102">
        <v>1</v>
      </c>
      <c r="AC110" s="103"/>
      <c r="AD110" s="102">
        <v>1</v>
      </c>
      <c r="AE110" s="103"/>
      <c r="AF110" s="102">
        <v>1</v>
      </c>
      <c r="AG110" s="103"/>
      <c r="AH110" s="102">
        <v>1</v>
      </c>
      <c r="AI110" s="103"/>
      <c r="AJ110" s="102">
        <v>1</v>
      </c>
      <c r="AK110" s="103"/>
      <c r="AL110" s="102">
        <v>1</v>
      </c>
      <c r="AM110" s="103"/>
      <c r="AN110" s="102">
        <v>1</v>
      </c>
      <c r="AO110" s="103"/>
      <c r="AP110" s="102">
        <v>1</v>
      </c>
      <c r="AQ110" s="103"/>
      <c r="AR110" s="102">
        <v>1</v>
      </c>
      <c r="AS110" s="103"/>
      <c r="AT110" s="116">
        <v>0</v>
      </c>
      <c r="AU110" s="124"/>
      <c r="AV110" s="125">
        <f t="shared" si="31"/>
        <v>0</v>
      </c>
      <c r="AW110" s="116">
        <f t="shared" si="32"/>
        <v>0</v>
      </c>
      <c r="AX110" s="116">
        <f t="shared" si="33"/>
        <v>0</v>
      </c>
      <c r="AY110" s="116">
        <f t="shared" si="34"/>
        <v>-1</v>
      </c>
      <c r="AZ110" s="116">
        <f t="shared" si="35"/>
        <v>-1</v>
      </c>
      <c r="BA110" s="116">
        <f t="shared" si="36"/>
        <v>-1</v>
      </c>
      <c r="BB110" s="116">
        <f t="shared" si="37"/>
        <v>-1</v>
      </c>
      <c r="BC110" s="116">
        <f t="shared" si="30"/>
        <v>-1</v>
      </c>
      <c r="BD110" s="116"/>
      <c r="BE110" s="116"/>
      <c r="BF110" s="116"/>
      <c r="BG110" s="116"/>
      <c r="BH110" s="116"/>
      <c r="BI110" s="116"/>
      <c r="BJ110" s="116"/>
      <c r="BK110" s="116"/>
      <c r="BL110" s="116"/>
      <c r="BM110" s="116"/>
      <c r="BN110" s="116"/>
      <c r="BO110" s="116"/>
      <c r="BP110" s="116"/>
      <c r="BQ110" s="116"/>
      <c r="BR110" s="104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>
        <v>1</v>
      </c>
      <c r="V111" s="12">
        <v>1</v>
      </c>
      <c r="W111" s="13"/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1" t="s">
        <v>159</v>
      </c>
      <c r="B112" s="102">
        <v>0</v>
      </c>
      <c r="C112" s="103">
        <v>0</v>
      </c>
      <c r="D112" s="102">
        <v>0</v>
      </c>
      <c r="E112" s="103">
        <v>0</v>
      </c>
      <c r="F112" s="102">
        <v>0</v>
      </c>
      <c r="G112" s="103">
        <v>0</v>
      </c>
      <c r="H112" s="102">
        <v>1</v>
      </c>
      <c r="I112" s="103">
        <v>0</v>
      </c>
      <c r="J112" s="102">
        <v>2</v>
      </c>
      <c r="K112" s="103">
        <v>2</v>
      </c>
      <c r="L112" s="102">
        <v>2</v>
      </c>
      <c r="M112" s="103">
        <v>2</v>
      </c>
      <c r="N112" s="102">
        <v>2</v>
      </c>
      <c r="O112" s="103">
        <v>2</v>
      </c>
      <c r="P112" s="102">
        <v>2</v>
      </c>
      <c r="Q112" s="103">
        <v>2</v>
      </c>
      <c r="R112" s="102">
        <v>2</v>
      </c>
      <c r="S112" s="64">
        <v>2</v>
      </c>
      <c r="T112" s="102">
        <v>2</v>
      </c>
      <c r="U112" s="103">
        <v>2</v>
      </c>
      <c r="V112" s="102">
        <v>2</v>
      </c>
      <c r="W112" s="103"/>
      <c r="X112" s="102">
        <v>1</v>
      </c>
      <c r="Y112" s="103"/>
      <c r="Z112" s="102">
        <v>1</v>
      </c>
      <c r="AA112" s="103"/>
      <c r="AB112" s="102">
        <v>1</v>
      </c>
      <c r="AC112" s="103"/>
      <c r="AD112" s="102">
        <v>2</v>
      </c>
      <c r="AE112" s="103"/>
      <c r="AF112" s="102">
        <v>2</v>
      </c>
      <c r="AG112" s="103"/>
      <c r="AH112" s="102">
        <v>2</v>
      </c>
      <c r="AI112" s="103"/>
      <c r="AJ112" s="102">
        <v>2</v>
      </c>
      <c r="AK112" s="103"/>
      <c r="AL112" s="102">
        <v>2</v>
      </c>
      <c r="AM112" s="103"/>
      <c r="AN112" s="102">
        <v>2</v>
      </c>
      <c r="AO112" s="103"/>
      <c r="AP112" s="102">
        <v>2</v>
      </c>
      <c r="AQ112" s="103"/>
      <c r="AR112" s="102">
        <v>1</v>
      </c>
      <c r="AS112" s="103"/>
      <c r="AT112" s="116">
        <v>0</v>
      </c>
      <c r="AU112" s="124"/>
      <c r="AV112" s="125">
        <f t="shared" si="31"/>
        <v>0</v>
      </c>
      <c r="AW112" s="116">
        <f t="shared" si="32"/>
        <v>0</v>
      </c>
      <c r="AX112" s="116">
        <f t="shared" si="33"/>
        <v>0</v>
      </c>
      <c r="AY112" s="116">
        <f t="shared" si="34"/>
        <v>-1</v>
      </c>
      <c r="AZ112" s="116">
        <f t="shared" si="35"/>
        <v>0</v>
      </c>
      <c r="BA112" s="116">
        <f t="shared" si="36"/>
        <v>0</v>
      </c>
      <c r="BB112" s="116">
        <f t="shared" si="37"/>
        <v>0</v>
      </c>
      <c r="BC112" s="116">
        <f t="shared" si="30"/>
        <v>0</v>
      </c>
      <c r="BD112" s="116"/>
      <c r="BE112" s="116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6"/>
      <c r="BQ112" s="116"/>
      <c r="BR112" s="104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>
        <v>1</v>
      </c>
      <c r="V113" s="12">
        <v>0</v>
      </c>
      <c r="W113" s="13"/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6" t="s">
        <v>161</v>
      </c>
      <c r="B114" s="127">
        <v>0</v>
      </c>
      <c r="C114" s="66">
        <v>0</v>
      </c>
      <c r="D114" s="127">
        <v>0</v>
      </c>
      <c r="E114" s="66">
        <v>44</v>
      </c>
      <c r="F114" s="127">
        <v>0</v>
      </c>
      <c r="G114" s="66">
        <v>44</v>
      </c>
      <c r="H114" s="127">
        <v>0</v>
      </c>
      <c r="I114" s="66">
        <v>44</v>
      </c>
      <c r="J114" s="127">
        <v>0</v>
      </c>
      <c r="K114" s="66">
        <v>57</v>
      </c>
      <c r="L114" s="127">
        <v>0</v>
      </c>
      <c r="M114" s="66">
        <v>57</v>
      </c>
      <c r="N114" s="127">
        <v>0</v>
      </c>
      <c r="O114" s="66">
        <v>57</v>
      </c>
      <c r="P114" s="127">
        <v>0</v>
      </c>
      <c r="Q114" s="66">
        <v>57</v>
      </c>
      <c r="R114" s="127">
        <v>0</v>
      </c>
      <c r="S114" s="64">
        <v>112</v>
      </c>
      <c r="T114" s="127">
        <v>0</v>
      </c>
      <c r="U114" s="66">
        <v>112</v>
      </c>
      <c r="V114" s="127">
        <v>0</v>
      </c>
      <c r="W114" s="66"/>
      <c r="X114" s="127">
        <v>0</v>
      </c>
      <c r="Y114" s="66"/>
      <c r="Z114" s="127">
        <v>0</v>
      </c>
      <c r="AA114" s="66"/>
      <c r="AB114" s="127">
        <v>0</v>
      </c>
      <c r="AC114" s="66"/>
      <c r="AD114" s="127">
        <v>0</v>
      </c>
      <c r="AE114" s="66"/>
      <c r="AF114" s="127">
        <v>0</v>
      </c>
      <c r="AG114" s="66"/>
      <c r="AH114" s="127">
        <v>0</v>
      </c>
      <c r="AI114" s="66"/>
      <c r="AJ114" s="127">
        <v>0</v>
      </c>
      <c r="AK114" s="66"/>
      <c r="AL114" s="127">
        <v>0</v>
      </c>
      <c r="AM114" s="66"/>
      <c r="AN114" s="127">
        <v>0</v>
      </c>
      <c r="AO114" s="66"/>
      <c r="AP114" s="127">
        <v>0</v>
      </c>
      <c r="AQ114" s="66"/>
      <c r="AR114" s="127">
        <v>0</v>
      </c>
      <c r="AS114" s="66"/>
      <c r="AT114" s="128">
        <v>0</v>
      </c>
      <c r="AU114" s="129"/>
      <c r="AV114" s="130">
        <f t="shared" si="31"/>
        <v>0</v>
      </c>
      <c r="AW114" s="128">
        <f t="shared" si="32"/>
        <v>44</v>
      </c>
      <c r="AX114" s="128">
        <f t="shared" si="33"/>
        <v>44</v>
      </c>
      <c r="AY114" s="128">
        <f t="shared" si="34"/>
        <v>44</v>
      </c>
      <c r="AZ114" s="128">
        <f t="shared" si="35"/>
        <v>57</v>
      </c>
      <c r="BA114" s="128">
        <f t="shared" si="36"/>
        <v>57</v>
      </c>
      <c r="BB114" s="128">
        <f t="shared" si="37"/>
        <v>57</v>
      </c>
      <c r="BC114" s="128">
        <f t="shared" si="30"/>
        <v>57</v>
      </c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31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>
        <v>2</v>
      </c>
      <c r="V115" s="17">
        <v>1</v>
      </c>
      <c r="W115" s="18"/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1" t="s">
        <v>96</v>
      </c>
      <c r="B116" s="112">
        <f>SUM(B94:B99,B101:B102,B104:B113,B115)</f>
        <v>1</v>
      </c>
      <c r="C116" s="112">
        <f t="shared" ref="C116:BN116" si="38">SUM(C94:C99,C101:C102,C104:C113,C115)</f>
        <v>1</v>
      </c>
      <c r="D116" s="112">
        <f t="shared" si="38"/>
        <v>1</v>
      </c>
      <c r="E116" s="112">
        <f t="shared" si="38"/>
        <v>11</v>
      </c>
      <c r="F116" s="112">
        <f t="shared" si="38"/>
        <v>21</v>
      </c>
      <c r="G116" s="112">
        <f t="shared" si="38"/>
        <v>17</v>
      </c>
      <c r="H116" s="112">
        <f t="shared" si="38"/>
        <v>36</v>
      </c>
      <c r="I116" s="112">
        <f t="shared" si="38"/>
        <v>21</v>
      </c>
      <c r="J116" s="112">
        <f t="shared" si="38"/>
        <v>39</v>
      </c>
      <c r="K116" s="112">
        <f t="shared" si="38"/>
        <v>26</v>
      </c>
      <c r="L116" s="112">
        <f t="shared" si="38"/>
        <v>39</v>
      </c>
      <c r="M116" s="112">
        <f t="shared" si="38"/>
        <v>32</v>
      </c>
      <c r="N116" s="112">
        <f t="shared" si="38"/>
        <v>39</v>
      </c>
      <c r="O116" s="112">
        <f t="shared" si="38"/>
        <v>38</v>
      </c>
      <c r="P116" s="112">
        <f t="shared" si="38"/>
        <v>39</v>
      </c>
      <c r="Q116" s="112">
        <f t="shared" si="38"/>
        <v>44</v>
      </c>
      <c r="R116" s="112">
        <f t="shared" si="38"/>
        <v>39</v>
      </c>
      <c r="S116" s="112">
        <f t="shared" si="38"/>
        <v>46</v>
      </c>
      <c r="T116" s="112">
        <f t="shared" si="38"/>
        <v>39</v>
      </c>
      <c r="U116" s="112">
        <f t="shared" si="38"/>
        <v>46</v>
      </c>
      <c r="V116" s="112">
        <f t="shared" si="38"/>
        <v>39</v>
      </c>
      <c r="W116" s="112">
        <f t="shared" si="38"/>
        <v>0</v>
      </c>
      <c r="X116" s="112">
        <f t="shared" si="38"/>
        <v>37</v>
      </c>
      <c r="Y116" s="112">
        <f t="shared" si="38"/>
        <v>0</v>
      </c>
      <c r="Z116" s="112">
        <f t="shared" si="38"/>
        <v>37</v>
      </c>
      <c r="AA116" s="112">
        <f t="shared" si="38"/>
        <v>0</v>
      </c>
      <c r="AB116" s="112">
        <f t="shared" si="38"/>
        <v>37</v>
      </c>
      <c r="AC116" s="112">
        <f t="shared" si="38"/>
        <v>0</v>
      </c>
      <c r="AD116" s="112">
        <f t="shared" si="38"/>
        <v>39</v>
      </c>
      <c r="AE116" s="112">
        <f t="shared" si="38"/>
        <v>0</v>
      </c>
      <c r="AF116" s="112">
        <f t="shared" si="38"/>
        <v>39</v>
      </c>
      <c r="AG116" s="112">
        <f t="shared" si="38"/>
        <v>0</v>
      </c>
      <c r="AH116" s="112">
        <f t="shared" si="38"/>
        <v>39</v>
      </c>
      <c r="AI116" s="112">
        <f t="shared" si="38"/>
        <v>0</v>
      </c>
      <c r="AJ116" s="112">
        <f t="shared" si="38"/>
        <v>39</v>
      </c>
      <c r="AK116" s="112">
        <f t="shared" si="38"/>
        <v>0</v>
      </c>
      <c r="AL116" s="112">
        <f t="shared" si="38"/>
        <v>39</v>
      </c>
      <c r="AM116" s="112">
        <f t="shared" si="38"/>
        <v>0</v>
      </c>
      <c r="AN116" s="112">
        <f t="shared" si="38"/>
        <v>39</v>
      </c>
      <c r="AO116" s="112">
        <f t="shared" si="38"/>
        <v>0</v>
      </c>
      <c r="AP116" s="112">
        <f t="shared" si="38"/>
        <v>39</v>
      </c>
      <c r="AQ116" s="112">
        <f t="shared" si="38"/>
        <v>0</v>
      </c>
      <c r="AR116" s="112">
        <f t="shared" si="38"/>
        <v>31</v>
      </c>
      <c r="AS116" s="112">
        <f t="shared" si="38"/>
        <v>0</v>
      </c>
      <c r="AT116" s="112">
        <f t="shared" si="38"/>
        <v>4.5</v>
      </c>
      <c r="AU116" s="112">
        <f t="shared" si="38"/>
        <v>0</v>
      </c>
      <c r="AV116" s="112">
        <f t="shared" si="38"/>
        <v>0</v>
      </c>
      <c r="AW116" s="112">
        <f t="shared" si="38"/>
        <v>10</v>
      </c>
      <c r="AX116" s="112">
        <f t="shared" si="38"/>
        <v>-4</v>
      </c>
      <c r="AY116" s="112">
        <f t="shared" si="38"/>
        <v>-15</v>
      </c>
      <c r="AZ116" s="112">
        <f t="shared" si="38"/>
        <v>-13</v>
      </c>
      <c r="BA116" s="112">
        <f t="shared" si="38"/>
        <v>-7</v>
      </c>
      <c r="BB116" s="112">
        <f t="shared" si="38"/>
        <v>-1</v>
      </c>
      <c r="BC116" s="112">
        <f t="shared" si="38"/>
        <v>5</v>
      </c>
      <c r="BD116" s="112">
        <f t="shared" si="38"/>
        <v>0</v>
      </c>
      <c r="BE116" s="112">
        <f t="shared" si="38"/>
        <v>0</v>
      </c>
      <c r="BF116" s="112">
        <f t="shared" si="38"/>
        <v>0</v>
      </c>
      <c r="BG116" s="112">
        <f t="shared" si="38"/>
        <v>0</v>
      </c>
      <c r="BH116" s="112">
        <f t="shared" si="38"/>
        <v>0</v>
      </c>
      <c r="BI116" s="112">
        <f t="shared" si="38"/>
        <v>0</v>
      </c>
      <c r="BJ116" s="112">
        <f t="shared" si="38"/>
        <v>0</v>
      </c>
      <c r="BK116" s="112">
        <f t="shared" si="38"/>
        <v>0</v>
      </c>
      <c r="BL116" s="112">
        <f t="shared" si="38"/>
        <v>0</v>
      </c>
      <c r="BM116" s="112">
        <f t="shared" si="38"/>
        <v>0</v>
      </c>
      <c r="BN116" s="112">
        <f t="shared" si="38"/>
        <v>0</v>
      </c>
      <c r="BO116" s="112">
        <f t="shared" ref="BO116:BR116" si="39">SUM(BO94:BO99,BO101:BO102,BO104:BO113,BO115)</f>
        <v>0</v>
      </c>
      <c r="BP116" s="112">
        <f t="shared" si="39"/>
        <v>0</v>
      </c>
      <c r="BQ116" s="112">
        <f t="shared" si="39"/>
        <v>0</v>
      </c>
      <c r="BR116" s="112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workbookViewId="0">
      <selection activeCell="I68" sqref="I68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2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3"/>
      <c r="Z1" s="133"/>
      <c r="AA1" s="133"/>
      <c r="AB1" s="133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33"/>
    </row>
    <row r="2" spans="1:45" s="70" customFormat="1" x14ac:dyDescent="0.25">
      <c r="A2" s="135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6"/>
      <c r="X2" s="136"/>
      <c r="Y2" s="137"/>
      <c r="Z2" s="138"/>
      <c r="AA2" s="138"/>
      <c r="AB2" s="138"/>
      <c r="AC2" s="139">
        <v>46234</v>
      </c>
      <c r="AD2" s="139">
        <v>46265</v>
      </c>
      <c r="AE2" s="139">
        <v>46295</v>
      </c>
      <c r="AF2" s="139">
        <v>46326</v>
      </c>
      <c r="AG2" s="139">
        <v>46356</v>
      </c>
      <c r="AH2" s="139">
        <v>46375</v>
      </c>
      <c r="AI2" s="139">
        <v>46418</v>
      </c>
      <c r="AJ2" s="139">
        <v>46446</v>
      </c>
      <c r="AK2" s="139">
        <v>46477</v>
      </c>
      <c r="AL2" s="139">
        <v>46507</v>
      </c>
      <c r="AM2" s="139">
        <v>46538</v>
      </c>
      <c r="AN2" s="139">
        <v>46568</v>
      </c>
      <c r="AO2" s="139">
        <v>46599</v>
      </c>
      <c r="AP2" s="139">
        <v>46630</v>
      </c>
      <c r="AQ2" s="139">
        <v>46660</v>
      </c>
      <c r="AR2" s="139">
        <v>46691</v>
      </c>
      <c r="AS2" s="137"/>
    </row>
    <row r="3" spans="1:45" s="70" customFormat="1" x14ac:dyDescent="0.25">
      <c r="A3" s="140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</row>
    <row r="4" spans="1:45" s="70" customFormat="1" x14ac:dyDescent="0.25">
      <c r="A4" s="140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1"/>
      <c r="Z4" s="141"/>
      <c r="AA4" s="141"/>
      <c r="AB4" s="141"/>
      <c r="AC4" s="141">
        <f>NETWORKDAYS.INTL(AC1,AC2,11)</f>
        <v>27</v>
      </c>
      <c r="AD4" s="141">
        <f t="shared" ref="AD4:AR4" si="1">NETWORKDAYS.INTL(AD1,AD2,11)</f>
        <v>26</v>
      </c>
      <c r="AE4" s="141">
        <f t="shared" si="1"/>
        <v>26</v>
      </c>
      <c r="AF4" s="141">
        <f t="shared" si="1"/>
        <v>27</v>
      </c>
      <c r="AG4" s="141">
        <f t="shared" si="1"/>
        <v>25</v>
      </c>
      <c r="AH4" s="141">
        <f t="shared" si="1"/>
        <v>17</v>
      </c>
      <c r="AI4" s="141">
        <f t="shared" si="1"/>
        <v>24</v>
      </c>
      <c r="AJ4" s="141">
        <f t="shared" si="1"/>
        <v>24</v>
      </c>
      <c r="AK4" s="141">
        <f t="shared" si="1"/>
        <v>27</v>
      </c>
      <c r="AL4" s="141">
        <f t="shared" si="1"/>
        <v>26</v>
      </c>
      <c r="AM4" s="141">
        <f t="shared" si="1"/>
        <v>26</v>
      </c>
      <c r="AN4" s="141">
        <f t="shared" si="1"/>
        <v>26</v>
      </c>
      <c r="AO4" s="141">
        <f t="shared" si="1"/>
        <v>27</v>
      </c>
      <c r="AP4" s="141">
        <f t="shared" si="1"/>
        <v>26</v>
      </c>
      <c r="AQ4" s="141">
        <f t="shared" si="1"/>
        <v>26</v>
      </c>
      <c r="AR4" s="141">
        <f t="shared" si="1"/>
        <v>26</v>
      </c>
    </row>
    <row r="5" spans="1:45" s="70" customFormat="1" x14ac:dyDescent="0.25">
      <c r="A5" s="142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1155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6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</row>
    <row r="6" spans="1:45" s="144" customFormat="1" x14ac:dyDescent="0.25">
      <c r="A6" s="143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23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4" customFormat="1" x14ac:dyDescent="0.25">
      <c r="A7" s="143" t="s">
        <v>187</v>
      </c>
      <c r="B7" s="69">
        <f>IFERROR(B5/B6,0)</f>
        <v>0</v>
      </c>
      <c r="C7" s="69">
        <f t="shared" ref="C7:I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50.217391304347828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</row>
    <row r="8" spans="1:45" s="144" customFormat="1" x14ac:dyDescent="0.25">
      <c r="A8" s="146" t="s">
        <v>189</v>
      </c>
      <c r="B8" s="147">
        <f t="shared" ref="B8:F10" si="3">B5</f>
        <v>0</v>
      </c>
      <c r="C8" s="147">
        <f t="shared" si="3"/>
        <v>6</v>
      </c>
      <c r="D8" s="147">
        <f t="shared" si="3"/>
        <v>335</v>
      </c>
      <c r="E8" s="147">
        <f t="shared" si="3"/>
        <v>626</v>
      </c>
      <c r="F8" s="147">
        <f t="shared" si="3"/>
        <v>828</v>
      </c>
      <c r="G8" s="147">
        <f>G5</f>
        <v>1187</v>
      </c>
      <c r="H8" s="147">
        <v>1051</v>
      </c>
      <c r="I8" s="147">
        <v>1352.8999999999996</v>
      </c>
      <c r="J8" s="147">
        <v>1385.1000000000004</v>
      </c>
      <c r="K8" s="147">
        <v>1253.1999999999998</v>
      </c>
      <c r="L8" s="147">
        <v>923.40000000000055</v>
      </c>
      <c r="M8" s="147">
        <v>1253.2000000000007</v>
      </c>
      <c r="N8" s="147">
        <v>1319.2000000000007</v>
      </c>
      <c r="O8" s="147">
        <v>1517.1000000000004</v>
      </c>
      <c r="P8" s="147">
        <v>1451.1000000000004</v>
      </c>
      <c r="Q8" s="147">
        <v>1385.1000000000004</v>
      </c>
      <c r="R8" s="147">
        <v>1451.0999999999985</v>
      </c>
      <c r="S8" s="147">
        <v>990.69999999999709</v>
      </c>
      <c r="T8" s="147">
        <v>0</v>
      </c>
      <c r="U8" s="147">
        <v>0</v>
      </c>
      <c r="V8" s="147">
        <v>0</v>
      </c>
      <c r="X8" s="148"/>
      <c r="Y8" s="145"/>
      <c r="Z8" s="145"/>
      <c r="AA8" s="145"/>
      <c r="AB8" s="145"/>
      <c r="AC8" s="145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45" s="144" customFormat="1" x14ac:dyDescent="0.25">
      <c r="A9" s="143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4" customFormat="1" x14ac:dyDescent="0.25">
      <c r="A10" s="143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54.115999999999985</v>
      </c>
      <c r="J10" s="69">
        <f t="shared" si="5"/>
        <v>51.300000000000011</v>
      </c>
      <c r="K10" s="69">
        <f t="shared" si="5"/>
        <v>50.127999999999993</v>
      </c>
      <c r="L10" s="69">
        <f t="shared" si="5"/>
        <v>57.712500000000034</v>
      </c>
      <c r="M10" s="69">
        <f t="shared" si="5"/>
        <v>52.216666666666697</v>
      </c>
      <c r="N10" s="69">
        <f t="shared" si="5"/>
        <v>54.966666666666697</v>
      </c>
      <c r="O10" s="69">
        <f t="shared" si="5"/>
        <v>56.188888888888904</v>
      </c>
      <c r="P10" s="69">
        <f t="shared" si="5"/>
        <v>55.811538461538476</v>
      </c>
      <c r="Q10" s="69">
        <f t="shared" si="5"/>
        <v>53.273076923076935</v>
      </c>
      <c r="R10" s="69">
        <f t="shared" si="5"/>
        <v>55.811538461538404</v>
      </c>
      <c r="S10" s="69">
        <f t="shared" si="5"/>
        <v>36.692592592592483</v>
      </c>
      <c r="T10" s="69">
        <f t="shared" si="5"/>
        <v>0</v>
      </c>
      <c r="U10" s="69">
        <f t="shared" si="5"/>
        <v>0</v>
      </c>
      <c r="V10" s="69">
        <v>0</v>
      </c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</row>
    <row r="11" spans="1:45" s="70" customFormat="1" x14ac:dyDescent="0.25"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s="70" customFormat="1" x14ac:dyDescent="0.25">
      <c r="A12" s="132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4" customFormat="1" x14ac:dyDescent="0.25">
      <c r="A13" s="150" t="s">
        <v>190</v>
      </c>
      <c r="B13" s="151">
        <v>525</v>
      </c>
      <c r="C13" s="151">
        <v>20834.099999999999</v>
      </c>
      <c r="D13" s="151">
        <v>22670.6</v>
      </c>
      <c r="E13" s="151">
        <v>17825.7</v>
      </c>
      <c r="F13" s="151">
        <v>18975.599999999999</v>
      </c>
      <c r="G13" s="151">
        <v>18324.7</v>
      </c>
      <c r="H13" s="151">
        <v>19666.2</v>
      </c>
      <c r="I13" s="151">
        <v>16423</v>
      </c>
      <c r="J13" s="151">
        <v>9932.7999999999993</v>
      </c>
      <c r="K13" s="151">
        <v>16219.3</v>
      </c>
      <c r="L13" s="151">
        <v>13428.8</v>
      </c>
      <c r="M13" s="151">
        <v>15756.9</v>
      </c>
      <c r="N13" s="151">
        <v>16586.2</v>
      </c>
      <c r="O13" s="151">
        <v>18720.2</v>
      </c>
      <c r="P13" s="151">
        <v>18506.400000000001</v>
      </c>
      <c r="Q13" s="151">
        <v>18061.8</v>
      </c>
      <c r="R13" s="151">
        <v>18436.3</v>
      </c>
      <c r="S13" s="151">
        <v>18436.3</v>
      </c>
      <c r="T13" s="151">
        <v>6927.6</v>
      </c>
      <c r="U13" s="151">
        <v>0</v>
      </c>
      <c r="V13" s="151">
        <v>0</v>
      </c>
      <c r="X13" s="148"/>
      <c r="Y13" s="148"/>
      <c r="AE13" s="148"/>
    </row>
    <row r="14" spans="1:45" s="144" customFormat="1" x14ac:dyDescent="0.25">
      <c r="A14" s="143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8"/>
    </row>
    <row r="15" spans="1:45" s="144" customFormat="1" x14ac:dyDescent="0.25">
      <c r="A15" s="143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4" customFormat="1" x14ac:dyDescent="0.25">
      <c r="A16" s="152" t="s">
        <v>191</v>
      </c>
      <c r="B16" s="153">
        <v>451</v>
      </c>
      <c r="C16" s="153">
        <v>7717</v>
      </c>
      <c r="D16" s="153">
        <v>7760</v>
      </c>
      <c r="E16" s="153">
        <v>12900</v>
      </c>
      <c r="F16" s="153">
        <v>20505</v>
      </c>
      <c r="G16" s="153">
        <v>17148</v>
      </c>
      <c r="H16" s="153">
        <v>20537</v>
      </c>
      <c r="I16" s="153">
        <v>13615</v>
      </c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X16" s="148"/>
    </row>
    <row r="17" spans="1:24" s="144" customFormat="1" x14ac:dyDescent="0.25">
      <c r="A17" s="143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17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4" customFormat="1" x14ac:dyDescent="0.25">
      <c r="A18" s="143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800.88235294117646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4" customFormat="1" x14ac:dyDescent="0.25">
      <c r="A19" s="146" t="s">
        <v>192</v>
      </c>
      <c r="B19" s="147">
        <f t="shared" ref="B19:F21" si="8">B16</f>
        <v>451</v>
      </c>
      <c r="C19" s="147">
        <f t="shared" si="8"/>
        <v>7717</v>
      </c>
      <c r="D19" s="147">
        <f t="shared" si="8"/>
        <v>7760</v>
      </c>
      <c r="E19" s="147">
        <f t="shared" si="8"/>
        <v>12900</v>
      </c>
      <c r="F19" s="147">
        <f t="shared" si="8"/>
        <v>20505</v>
      </c>
      <c r="G19" s="147">
        <f>G16</f>
        <v>17148</v>
      </c>
      <c r="H19" s="147">
        <v>16832</v>
      </c>
      <c r="I19" s="147">
        <v>19642.699999999997</v>
      </c>
      <c r="J19" s="147">
        <v>19828.5</v>
      </c>
      <c r="K19" s="147">
        <v>16333.400000000009</v>
      </c>
      <c r="L19" s="147">
        <v>12810.299999999988</v>
      </c>
      <c r="M19" s="147">
        <v>17724.5</v>
      </c>
      <c r="N19" s="147">
        <v>18617.200000000012</v>
      </c>
      <c r="O19" s="147">
        <v>21409.799999999988</v>
      </c>
      <c r="P19" s="147">
        <v>20513.399999999994</v>
      </c>
      <c r="Q19" s="147">
        <v>19843.799999999988</v>
      </c>
      <c r="R19" s="147">
        <v>20484.799999999988</v>
      </c>
      <c r="S19" s="147">
        <v>20484.799999999988</v>
      </c>
      <c r="T19" s="147">
        <v>11546.299999999988</v>
      </c>
      <c r="U19" s="147">
        <v>0</v>
      </c>
      <c r="V19" s="147">
        <v>0</v>
      </c>
      <c r="X19" s="148"/>
    </row>
    <row r="20" spans="1:24" s="144" customFormat="1" x14ac:dyDescent="0.25">
      <c r="A20" s="143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4" customFormat="1" x14ac:dyDescent="0.25">
      <c r="A21" s="143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785.70799999999986</v>
      </c>
      <c r="J21" s="69">
        <f t="shared" si="10"/>
        <v>734.38888888888891</v>
      </c>
      <c r="K21" s="69">
        <f t="shared" si="10"/>
        <v>653.33600000000035</v>
      </c>
      <c r="L21" s="69">
        <f t="shared" si="10"/>
        <v>800.64374999999927</v>
      </c>
      <c r="M21" s="69">
        <f t="shared" si="10"/>
        <v>738.52083333333337</v>
      </c>
      <c r="N21" s="69">
        <f t="shared" si="10"/>
        <v>775.71666666666715</v>
      </c>
      <c r="O21" s="69">
        <f t="shared" si="10"/>
        <v>792.95555555555518</v>
      </c>
      <c r="P21" s="69">
        <f t="shared" si="10"/>
        <v>788.97692307692284</v>
      </c>
      <c r="Q21" s="69">
        <f t="shared" si="10"/>
        <v>763.22307692307652</v>
      </c>
      <c r="R21" s="69">
        <f t="shared" si="10"/>
        <v>787.87692307692259</v>
      </c>
      <c r="S21" s="69">
        <f t="shared" si="10"/>
        <v>758.69629629629583</v>
      </c>
      <c r="T21" s="69">
        <f t="shared" si="10"/>
        <v>444.0884615384611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2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5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6"/>
    </row>
    <row r="25" spans="1:24" s="70" customFormat="1" x14ac:dyDescent="0.25">
      <c r="A25" s="140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0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2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34647</v>
      </c>
      <c r="J27" s="68" t="s">
        <v>196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6"/>
    </row>
    <row r="28" spans="1:24" s="144" customFormat="1" x14ac:dyDescent="0.25">
      <c r="A28" s="143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13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4" customFormat="1" x14ac:dyDescent="0.25">
      <c r="A29" s="143" t="s">
        <v>187</v>
      </c>
      <c r="B29" s="69">
        <f>IFERROR(B27/B28,0)</f>
        <v>0</v>
      </c>
      <c r="C29" s="69">
        <f t="shared" ref="C29:I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2665.1538461538462</v>
      </c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4" customFormat="1" x14ac:dyDescent="0.25">
      <c r="A30" s="146" t="s">
        <v>197</v>
      </c>
      <c r="B30" s="147">
        <f t="shared" ref="B30:F32" si="13">B27</f>
        <v>0</v>
      </c>
      <c r="C30" s="147">
        <f t="shared" si="13"/>
        <v>4183</v>
      </c>
      <c r="D30" s="147">
        <f t="shared" si="13"/>
        <v>12512</v>
      </c>
      <c r="E30" s="147">
        <f t="shared" si="13"/>
        <v>10962</v>
      </c>
      <c r="F30" s="147">
        <f t="shared" si="13"/>
        <v>17136</v>
      </c>
      <c r="G30" s="147">
        <f>G27</f>
        <v>48321</v>
      </c>
      <c r="H30" s="147">
        <v>41202</v>
      </c>
      <c r="I30" s="147">
        <v>42976.200000000012</v>
      </c>
      <c r="J30" s="147">
        <v>50286.200000000012</v>
      </c>
      <c r="K30" s="147">
        <v>55255.166666666686</v>
      </c>
      <c r="L30" s="147">
        <v>37919.966666666674</v>
      </c>
      <c r="M30" s="147">
        <v>49715.066666666651</v>
      </c>
      <c r="N30" s="147">
        <v>37907.700000000012</v>
      </c>
      <c r="O30" s="147">
        <v>50217.700000000012</v>
      </c>
      <c r="P30" s="147">
        <v>45499.5</v>
      </c>
      <c r="Q30" s="147">
        <v>51922.299999999988</v>
      </c>
      <c r="R30" s="147">
        <v>45895.599999999977</v>
      </c>
      <c r="S30" s="147">
        <v>36868.900000000023</v>
      </c>
      <c r="T30" s="147">
        <v>688152.10000000009</v>
      </c>
      <c r="U30" s="147">
        <v>40718.799999999814</v>
      </c>
      <c r="V30" s="147">
        <v>0</v>
      </c>
      <c r="X30" s="148"/>
    </row>
    <row r="31" spans="1:24" s="144" customFormat="1" x14ac:dyDescent="0.25">
      <c r="A31" s="143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4" customFormat="1" x14ac:dyDescent="0.25">
      <c r="A32" s="143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1719.0480000000005</v>
      </c>
      <c r="J32" s="69">
        <f t="shared" si="15"/>
        <v>1862.4518518518523</v>
      </c>
      <c r="K32" s="69">
        <f t="shared" si="15"/>
        <v>2210.2066666666674</v>
      </c>
      <c r="L32" s="69">
        <f t="shared" si="15"/>
        <v>2369.9979166666672</v>
      </c>
      <c r="M32" s="69">
        <f t="shared" si="15"/>
        <v>2071.4611111111103</v>
      </c>
      <c r="N32" s="69">
        <f t="shared" si="15"/>
        <v>1579.4875000000004</v>
      </c>
      <c r="O32" s="69">
        <f t="shared" si="15"/>
        <v>1859.9148148148151</v>
      </c>
      <c r="P32" s="69">
        <f t="shared" si="15"/>
        <v>1749.9807692307693</v>
      </c>
      <c r="Q32" s="69">
        <f t="shared" si="15"/>
        <v>1997.0115384615381</v>
      </c>
      <c r="R32" s="69">
        <f t="shared" si="15"/>
        <v>1765.2153846153838</v>
      </c>
      <c r="S32" s="69">
        <f t="shared" si="15"/>
        <v>1365.5148148148157</v>
      </c>
      <c r="T32" s="69">
        <f t="shared" si="15"/>
        <v>26467.388461538467</v>
      </c>
      <c r="U32" s="69">
        <f t="shared" si="15"/>
        <v>1566.1076923076851</v>
      </c>
      <c r="V32" s="69">
        <v>0</v>
      </c>
    </row>
    <row r="33" spans="1:24" s="70" customFormat="1" x14ac:dyDescent="0.25"/>
    <row r="34" spans="1:24" s="70" customFormat="1" x14ac:dyDescent="0.25">
      <c r="A34" s="132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5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6"/>
    </row>
    <row r="36" spans="1:24" s="70" customFormat="1" x14ac:dyDescent="0.25">
      <c r="A36" s="140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0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2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101</v>
      </c>
      <c r="J38" s="68" t="s">
        <v>196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6"/>
    </row>
    <row r="39" spans="1:24" s="144" customFormat="1" x14ac:dyDescent="0.25">
      <c r="A39" s="143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16</v>
      </c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4" customFormat="1" x14ac:dyDescent="0.25">
      <c r="A40" s="143" t="s">
        <v>187</v>
      </c>
      <c r="B40" s="69">
        <f>IFERROR(B38/B39,0)</f>
        <v>0</v>
      </c>
      <c r="C40" s="69">
        <f t="shared" ref="C40:H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v>22</v>
      </c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4" customFormat="1" x14ac:dyDescent="0.25">
      <c r="A41" s="146" t="s">
        <v>189</v>
      </c>
      <c r="B41" s="147">
        <f t="shared" ref="B41:F43" si="18">B38</f>
        <v>0</v>
      </c>
      <c r="C41" s="147">
        <f t="shared" si="18"/>
        <v>0</v>
      </c>
      <c r="D41" s="147">
        <f t="shared" si="18"/>
        <v>4</v>
      </c>
      <c r="E41" s="147">
        <f t="shared" si="18"/>
        <v>69</v>
      </c>
      <c r="F41" s="147">
        <f t="shared" si="18"/>
        <v>171</v>
      </c>
      <c r="G41" s="147">
        <f>G38</f>
        <v>118</v>
      </c>
      <c r="H41" s="147">
        <v>57</v>
      </c>
      <c r="I41" s="147">
        <v>132.20000000000005</v>
      </c>
      <c r="J41" s="147">
        <v>262</v>
      </c>
      <c r="K41" s="147">
        <v>196.70000000000005</v>
      </c>
      <c r="L41" s="147">
        <v>187.40000000000009</v>
      </c>
      <c r="M41" s="147">
        <v>214.29999999999995</v>
      </c>
      <c r="N41" s="147">
        <v>157.29999999999995</v>
      </c>
      <c r="O41" s="147">
        <v>226.20000000000005</v>
      </c>
      <c r="P41" s="147">
        <v>261.79999999999995</v>
      </c>
      <c r="Q41" s="147">
        <v>267.80000000000018</v>
      </c>
      <c r="R41" s="147">
        <v>288.69999999999982</v>
      </c>
      <c r="S41" s="147">
        <v>330.59999999999991</v>
      </c>
      <c r="T41" s="147">
        <v>257.80000000000018</v>
      </c>
      <c r="U41" s="147">
        <v>80.900000000000091</v>
      </c>
      <c r="V41" s="147">
        <v>10.099999999999909</v>
      </c>
      <c r="X41" s="148"/>
    </row>
    <row r="42" spans="1:24" s="144" customFormat="1" x14ac:dyDescent="0.25">
      <c r="A42" s="143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4" customFormat="1" x14ac:dyDescent="0.25">
      <c r="A43" s="143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5.288000000000002</v>
      </c>
      <c r="J43" s="69">
        <f t="shared" si="20"/>
        <v>9.7037037037037042</v>
      </c>
      <c r="K43" s="69">
        <f t="shared" si="20"/>
        <v>7.8680000000000021</v>
      </c>
      <c r="L43" s="69">
        <f t="shared" si="20"/>
        <v>11.712500000000006</v>
      </c>
      <c r="M43" s="69">
        <f t="shared" si="20"/>
        <v>8.9291666666666654</v>
      </c>
      <c r="N43" s="69">
        <f t="shared" si="20"/>
        <v>6.5541666666666645</v>
      </c>
      <c r="O43" s="69">
        <f t="shared" si="20"/>
        <v>8.37777777777778</v>
      </c>
      <c r="P43" s="69">
        <f t="shared" si="20"/>
        <v>10.069230769230767</v>
      </c>
      <c r="Q43" s="69">
        <f t="shared" si="20"/>
        <v>10.300000000000008</v>
      </c>
      <c r="R43" s="69">
        <f t="shared" si="20"/>
        <v>11.103846153846147</v>
      </c>
      <c r="S43" s="69">
        <f t="shared" si="20"/>
        <v>12.244444444444442</v>
      </c>
      <c r="T43" s="69">
        <f t="shared" si="20"/>
        <v>9.9153846153846228</v>
      </c>
      <c r="U43" s="69">
        <f t="shared" si="20"/>
        <v>3.1115384615384651</v>
      </c>
      <c r="V43" s="69">
        <v>0</v>
      </c>
    </row>
    <row r="44" spans="1:24" s="70" customFormat="1" x14ac:dyDescent="0.25"/>
    <row r="45" spans="1:24" s="70" customFormat="1" x14ac:dyDescent="0.25">
      <c r="A45" s="132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5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6"/>
    </row>
    <row r="47" spans="1:24" s="70" customFormat="1" x14ac:dyDescent="0.25">
      <c r="A47" s="140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0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2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16920</v>
      </c>
      <c r="J49" s="68" t="s">
        <v>196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6"/>
    </row>
    <row r="50" spans="1:24" s="144" customFormat="1" x14ac:dyDescent="0.25">
      <c r="A50" s="143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17</v>
      </c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4" customFormat="1" x14ac:dyDescent="0.25">
      <c r="A51" s="143" t="s">
        <v>187</v>
      </c>
      <c r="B51" s="69">
        <f>IFERROR(B49/B50,0)</f>
        <v>0</v>
      </c>
      <c r="C51" s="69">
        <f t="shared" ref="C51:I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995.29411764705878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4" customFormat="1" x14ac:dyDescent="0.25">
      <c r="A52" s="146" t="s">
        <v>192</v>
      </c>
      <c r="B52" s="147">
        <f t="shared" ref="B52:F54" si="23">B49</f>
        <v>0</v>
      </c>
      <c r="C52" s="147">
        <f t="shared" si="23"/>
        <v>0</v>
      </c>
      <c r="D52" s="147">
        <f t="shared" si="23"/>
        <v>2640</v>
      </c>
      <c r="E52" s="147">
        <f t="shared" si="23"/>
        <v>5934</v>
      </c>
      <c r="F52" s="147">
        <f t="shared" si="23"/>
        <v>7364</v>
      </c>
      <c r="G52" s="147">
        <f>G49</f>
        <v>15912</v>
      </c>
      <c r="H52" s="147">
        <v>13688</v>
      </c>
      <c r="I52" s="147">
        <v>19854.100000000006</v>
      </c>
      <c r="J52" s="147">
        <v>24090.600000000006</v>
      </c>
      <c r="K52" s="147">
        <v>21931.899999999994</v>
      </c>
      <c r="L52" s="147">
        <v>18763.100000000006</v>
      </c>
      <c r="M52" s="147">
        <v>17120</v>
      </c>
      <c r="N52" s="147">
        <v>13402</v>
      </c>
      <c r="O52" s="147">
        <v>18204.100000000006</v>
      </c>
      <c r="P52" s="147">
        <v>20481.600000000006</v>
      </c>
      <c r="Q52" s="147">
        <v>20755.299999999988</v>
      </c>
      <c r="R52" s="147">
        <v>25178.899999999994</v>
      </c>
      <c r="S52" s="147">
        <v>29723.499999999971</v>
      </c>
      <c r="T52" s="147">
        <v>20181.5</v>
      </c>
      <c r="U52" s="147">
        <v>10132.599999999977</v>
      </c>
      <c r="V52" s="147"/>
      <c r="X52" s="148"/>
    </row>
    <row r="53" spans="1:24" s="144" customFormat="1" x14ac:dyDescent="0.25">
      <c r="A53" s="143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4" customFormat="1" x14ac:dyDescent="0.25">
      <c r="A54" s="143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794.16400000000021</v>
      </c>
      <c r="J54" s="69">
        <f t="shared" si="25"/>
        <v>892.24444444444464</v>
      </c>
      <c r="K54" s="69">
        <f t="shared" si="25"/>
        <v>877.27599999999973</v>
      </c>
      <c r="L54" s="69">
        <f t="shared" si="25"/>
        <v>1172.6937500000004</v>
      </c>
      <c r="M54" s="69">
        <f t="shared" si="25"/>
        <v>713.33333333333337</v>
      </c>
      <c r="N54" s="69">
        <f t="shared" si="25"/>
        <v>558.41666666666663</v>
      </c>
      <c r="O54" s="69">
        <f t="shared" si="25"/>
        <v>674.22592592592616</v>
      </c>
      <c r="P54" s="69">
        <f t="shared" si="25"/>
        <v>787.75384615384633</v>
      </c>
      <c r="Q54" s="69">
        <f t="shared" si="25"/>
        <v>798.28076923076878</v>
      </c>
      <c r="R54" s="69">
        <f t="shared" si="25"/>
        <v>968.41923076923058</v>
      </c>
      <c r="S54" s="69">
        <f t="shared" si="25"/>
        <v>1100.8703703703693</v>
      </c>
      <c r="T54" s="69">
        <f t="shared" si="25"/>
        <v>776.21153846153845</v>
      </c>
      <c r="U54" s="69">
        <f t="shared" si="25"/>
        <v>389.7153846153837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2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5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6"/>
    </row>
    <row r="58" spans="1:24" s="70" customFormat="1" x14ac:dyDescent="0.25">
      <c r="A58" s="140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0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2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28922</v>
      </c>
      <c r="J60" s="68" t="s">
        <v>196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6"/>
    </row>
    <row r="61" spans="1:24" s="144" customFormat="1" x14ac:dyDescent="0.25">
      <c r="A61" s="143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15</v>
      </c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4" customFormat="1" x14ac:dyDescent="0.25">
      <c r="A62" s="143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1928.1333333333334</v>
      </c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4" customFormat="1" x14ac:dyDescent="0.25">
      <c r="A63" s="146" t="s">
        <v>189</v>
      </c>
      <c r="B63" s="147">
        <f t="shared" ref="B63:F65" si="28">B60</f>
        <v>0</v>
      </c>
      <c r="C63" s="147">
        <f t="shared" si="28"/>
        <v>0</v>
      </c>
      <c r="D63" s="147">
        <f t="shared" si="28"/>
        <v>0</v>
      </c>
      <c r="E63" s="147">
        <f t="shared" si="28"/>
        <v>0</v>
      </c>
      <c r="F63" s="147">
        <f t="shared" si="28"/>
        <v>0</v>
      </c>
      <c r="G63" s="147">
        <v>0</v>
      </c>
      <c r="H63" s="147">
        <v>20245</v>
      </c>
      <c r="I63" s="147">
        <v>35224.199999999997</v>
      </c>
      <c r="J63" s="147">
        <v>46993.830769230772</v>
      </c>
      <c r="K63" s="147">
        <v>41887.830769230757</v>
      </c>
      <c r="L63" s="147">
        <v>40917.930769230763</v>
      </c>
      <c r="M63" s="147">
        <v>45112.430769230763</v>
      </c>
      <c r="N63" s="147">
        <v>35209.430769230763</v>
      </c>
      <c r="O63" s="147">
        <v>44397.03076923074</v>
      </c>
      <c r="P63" s="147">
        <v>47746.730769230751</v>
      </c>
      <c r="Q63" s="147">
        <v>50767.930769230763</v>
      </c>
      <c r="R63" s="147">
        <v>51729.130769230775</v>
      </c>
      <c r="S63" s="147">
        <v>52981.03076923074</v>
      </c>
      <c r="T63" s="147">
        <v>33930.730769230751</v>
      </c>
      <c r="U63" s="147">
        <v>50032.330769230728</v>
      </c>
      <c r="V63" s="147">
        <v>31989.430769230938</v>
      </c>
      <c r="X63" s="148"/>
    </row>
    <row r="64" spans="1:24" s="144" customFormat="1" x14ac:dyDescent="0.25">
      <c r="A64" s="143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4" customFormat="1" x14ac:dyDescent="0.25">
      <c r="A65" s="143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1408.9679999999998</v>
      </c>
      <c r="J65" s="69">
        <f t="shared" si="29"/>
        <v>1740.5122507122508</v>
      </c>
      <c r="K65" s="69">
        <f t="shared" si="29"/>
        <v>1675.5132307692302</v>
      </c>
      <c r="L65" s="69">
        <f t="shared" si="29"/>
        <v>2557.3706730769227</v>
      </c>
      <c r="M65" s="69">
        <f t="shared" si="29"/>
        <v>1879.6846153846152</v>
      </c>
      <c r="N65" s="69">
        <f t="shared" si="29"/>
        <v>1467.0596153846152</v>
      </c>
      <c r="O65" s="69">
        <f t="shared" si="29"/>
        <v>1644.3344729344719</v>
      </c>
      <c r="P65" s="69">
        <f t="shared" si="29"/>
        <v>1836.4127218934905</v>
      </c>
      <c r="Q65" s="69">
        <f t="shared" si="29"/>
        <v>1952.612721893491</v>
      </c>
      <c r="R65" s="69">
        <f t="shared" si="29"/>
        <v>1989.5819526627222</v>
      </c>
      <c r="S65" s="69">
        <f t="shared" si="29"/>
        <v>1962.2603988603978</v>
      </c>
      <c r="T65" s="69">
        <f t="shared" si="29"/>
        <v>1305.028106508875</v>
      </c>
      <c r="U65" s="69">
        <f t="shared" si="29"/>
        <v>1924.3204142011818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workbookViewId="0">
      <pane xSplit="2" ySplit="3" topLeftCell="I268" activePane="bottomRight" state="frozen"/>
      <selection pane="topRight" activeCell="C1" sqref="C1"/>
      <selection pane="bottomLeft" activeCell="A4" sqref="A4"/>
      <selection pane="bottomRight" activeCell="P270" sqref="P270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4" t="s">
        <v>201</v>
      </c>
      <c r="D1" s="155"/>
      <c r="E1" s="156"/>
      <c r="F1" s="154" t="s">
        <v>202</v>
      </c>
      <c r="G1" s="155"/>
      <c r="H1" s="156"/>
      <c r="I1" s="154" t="s">
        <v>203</v>
      </c>
      <c r="J1" s="155"/>
      <c r="K1" s="156"/>
      <c r="L1" s="154" t="s">
        <v>204</v>
      </c>
      <c r="M1" s="156"/>
      <c r="N1" s="33"/>
      <c r="P1" s="29"/>
    </row>
    <row r="2" spans="1:28" x14ac:dyDescent="0.25">
      <c r="A2" s="45"/>
      <c r="B2" s="46"/>
      <c r="C2" s="34">
        <f>SUM(C4:C733)</f>
        <v>134099.62000000002</v>
      </c>
      <c r="D2" s="35">
        <f t="shared" ref="D2:M2" si="0">SUM(D4:D733)</f>
        <v>135150.58000000005</v>
      </c>
      <c r="E2" s="36">
        <f t="shared" si="0"/>
        <v>18755.875384615385</v>
      </c>
      <c r="F2" s="34">
        <f t="shared" si="0"/>
        <v>199210.08699999994</v>
      </c>
      <c r="G2" s="35">
        <f t="shared" si="0"/>
        <v>200023.69999999995</v>
      </c>
      <c r="H2" s="36">
        <f t="shared" si="0"/>
        <v>30149.095384615372</v>
      </c>
      <c r="I2" s="34">
        <f t="shared" si="0"/>
        <v>7914.5999999999995</v>
      </c>
      <c r="J2" s="35">
        <f t="shared" si="0"/>
        <v>8744.0259809999989</v>
      </c>
      <c r="K2" s="36">
        <f t="shared" si="0"/>
        <v>587000.00000000058</v>
      </c>
      <c r="L2" s="34">
        <f t="shared" si="0"/>
        <v>327338.98249999981</v>
      </c>
      <c r="M2" s="36">
        <f t="shared" si="0"/>
        <v>683919.90903846011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7">
        <v>0</v>
      </c>
      <c r="M4" s="41"/>
      <c r="O4" s="29"/>
      <c r="Q4" s="158">
        <v>46023</v>
      </c>
      <c r="R4" s="158">
        <v>46054</v>
      </c>
      <c r="S4" s="158">
        <v>46082</v>
      </c>
      <c r="T4" s="158">
        <v>46113</v>
      </c>
      <c r="U4" s="158">
        <v>46143</v>
      </c>
      <c r="V4" s="158">
        <v>46174</v>
      </c>
      <c r="W4" s="158">
        <v>46204</v>
      </c>
      <c r="X4" s="158">
        <v>46235</v>
      </c>
      <c r="Y4" s="158">
        <v>46266</v>
      </c>
      <c r="Z4" s="158">
        <v>46296</v>
      </c>
      <c r="AA4" s="158">
        <v>46327</v>
      </c>
      <c r="AB4" s="158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7">
        <v>0</v>
      </c>
      <c r="M5" s="41"/>
      <c r="O5" s="29"/>
      <c r="P5" s="159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63827.385980999999</v>
      </c>
      <c r="Z5" s="5">
        <f t="shared" si="2"/>
        <v>0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7">
        <v>0</v>
      </c>
      <c r="M6" s="41"/>
      <c r="O6" s="29"/>
      <c r="P6" s="159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10332.366153846153</v>
      </c>
      <c r="Z6" s="5">
        <f t="shared" si="4"/>
        <v>75572.604615384596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7">
        <v>0</v>
      </c>
      <c r="M7" s="41"/>
      <c r="O7" s="29"/>
      <c r="P7" s="159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7">
        <v>0</v>
      </c>
      <c r="M8" s="41"/>
      <c r="O8" s="29"/>
      <c r="P8" s="159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51989.5</v>
      </c>
      <c r="Z8" s="5">
        <f t="shared" si="5"/>
        <v>0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7">
        <v>0</v>
      </c>
      <c r="M9" s="41"/>
      <c r="O9" s="29"/>
      <c r="P9" s="159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13583.791038461537</v>
      </c>
      <c r="Z9" s="5">
        <f t="shared" si="6"/>
        <v>69448.15300000002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7">
        <v>0</v>
      </c>
      <c r="M10" s="41"/>
      <c r="O10" s="29"/>
      <c r="P10" s="159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7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354250.6721348461</v>
      </c>
      <c r="Z11" s="5">
        <f t="shared" si="7"/>
        <v>429823.2767502307</v>
      </c>
      <c r="AA11" s="5">
        <f t="shared" si="7"/>
        <v>479823.2767502307</v>
      </c>
      <c r="AB11" s="5">
        <f t="shared" si="7"/>
        <v>529823.2767502307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7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340922.7735384616</v>
      </c>
      <c r="Z12" s="5">
        <f t="shared" si="8"/>
        <v>410370.92653846159</v>
      </c>
      <c r="AA12" s="5">
        <f t="shared" si="8"/>
        <v>477676.81153846154</v>
      </c>
      <c r="AB12" s="5">
        <f t="shared" si="8"/>
        <v>513923.1465384615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7">
        <v>0</v>
      </c>
      <c r="M13" s="41"/>
      <c r="O13" s="29"/>
      <c r="P13" s="160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13327.898596384504</v>
      </c>
      <c r="Z13" s="5">
        <f t="shared" si="9"/>
        <v>19452.35021176911</v>
      </c>
      <c r="AA13" s="5">
        <f t="shared" si="9"/>
        <v>2146.4652117691585</v>
      </c>
      <c r="AB13" s="5">
        <f t="shared" si="9"/>
        <v>15900.130211769196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7">
        <v>0</v>
      </c>
      <c r="M14" s="41"/>
      <c r="O14" s="29"/>
      <c r="P14" s="160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7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7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7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7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7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7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7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7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7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7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7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7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7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7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7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7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7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7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7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7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7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7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7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7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7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7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7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7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7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7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7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7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7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7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7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7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7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7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7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7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7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7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7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7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7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7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7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7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7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7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7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7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7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7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7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7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7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7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7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7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7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7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7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7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7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7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7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7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7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7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7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7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7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7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7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7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7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7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7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7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7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7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7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7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7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7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7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7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7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7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7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7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7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7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7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7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7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7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7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7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7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7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7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7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7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7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7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7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7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7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7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7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7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7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7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7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7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7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7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7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7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7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7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7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7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7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7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7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7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7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7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7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7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7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7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7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7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7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7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7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7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7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7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7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7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7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7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7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7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7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7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7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7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7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7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7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7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7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7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7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7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7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7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7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7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7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7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7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7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7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7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7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1"/>
      <c r="F187" s="39">
        <v>1335</v>
      </c>
      <c r="G187" s="40">
        <v>1511.8199999999995</v>
      </c>
      <c r="H187" s="161"/>
      <c r="I187" s="39">
        <v>0</v>
      </c>
      <c r="J187" s="40">
        <v>0</v>
      </c>
      <c r="K187" s="41"/>
      <c r="L187" s="157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1"/>
      <c r="F188" s="39">
        <v>688.5</v>
      </c>
      <c r="G188" s="40">
        <v>1341.2400000000002</v>
      </c>
      <c r="H188" s="161"/>
      <c r="I188" s="39">
        <v>0</v>
      </c>
      <c r="J188" s="40">
        <v>0</v>
      </c>
      <c r="K188" s="41"/>
      <c r="L188" s="157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1"/>
      <c r="F189" s="39">
        <v>0</v>
      </c>
      <c r="G189" s="40">
        <v>0</v>
      </c>
      <c r="H189" s="161"/>
      <c r="I189" s="39">
        <v>0</v>
      </c>
      <c r="J189" s="40">
        <v>0</v>
      </c>
      <c r="K189" s="41"/>
      <c r="L189" s="157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1"/>
      <c r="F190" s="39">
        <v>2070</v>
      </c>
      <c r="G190" s="40">
        <v>1663.6599999999999</v>
      </c>
      <c r="H190" s="161"/>
      <c r="I190" s="39">
        <v>0</v>
      </c>
      <c r="J190" s="40">
        <v>0</v>
      </c>
      <c r="K190" s="41"/>
      <c r="L190" s="157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1"/>
      <c r="F191" s="39">
        <v>1870</v>
      </c>
      <c r="G191" s="40">
        <v>1485.5999999999997</v>
      </c>
      <c r="H191" s="161"/>
      <c r="I191" s="39">
        <v>0</v>
      </c>
      <c r="J191" s="40">
        <v>0</v>
      </c>
      <c r="K191" s="41"/>
      <c r="L191" s="157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1"/>
      <c r="F192" s="39">
        <v>2319.2469999999998</v>
      </c>
      <c r="G192" s="40">
        <v>2119.02</v>
      </c>
      <c r="H192" s="161"/>
      <c r="I192" s="39">
        <v>0</v>
      </c>
      <c r="J192" s="40">
        <v>0</v>
      </c>
      <c r="K192" s="41"/>
      <c r="L192" s="157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1"/>
      <c r="F193" s="39">
        <v>1987.12</v>
      </c>
      <c r="G193" s="40">
        <v>2080.16</v>
      </c>
      <c r="H193" s="161"/>
      <c r="I193" s="39">
        <v>0</v>
      </c>
      <c r="J193" s="40">
        <v>0</v>
      </c>
      <c r="K193" s="41"/>
      <c r="L193" s="157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1"/>
      <c r="F194" s="39">
        <v>1902.18</v>
      </c>
      <c r="G194" s="40">
        <v>1774.6399999999996</v>
      </c>
      <c r="H194" s="161"/>
      <c r="I194" s="39">
        <v>0</v>
      </c>
      <c r="J194" s="40">
        <v>0</v>
      </c>
      <c r="K194" s="41"/>
      <c r="L194" s="157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1"/>
      <c r="F195" s="39">
        <v>271.39999999999998</v>
      </c>
      <c r="G195" s="40">
        <v>997.39999999999986</v>
      </c>
      <c r="H195" s="161"/>
      <c r="I195" s="39">
        <v>0</v>
      </c>
      <c r="J195" s="40">
        <v>0</v>
      </c>
      <c r="K195" s="41"/>
      <c r="L195" s="157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1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7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1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7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7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7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7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7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7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7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7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7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7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7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7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7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7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7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7">
        <v>3542.35</v>
      </c>
      <c r="M212" s="41"/>
      <c r="O212" s="29"/>
      <c r="P212" s="159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7">
        <v>4963.3500000000004</v>
      </c>
      <c r="M213" s="41"/>
      <c r="O213" s="29"/>
      <c r="P213" s="159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7">
        <v>3268.2999999999997</v>
      </c>
      <c r="M214" s="41"/>
      <c r="O214" s="29"/>
      <c r="P214" s="159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7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7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7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7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7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7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7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7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7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7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7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7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7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7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7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7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7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7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7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7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7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7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7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7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7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7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7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7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7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7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7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7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7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7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7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7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7">
        <v>2101.6799999999998</v>
      </c>
      <c r="M251" s="41"/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7"/>
      <c r="M252" s="41"/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7">
        <v>0</v>
      </c>
      <c r="M253" s="41"/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/>
      <c r="J254" s="40"/>
      <c r="K254" s="5">
        <v>0</v>
      </c>
      <c r="L254" s="157">
        <v>5359.8399999999992</v>
      </c>
      <c r="M254" s="41"/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/>
      <c r="J255" s="40"/>
      <c r="K255" s="5">
        <v>0</v>
      </c>
      <c r="L255" s="157">
        <v>467.03999999999996</v>
      </c>
      <c r="M255" s="41"/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/>
      <c r="J256" s="40"/>
      <c r="K256" s="5">
        <v>0</v>
      </c>
      <c r="L256" s="157">
        <v>2014.11</v>
      </c>
      <c r="M256" s="41"/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2297.2999999999997</v>
      </c>
      <c r="H257" s="42"/>
      <c r="I257" s="39"/>
      <c r="J257" s="40"/>
      <c r="K257" s="5">
        <v>0</v>
      </c>
      <c r="L257" s="157">
        <v>895.16</v>
      </c>
      <c r="M257" s="41"/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/>
      <c r="J258" s="40"/>
      <c r="K258" s="5">
        <v>0</v>
      </c>
      <c r="L258" s="157">
        <v>895.16</v>
      </c>
      <c r="M258" s="41"/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/>
      <c r="J259" s="40"/>
      <c r="K259" s="5">
        <v>0</v>
      </c>
      <c r="L259" s="157"/>
      <c r="M259" s="41"/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>
        <v>1488.4</v>
      </c>
      <c r="D260" s="40">
        <v>1345.3200000000004</v>
      </c>
      <c r="E260" s="42"/>
      <c r="F260" s="39">
        <v>2174.9</v>
      </c>
      <c r="G260" s="40">
        <v>1986.8200000000004</v>
      </c>
      <c r="H260" s="42"/>
      <c r="I260" s="39">
        <v>1118</v>
      </c>
      <c r="J260" s="40">
        <v>0</v>
      </c>
      <c r="K260" s="5">
        <v>0</v>
      </c>
      <c r="L260" s="157">
        <v>5176.3599999999997</v>
      </c>
      <c r="M260" s="41"/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>
        <v>896.61</v>
      </c>
      <c r="D261" s="40">
        <v>1171.5799999999997</v>
      </c>
      <c r="E261" s="42"/>
      <c r="F261" s="39">
        <v>1620.7</v>
      </c>
      <c r="G261" s="40">
        <v>2013.1200000000003</v>
      </c>
      <c r="H261" s="42"/>
      <c r="I261" s="39">
        <v>445</v>
      </c>
      <c r="J261" s="40">
        <v>401.78</v>
      </c>
      <c r="K261" s="5">
        <v>0</v>
      </c>
      <c r="L261" s="157">
        <v>758.93999999999994</v>
      </c>
      <c r="M261" s="41"/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>
        <v>637.30999999999995</v>
      </c>
      <c r="D262" s="40">
        <v>288.83999999999997</v>
      </c>
      <c r="E262" s="42"/>
      <c r="F262" s="39">
        <v>2073.8200000000002</v>
      </c>
      <c r="G262" s="40">
        <v>2534.7800000000007</v>
      </c>
      <c r="H262" s="42"/>
      <c r="I262" s="39">
        <v>722</v>
      </c>
      <c r="J262" s="40">
        <v>669.67598100000009</v>
      </c>
      <c r="K262" s="5">
        <v>0</v>
      </c>
      <c r="L262" s="157">
        <v>5409.8799999999992</v>
      </c>
      <c r="M262" s="41"/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>
        <v>1224.8900000000001</v>
      </c>
      <c r="D263" s="40">
        <v>786.49999999999989</v>
      </c>
      <c r="E263" s="42"/>
      <c r="F263" s="39">
        <v>1905.64</v>
      </c>
      <c r="G263" s="40">
        <v>2315.7399999999998</v>
      </c>
      <c r="H263" s="42"/>
      <c r="I263" s="39">
        <v>925</v>
      </c>
      <c r="J263" s="40">
        <v>987.55999999999983</v>
      </c>
      <c r="K263" s="5">
        <v>0</v>
      </c>
      <c r="L263" s="157">
        <v>914.61999999999989</v>
      </c>
      <c r="M263" s="41"/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>
        <v>1223.3399999999999</v>
      </c>
      <c r="D264" s="40">
        <v>1092.96</v>
      </c>
      <c r="E264" s="42"/>
      <c r="F264" s="39">
        <v>2147.21</v>
      </c>
      <c r="G264" s="40">
        <v>1505.4199999999998</v>
      </c>
      <c r="H264" s="42"/>
      <c r="I264" s="39">
        <v>245</v>
      </c>
      <c r="J264" s="40">
        <v>771.46999999999991</v>
      </c>
      <c r="K264" s="5">
        <v>0</v>
      </c>
      <c r="L264" s="157">
        <v>3619.56</v>
      </c>
      <c r="M264" s="41"/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>
        <v>326.87</v>
      </c>
      <c r="D265" s="40">
        <v>1257.7800000000002</v>
      </c>
      <c r="E265" s="42"/>
      <c r="F265" s="39">
        <v>1184.44</v>
      </c>
      <c r="G265" s="40">
        <v>1739.9200000000003</v>
      </c>
      <c r="H265" s="42"/>
      <c r="I265" s="39">
        <v>0</v>
      </c>
      <c r="J265" s="40">
        <v>386.03999999999996</v>
      </c>
      <c r="K265" s="5">
        <v>0</v>
      </c>
      <c r="L265" s="157">
        <v>3502.7999999999997</v>
      </c>
      <c r="M265" s="41"/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>
        <v>579.52</v>
      </c>
      <c r="D266" s="40">
        <v>0</v>
      </c>
      <c r="E266" s="42"/>
      <c r="F266" s="39">
        <v>371.83</v>
      </c>
      <c r="G266" s="40">
        <v>0</v>
      </c>
      <c r="H266" s="42"/>
      <c r="I266" s="39">
        <v>0</v>
      </c>
      <c r="J266" s="40">
        <v>0</v>
      </c>
      <c r="K266" s="5">
        <v>0</v>
      </c>
      <c r="L266" s="157">
        <v>0</v>
      </c>
      <c r="M266" s="41"/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>
        <v>1302.97</v>
      </c>
      <c r="D267" s="40">
        <v>1182</v>
      </c>
      <c r="E267" s="42"/>
      <c r="F267" s="39">
        <v>1303.3800000000001</v>
      </c>
      <c r="G267" s="40">
        <v>1587.7200000000003</v>
      </c>
      <c r="H267" s="42"/>
      <c r="I267" s="39">
        <v>701</v>
      </c>
      <c r="J267" s="40">
        <v>229.29000000000002</v>
      </c>
      <c r="K267" s="5">
        <v>0</v>
      </c>
      <c r="L267" s="157">
        <v>0</v>
      </c>
      <c r="M267" s="41"/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>
        <v>1342.58</v>
      </c>
      <c r="D268" s="40">
        <v>1513.9599999999998</v>
      </c>
      <c r="E268" s="42"/>
      <c r="F268" s="39">
        <v>1002.13</v>
      </c>
      <c r="G268" s="40">
        <v>1205.3000000000002</v>
      </c>
      <c r="H268" s="42"/>
      <c r="I268" s="39">
        <v>329</v>
      </c>
      <c r="J268" s="40">
        <v>833.75000000000023</v>
      </c>
      <c r="K268" s="5">
        <v>0</v>
      </c>
      <c r="L268" s="157">
        <v>3502.7999999999997</v>
      </c>
      <c r="M268" s="41"/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>
        <v>1259.99</v>
      </c>
      <c r="D269" s="40">
        <v>1340.1999999999996</v>
      </c>
      <c r="E269" s="42"/>
      <c r="F269" s="39">
        <v>1046.97</v>
      </c>
      <c r="G269" s="40">
        <v>933.30000000000007</v>
      </c>
      <c r="H269" s="42"/>
      <c r="I269" s="39">
        <v>974</v>
      </c>
      <c r="J269" s="40">
        <v>910.9699999999998</v>
      </c>
      <c r="K269" s="5">
        <v>0</v>
      </c>
      <c r="L269" s="157">
        <v>0</v>
      </c>
      <c r="M269" s="41"/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>
        <v>1408.16</v>
      </c>
      <c r="D270" s="40">
        <v>1520.3400000000001</v>
      </c>
      <c r="E270" s="42"/>
      <c r="F270" s="39">
        <v>1481.03</v>
      </c>
      <c r="G270" s="40">
        <v>1491.66</v>
      </c>
      <c r="H270" s="42"/>
      <c r="I270" s="39">
        <v>455</v>
      </c>
      <c r="J270" s="40">
        <v>1356.5700000000004</v>
      </c>
      <c r="K270" s="5">
        <v>0</v>
      </c>
      <c r="L270" s="157">
        <v>5059.5999999999995</v>
      </c>
      <c r="M270" s="41"/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>
        <v>1289.48</v>
      </c>
      <c r="D271" s="40">
        <v>855.98000000000025</v>
      </c>
      <c r="E271" s="42"/>
      <c r="F271" s="39">
        <v>651.66999999999996</v>
      </c>
      <c r="G271" s="40">
        <v>924.04</v>
      </c>
      <c r="H271" s="42"/>
      <c r="I271" s="39">
        <v>567.20000000000005</v>
      </c>
      <c r="J271" s="40">
        <v>1490.87</v>
      </c>
      <c r="K271" s="5">
        <v>0</v>
      </c>
      <c r="L271" s="157">
        <v>0</v>
      </c>
      <c r="M271" s="41"/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>
        <v>318.36</v>
      </c>
      <c r="D272" s="40">
        <v>1138.6199999999997</v>
      </c>
      <c r="E272" s="42"/>
      <c r="F272" s="39">
        <v>0</v>
      </c>
      <c r="G272" s="40">
        <v>242.66</v>
      </c>
      <c r="H272" s="42"/>
      <c r="I272" s="39">
        <v>507</v>
      </c>
      <c r="J272" s="40">
        <v>706.05</v>
      </c>
      <c r="K272" s="5">
        <v>0</v>
      </c>
      <c r="L272" s="157">
        <v>0</v>
      </c>
      <c r="M272" s="41"/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/>
      <c r="D273" s="40"/>
      <c r="E273" s="182">
        <v>0</v>
      </c>
      <c r="F273" s="39"/>
      <c r="G273" s="40"/>
      <c r="H273" s="182">
        <v>0</v>
      </c>
      <c r="I273" s="39"/>
      <c r="J273" s="40"/>
      <c r="K273" s="5">
        <v>0</v>
      </c>
      <c r="L273" s="157"/>
      <c r="M273" s="41">
        <v>0</v>
      </c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/>
      <c r="D274" s="40"/>
      <c r="E274" s="182">
        <v>893.13692307692304</v>
      </c>
      <c r="F274" s="39"/>
      <c r="G274" s="40"/>
      <c r="H274" s="182">
        <v>1884.3184615384612</v>
      </c>
      <c r="I274" s="39"/>
      <c r="J274" s="40"/>
      <c r="K274" s="5">
        <v>666.66666666666663</v>
      </c>
      <c r="L274" s="157"/>
      <c r="M274" s="41">
        <v>4527.9303461538457</v>
      </c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/>
      <c r="D275" s="40"/>
      <c r="E275" s="182">
        <v>893.13692307692304</v>
      </c>
      <c r="F275" s="39"/>
      <c r="G275" s="40"/>
      <c r="H275" s="182">
        <v>1884.3184615384612</v>
      </c>
      <c r="I275" s="39"/>
      <c r="J275" s="40"/>
      <c r="K275" s="5">
        <v>666.66666666666663</v>
      </c>
      <c r="L275" s="157"/>
      <c r="M275" s="41">
        <v>4527.9303461538457</v>
      </c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/>
      <c r="D276" s="40"/>
      <c r="E276" s="182">
        <v>893.13692307692304</v>
      </c>
      <c r="F276" s="39"/>
      <c r="G276" s="40"/>
      <c r="H276" s="182">
        <v>1884.3184615384612</v>
      </c>
      <c r="I276" s="39"/>
      <c r="J276" s="40"/>
      <c r="K276" s="5">
        <v>666.66666666666663</v>
      </c>
      <c r="L276" s="157"/>
      <c r="M276" s="41">
        <v>4527.9303461538457</v>
      </c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/>
      <c r="D277" s="40"/>
      <c r="E277" s="182">
        <v>893.13692307692304</v>
      </c>
      <c r="F277" s="39"/>
      <c r="G277" s="40"/>
      <c r="H277" s="182">
        <v>1884.3184615384612</v>
      </c>
      <c r="I277" s="39"/>
      <c r="J277" s="40"/>
      <c r="K277" s="5">
        <v>1296.2962962962963</v>
      </c>
      <c r="L277" s="157"/>
      <c r="M277" s="41">
        <v>2572.1538148148152</v>
      </c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/>
      <c r="D278" s="40"/>
      <c r="E278" s="182">
        <v>893.13692307692304</v>
      </c>
      <c r="F278" s="39"/>
      <c r="G278" s="40"/>
      <c r="H278" s="182">
        <v>1884.3184615384612</v>
      </c>
      <c r="I278" s="39"/>
      <c r="J278" s="40"/>
      <c r="K278" s="5">
        <v>1296.2962962962963</v>
      </c>
      <c r="L278" s="157"/>
      <c r="M278" s="41">
        <v>2572.1538148148152</v>
      </c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/>
      <c r="D279" s="40"/>
      <c r="E279" s="182">
        <v>893.13692307692304</v>
      </c>
      <c r="F279" s="39"/>
      <c r="G279" s="40"/>
      <c r="H279" s="182">
        <v>1884.3184615384612</v>
      </c>
      <c r="I279" s="39"/>
      <c r="J279" s="40"/>
      <c r="K279" s="5">
        <v>1296.2962962962963</v>
      </c>
      <c r="L279" s="157"/>
      <c r="M279" s="41">
        <v>2572.1538148148152</v>
      </c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/>
      <c r="D280" s="40"/>
      <c r="E280" s="182">
        <v>0</v>
      </c>
      <c r="F280" s="39"/>
      <c r="G280" s="40"/>
      <c r="H280" s="182">
        <v>0</v>
      </c>
      <c r="I280" s="39"/>
      <c r="J280" s="40"/>
      <c r="K280" s="5">
        <v>0</v>
      </c>
      <c r="L280" s="157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/>
      <c r="D281" s="40"/>
      <c r="E281" s="182">
        <v>893.13692307692304</v>
      </c>
      <c r="F281" s="39"/>
      <c r="G281" s="40"/>
      <c r="H281" s="182">
        <v>1884.3184615384612</v>
      </c>
      <c r="I281" s="39"/>
      <c r="J281" s="40"/>
      <c r="K281" s="5">
        <v>1296.2962962962963</v>
      </c>
      <c r="L281" s="157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2">
        <v>893.13692307692304</v>
      </c>
      <c r="F282" s="39"/>
      <c r="G282" s="40"/>
      <c r="H282" s="182">
        <v>1884.3184615384612</v>
      </c>
      <c r="I282" s="39"/>
      <c r="J282" s="40"/>
      <c r="K282" s="5">
        <v>1296.2962962962963</v>
      </c>
      <c r="L282" s="157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2">
        <v>893.13692307692304</v>
      </c>
      <c r="F283" s="39"/>
      <c r="G283" s="40"/>
      <c r="H283" s="182">
        <v>1884.3184615384612</v>
      </c>
      <c r="I283" s="39"/>
      <c r="J283" s="40"/>
      <c r="K283" s="5">
        <v>1296.2962962962963</v>
      </c>
      <c r="L283" s="157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2">
        <v>893.13692307692304</v>
      </c>
      <c r="F284" s="39"/>
      <c r="G284" s="40"/>
      <c r="H284" s="182">
        <v>1884.3184615384612</v>
      </c>
      <c r="I284" s="39"/>
      <c r="J284" s="40"/>
      <c r="K284" s="5">
        <v>1296.2962962962963</v>
      </c>
      <c r="L284" s="157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2">
        <v>893.13692307692304</v>
      </c>
      <c r="F285" s="39"/>
      <c r="G285" s="40"/>
      <c r="H285" s="182">
        <v>1884.3184615384612</v>
      </c>
      <c r="I285" s="39"/>
      <c r="J285" s="40"/>
      <c r="K285" s="5">
        <v>1296.2962962962963</v>
      </c>
      <c r="L285" s="157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2">
        <v>893.13692307692304</v>
      </c>
      <c r="F286" s="39"/>
      <c r="G286" s="40"/>
      <c r="H286" s="182">
        <v>1884.3184615384612</v>
      </c>
      <c r="I286" s="39"/>
      <c r="J286" s="40"/>
      <c r="K286" s="5">
        <v>1296.2962962962963</v>
      </c>
      <c r="L286" s="157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2">
        <v>0</v>
      </c>
      <c r="F287" s="39"/>
      <c r="G287" s="40"/>
      <c r="H287" s="182">
        <v>0</v>
      </c>
      <c r="I287" s="39"/>
      <c r="J287" s="40"/>
      <c r="K287" s="5">
        <v>0</v>
      </c>
      <c r="L287" s="157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2">
        <v>893.13692307692304</v>
      </c>
      <c r="F288" s="39"/>
      <c r="G288" s="40"/>
      <c r="H288" s="182">
        <v>1884.3184615384612</v>
      </c>
      <c r="I288" s="39"/>
      <c r="J288" s="40"/>
      <c r="K288" s="5">
        <v>1296.2962962962963</v>
      </c>
      <c r="L288" s="157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2">
        <v>893.13692307692304</v>
      </c>
      <c r="F289" s="39"/>
      <c r="G289" s="40"/>
      <c r="H289" s="182">
        <v>1884.3184615384612</v>
      </c>
      <c r="I289" s="39"/>
      <c r="J289" s="40"/>
      <c r="K289" s="5">
        <v>1296.2962962962963</v>
      </c>
      <c r="L289" s="157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2">
        <v>893.13692307692304</v>
      </c>
      <c r="F290" s="39"/>
      <c r="G290" s="40"/>
      <c r="H290" s="182">
        <v>1884.3184615384612</v>
      </c>
      <c r="I290" s="39"/>
      <c r="J290" s="40"/>
      <c r="K290" s="5">
        <v>1296.2962962962963</v>
      </c>
      <c r="L290" s="157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2">
        <v>893.13692307692304</v>
      </c>
      <c r="F291" s="39"/>
      <c r="G291" s="40"/>
      <c r="H291" s="182">
        <v>1884.3184615384612</v>
      </c>
      <c r="I291" s="39"/>
      <c r="J291" s="40"/>
      <c r="K291" s="5">
        <v>1296.2962962962963</v>
      </c>
      <c r="L291" s="157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2">
        <v>893.13692307692304</v>
      </c>
      <c r="F292" s="39"/>
      <c r="G292" s="40"/>
      <c r="H292" s="182">
        <v>0</v>
      </c>
      <c r="I292" s="39"/>
      <c r="J292" s="40"/>
      <c r="K292" s="5">
        <v>1296.2962962962963</v>
      </c>
      <c r="L292" s="157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2">
        <v>893.13692307692304</v>
      </c>
      <c r="F293" s="39"/>
      <c r="G293" s="40"/>
      <c r="H293" s="182">
        <v>0</v>
      </c>
      <c r="I293" s="39"/>
      <c r="J293" s="40"/>
      <c r="K293" s="5">
        <v>1296.2962962962963</v>
      </c>
      <c r="L293" s="157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2">
        <v>0</v>
      </c>
      <c r="F294" s="39"/>
      <c r="G294" s="40"/>
      <c r="H294" s="182">
        <v>0</v>
      </c>
      <c r="I294" s="39"/>
      <c r="J294" s="40"/>
      <c r="K294" s="5">
        <v>0</v>
      </c>
      <c r="L294" s="157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2">
        <v>893.13692307692304</v>
      </c>
      <c r="F295" s="39"/>
      <c r="G295" s="40"/>
      <c r="H295" s="182">
        <v>0</v>
      </c>
      <c r="I295" s="39"/>
      <c r="J295" s="40"/>
      <c r="K295" s="5">
        <v>1296.2962962962963</v>
      </c>
      <c r="L295" s="157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2">
        <v>893.13692307692304</v>
      </c>
      <c r="F296" s="39"/>
      <c r="G296" s="40"/>
      <c r="H296" s="182">
        <v>0</v>
      </c>
      <c r="I296" s="39"/>
      <c r="J296" s="40"/>
      <c r="K296" s="5">
        <v>1296.2962962962963</v>
      </c>
      <c r="L296" s="157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2">
        <v>893.13692307692304</v>
      </c>
      <c r="F297" s="39"/>
      <c r="G297" s="40"/>
      <c r="H297" s="182">
        <v>0</v>
      </c>
      <c r="I297" s="39"/>
      <c r="J297" s="40"/>
      <c r="K297" s="5">
        <v>1296.2962962962963</v>
      </c>
      <c r="L297" s="157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2">
        <v>0</v>
      </c>
      <c r="F298" s="39"/>
      <c r="G298" s="40"/>
      <c r="H298" s="182">
        <v>0</v>
      </c>
      <c r="I298" s="39"/>
      <c r="J298" s="40"/>
      <c r="K298" s="5">
        <v>1296.2962962962963</v>
      </c>
      <c r="L298" s="157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2">
        <v>0</v>
      </c>
      <c r="F299" s="39"/>
      <c r="G299" s="40"/>
      <c r="H299" s="182">
        <v>0</v>
      </c>
      <c r="I299" s="39"/>
      <c r="J299" s="40"/>
      <c r="K299" s="5">
        <v>1296.2962962962963</v>
      </c>
      <c r="L299" s="157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2">
        <v>0</v>
      </c>
      <c r="F300" s="39"/>
      <c r="G300" s="40"/>
      <c r="H300" s="182">
        <v>0</v>
      </c>
      <c r="I300" s="39"/>
      <c r="J300" s="40"/>
      <c r="K300" s="5">
        <v>1296.2962962962963</v>
      </c>
      <c r="L300" s="157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2">
        <v>0</v>
      </c>
      <c r="F301" s="39"/>
      <c r="G301" s="40"/>
      <c r="H301" s="182">
        <v>0</v>
      </c>
      <c r="I301" s="39"/>
      <c r="J301" s="40"/>
      <c r="K301" s="5">
        <v>0</v>
      </c>
      <c r="L301" s="157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2">
        <v>0</v>
      </c>
      <c r="F302" s="39"/>
      <c r="G302" s="40"/>
      <c r="H302" s="182">
        <v>0</v>
      </c>
      <c r="I302" s="39"/>
      <c r="J302" s="40"/>
      <c r="K302" s="5">
        <v>1296.2962962962963</v>
      </c>
      <c r="L302" s="157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2">
        <v>0</v>
      </c>
      <c r="F303" s="39"/>
      <c r="G303" s="40"/>
      <c r="H303" s="182">
        <v>0</v>
      </c>
      <c r="I303" s="39"/>
      <c r="J303" s="40"/>
      <c r="K303" s="5">
        <v>1296.2962962962963</v>
      </c>
      <c r="L303" s="157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2">
        <v>0</v>
      </c>
      <c r="F304" s="39"/>
      <c r="G304" s="40"/>
      <c r="H304" s="182">
        <v>0</v>
      </c>
      <c r="I304" s="39"/>
      <c r="J304" s="40"/>
      <c r="K304" s="5">
        <v>1296.2962962962963</v>
      </c>
      <c r="L304" s="157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2">
        <v>0</v>
      </c>
      <c r="F305" s="39"/>
      <c r="G305" s="40"/>
      <c r="H305" s="182">
        <v>0</v>
      </c>
      <c r="I305" s="39"/>
      <c r="J305" s="40"/>
      <c r="K305" s="5">
        <v>1296.2962962962963</v>
      </c>
      <c r="L305" s="157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2">
        <v>0</v>
      </c>
      <c r="F306" s="39"/>
      <c r="G306" s="40"/>
      <c r="H306" s="182">
        <v>0</v>
      </c>
      <c r="I306" s="39"/>
      <c r="J306" s="40"/>
      <c r="K306" s="5">
        <v>1296.2962962962963</v>
      </c>
      <c r="L306" s="157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2">
        <v>0</v>
      </c>
      <c r="F307" s="39"/>
      <c r="G307" s="40"/>
      <c r="H307" s="182">
        <v>0</v>
      </c>
      <c r="I307" s="39"/>
      <c r="J307" s="40"/>
      <c r="K307" s="5">
        <v>1296.2962962962963</v>
      </c>
      <c r="L307" s="157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2">
        <v>0</v>
      </c>
      <c r="F308" s="39"/>
      <c r="G308" s="40"/>
      <c r="H308" s="182">
        <v>0</v>
      </c>
      <c r="I308" s="39"/>
      <c r="J308" s="40"/>
      <c r="K308" s="5">
        <v>0</v>
      </c>
      <c r="L308" s="157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2">
        <v>0</v>
      </c>
      <c r="F309" s="39"/>
      <c r="G309" s="40"/>
      <c r="H309" s="182">
        <v>0</v>
      </c>
      <c r="I309" s="39"/>
      <c r="J309" s="40"/>
      <c r="K309" s="5">
        <v>2000</v>
      </c>
      <c r="L309" s="157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2">
        <v>0</v>
      </c>
      <c r="F310" s="39"/>
      <c r="G310" s="40"/>
      <c r="H310" s="182">
        <v>0</v>
      </c>
      <c r="I310" s="39"/>
      <c r="J310" s="40"/>
      <c r="K310" s="5">
        <v>2000</v>
      </c>
      <c r="L310" s="157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2">
        <v>0</v>
      </c>
      <c r="F311" s="39"/>
      <c r="G311" s="40"/>
      <c r="H311" s="182">
        <v>0</v>
      </c>
      <c r="I311" s="39"/>
      <c r="J311" s="40"/>
      <c r="K311" s="5">
        <v>2000</v>
      </c>
      <c r="L311" s="157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2">
        <v>0</v>
      </c>
      <c r="F312" s="39"/>
      <c r="G312" s="40"/>
      <c r="H312" s="182">
        <v>0</v>
      </c>
      <c r="I312" s="39"/>
      <c r="J312" s="40"/>
      <c r="K312" s="5">
        <v>2000</v>
      </c>
      <c r="L312" s="157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2">
        <v>0</v>
      </c>
      <c r="F313" s="39"/>
      <c r="G313" s="40"/>
      <c r="H313" s="182">
        <v>0</v>
      </c>
      <c r="I313" s="39"/>
      <c r="J313" s="40"/>
      <c r="K313" s="5">
        <v>2000</v>
      </c>
      <c r="L313" s="157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2">
        <v>0</v>
      </c>
      <c r="F314" s="39"/>
      <c r="G314" s="40"/>
      <c r="H314" s="182">
        <v>0</v>
      </c>
      <c r="I314" s="39"/>
      <c r="J314" s="40"/>
      <c r="K314" s="5">
        <v>2000</v>
      </c>
      <c r="L314" s="157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2">
        <v>0</v>
      </c>
      <c r="F315" s="39"/>
      <c r="G315" s="40"/>
      <c r="H315" s="182">
        <v>0</v>
      </c>
      <c r="I315" s="39"/>
      <c r="J315" s="40"/>
      <c r="K315" s="5">
        <v>0</v>
      </c>
      <c r="L315" s="157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2">
        <v>0</v>
      </c>
      <c r="F316" s="39"/>
      <c r="G316" s="40"/>
      <c r="H316" s="182">
        <v>0</v>
      </c>
      <c r="I316" s="39"/>
      <c r="J316" s="40"/>
      <c r="K316" s="5">
        <v>2000</v>
      </c>
      <c r="L316" s="157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2">
        <v>0</v>
      </c>
      <c r="F317" s="39"/>
      <c r="G317" s="40"/>
      <c r="H317" s="182">
        <v>0</v>
      </c>
      <c r="I317" s="39"/>
      <c r="J317" s="40"/>
      <c r="K317" s="5">
        <v>2000</v>
      </c>
      <c r="L317" s="157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2">
        <v>0</v>
      </c>
      <c r="F318" s="39"/>
      <c r="G318" s="40"/>
      <c r="H318" s="182">
        <v>0</v>
      </c>
      <c r="I318" s="39"/>
      <c r="J318" s="40"/>
      <c r="K318" s="5">
        <v>2000</v>
      </c>
      <c r="L318" s="157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2">
        <v>0</v>
      </c>
      <c r="F319" s="39"/>
      <c r="G319" s="40"/>
      <c r="H319" s="182">
        <v>0</v>
      </c>
      <c r="I319" s="39"/>
      <c r="J319" s="40"/>
      <c r="K319" s="5">
        <v>2000</v>
      </c>
      <c r="L319" s="157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2">
        <v>0</v>
      </c>
      <c r="F320" s="39"/>
      <c r="G320" s="40"/>
      <c r="H320" s="182">
        <v>0</v>
      </c>
      <c r="I320" s="39"/>
      <c r="J320" s="40"/>
      <c r="K320" s="5">
        <v>2000</v>
      </c>
      <c r="L320" s="157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2">
        <v>0</v>
      </c>
      <c r="F321" s="39"/>
      <c r="G321" s="40"/>
      <c r="H321" s="182">
        <v>0</v>
      </c>
      <c r="I321" s="39"/>
      <c r="J321" s="40"/>
      <c r="K321" s="5">
        <v>2000</v>
      </c>
      <c r="L321" s="157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2">
        <v>0</v>
      </c>
      <c r="F322" s="39"/>
      <c r="G322" s="40"/>
      <c r="H322" s="182">
        <v>0</v>
      </c>
      <c r="I322" s="39"/>
      <c r="J322" s="40"/>
      <c r="K322" s="5">
        <v>0</v>
      </c>
      <c r="L322" s="157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2">
        <v>0</v>
      </c>
      <c r="F323" s="39"/>
      <c r="G323" s="40"/>
      <c r="H323" s="182">
        <v>0</v>
      </c>
      <c r="I323" s="39"/>
      <c r="J323" s="40"/>
      <c r="K323" s="5">
        <v>2000</v>
      </c>
      <c r="L323" s="157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2">
        <v>0</v>
      </c>
      <c r="F324" s="39"/>
      <c r="G324" s="40"/>
      <c r="H324" s="182">
        <v>0</v>
      </c>
      <c r="I324" s="39"/>
      <c r="J324" s="40"/>
      <c r="K324" s="5">
        <v>2000</v>
      </c>
      <c r="L324" s="157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2">
        <v>0</v>
      </c>
      <c r="F325" s="39"/>
      <c r="G325" s="40"/>
      <c r="H325" s="182">
        <v>0</v>
      </c>
      <c r="I325" s="39"/>
      <c r="J325" s="40"/>
      <c r="K325" s="5">
        <v>2000</v>
      </c>
      <c r="L325" s="157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2">
        <v>0</v>
      </c>
      <c r="F326" s="39"/>
      <c r="G326" s="40"/>
      <c r="H326" s="182">
        <v>0</v>
      </c>
      <c r="I326" s="39"/>
      <c r="J326" s="40"/>
      <c r="K326" s="5">
        <v>2000</v>
      </c>
      <c r="L326" s="157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2">
        <v>0</v>
      </c>
      <c r="F327" s="39"/>
      <c r="G327" s="40"/>
      <c r="H327" s="182">
        <v>0</v>
      </c>
      <c r="I327" s="39"/>
      <c r="J327" s="40"/>
      <c r="K327" s="5">
        <v>2000</v>
      </c>
      <c r="L327" s="157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2">
        <v>0</v>
      </c>
      <c r="F328" s="39"/>
      <c r="G328" s="40"/>
      <c r="H328" s="182">
        <v>0</v>
      </c>
      <c r="I328" s="39"/>
      <c r="J328" s="40"/>
      <c r="K328" s="5">
        <v>2000</v>
      </c>
      <c r="L328" s="157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2">
        <v>0</v>
      </c>
      <c r="F329" s="39"/>
      <c r="G329" s="40"/>
      <c r="H329" s="182">
        <v>0</v>
      </c>
      <c r="I329" s="39"/>
      <c r="J329" s="40"/>
      <c r="K329" s="5">
        <v>0</v>
      </c>
      <c r="L329" s="157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2">
        <v>0</v>
      </c>
      <c r="F330" s="39"/>
      <c r="G330" s="40"/>
      <c r="H330" s="182">
        <v>0</v>
      </c>
      <c r="I330" s="39"/>
      <c r="J330" s="40"/>
      <c r="K330" s="5">
        <v>2000</v>
      </c>
      <c r="L330" s="157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2">
        <v>0</v>
      </c>
      <c r="F331" s="39"/>
      <c r="G331" s="40"/>
      <c r="H331" s="182">
        <v>0</v>
      </c>
      <c r="I331" s="39"/>
      <c r="J331" s="40"/>
      <c r="K331" s="5">
        <v>2000</v>
      </c>
      <c r="L331" s="157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2">
        <v>0</v>
      </c>
      <c r="F332" s="39"/>
      <c r="G332" s="40"/>
      <c r="H332" s="182">
        <v>0</v>
      </c>
      <c r="I332" s="39"/>
      <c r="J332" s="40"/>
      <c r="K332" s="5">
        <v>2000</v>
      </c>
      <c r="L332" s="157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2">
        <v>0</v>
      </c>
      <c r="F333" s="39"/>
      <c r="G333" s="40"/>
      <c r="H333" s="182">
        <v>0</v>
      </c>
      <c r="I333" s="39"/>
      <c r="J333" s="40"/>
      <c r="K333" s="5">
        <v>2000</v>
      </c>
      <c r="L333" s="157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2">
        <v>0</v>
      </c>
      <c r="F334" s="39"/>
      <c r="G334" s="40"/>
      <c r="H334" s="182">
        <v>0</v>
      </c>
      <c r="I334" s="39"/>
      <c r="J334" s="40"/>
      <c r="K334" s="5">
        <v>2000</v>
      </c>
      <c r="L334" s="157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2">
        <v>0</v>
      </c>
      <c r="F335" s="39"/>
      <c r="G335" s="40"/>
      <c r="H335" s="182">
        <v>0</v>
      </c>
      <c r="I335" s="39"/>
      <c r="J335" s="40"/>
      <c r="K335" s="5">
        <v>2000</v>
      </c>
      <c r="L335" s="157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2">
        <v>0</v>
      </c>
      <c r="F336" s="39"/>
      <c r="G336" s="40"/>
      <c r="H336" s="182">
        <v>0</v>
      </c>
      <c r="I336" s="39"/>
      <c r="J336" s="40"/>
      <c r="K336" s="5">
        <v>0</v>
      </c>
      <c r="L336" s="157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2">
        <v>0</v>
      </c>
      <c r="F337" s="39"/>
      <c r="G337" s="40"/>
      <c r="H337" s="182">
        <v>0</v>
      </c>
      <c r="I337" s="39"/>
      <c r="J337" s="40"/>
      <c r="K337" s="5">
        <v>2000</v>
      </c>
      <c r="L337" s="157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2">
        <v>0</v>
      </c>
      <c r="F338" s="39"/>
      <c r="G338" s="40"/>
      <c r="H338" s="182">
        <v>0</v>
      </c>
      <c r="I338" s="39"/>
      <c r="J338" s="40"/>
      <c r="K338" s="5">
        <v>1851.851851851852</v>
      </c>
      <c r="L338" s="157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2">
        <v>0</v>
      </c>
      <c r="F339" s="39"/>
      <c r="G339" s="40"/>
      <c r="H339" s="182">
        <v>0</v>
      </c>
      <c r="I339" s="39"/>
      <c r="J339" s="40"/>
      <c r="K339" s="5">
        <v>1851.851851851852</v>
      </c>
      <c r="L339" s="157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2">
        <v>0</v>
      </c>
      <c r="F340" s="39"/>
      <c r="G340" s="40"/>
      <c r="H340" s="182">
        <v>0</v>
      </c>
      <c r="I340" s="39"/>
      <c r="J340" s="40"/>
      <c r="K340" s="5">
        <v>1851.851851851852</v>
      </c>
      <c r="L340" s="157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2">
        <v>0</v>
      </c>
      <c r="F341" s="39"/>
      <c r="G341" s="40"/>
      <c r="H341" s="182">
        <v>0</v>
      </c>
      <c r="I341" s="39"/>
      <c r="J341" s="40"/>
      <c r="K341" s="5">
        <v>1851.851851851852</v>
      </c>
      <c r="L341" s="157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2">
        <v>0</v>
      </c>
      <c r="F342" s="39"/>
      <c r="G342" s="40"/>
      <c r="H342" s="182">
        <v>0</v>
      </c>
      <c r="I342" s="39"/>
      <c r="J342" s="40"/>
      <c r="K342" s="5">
        <v>1851.851851851852</v>
      </c>
      <c r="L342" s="157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2">
        <v>0</v>
      </c>
      <c r="F343" s="39"/>
      <c r="G343" s="40"/>
      <c r="H343" s="182">
        <v>0</v>
      </c>
      <c r="I343" s="39"/>
      <c r="J343" s="40"/>
      <c r="K343" s="5">
        <v>0</v>
      </c>
      <c r="L343" s="157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2">
        <v>0</v>
      </c>
      <c r="F344" s="39"/>
      <c r="G344" s="40"/>
      <c r="H344" s="182">
        <v>0</v>
      </c>
      <c r="I344" s="39"/>
      <c r="J344" s="40"/>
      <c r="K344" s="5">
        <v>1851.851851851852</v>
      </c>
      <c r="L344" s="157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2">
        <v>0</v>
      </c>
      <c r="F345" s="39"/>
      <c r="G345" s="40"/>
      <c r="H345" s="182">
        <v>0</v>
      </c>
      <c r="I345" s="39"/>
      <c r="J345" s="40"/>
      <c r="K345" s="5">
        <v>1851.851851851852</v>
      </c>
      <c r="L345" s="157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2">
        <v>0</v>
      </c>
      <c r="F346" s="39"/>
      <c r="G346" s="40"/>
      <c r="H346" s="182">
        <v>0</v>
      </c>
      <c r="I346" s="39"/>
      <c r="J346" s="40"/>
      <c r="K346" s="5">
        <v>1851.851851851852</v>
      </c>
      <c r="L346" s="157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2">
        <v>0</v>
      </c>
      <c r="F347" s="39"/>
      <c r="G347" s="40"/>
      <c r="H347" s="182">
        <v>0</v>
      </c>
      <c r="I347" s="39"/>
      <c r="J347" s="40"/>
      <c r="K347" s="5">
        <v>1851.851851851852</v>
      </c>
      <c r="L347" s="157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2">
        <v>0</v>
      </c>
      <c r="F348" s="39"/>
      <c r="G348" s="40"/>
      <c r="H348" s="182">
        <v>0</v>
      </c>
      <c r="I348" s="39"/>
      <c r="J348" s="40"/>
      <c r="K348" s="5">
        <v>1851.851851851852</v>
      </c>
      <c r="L348" s="157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2">
        <v>0</v>
      </c>
      <c r="F349" s="39"/>
      <c r="G349" s="40"/>
      <c r="H349" s="182">
        <v>0</v>
      </c>
      <c r="I349" s="39"/>
      <c r="J349" s="40"/>
      <c r="K349" s="5">
        <v>1851.851851851852</v>
      </c>
      <c r="L349" s="157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2">
        <v>0</v>
      </c>
      <c r="F350" s="39"/>
      <c r="G350" s="40"/>
      <c r="H350" s="182">
        <v>0</v>
      </c>
      <c r="I350" s="39"/>
      <c r="J350" s="40"/>
      <c r="K350" s="5">
        <v>0</v>
      </c>
      <c r="L350" s="157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2">
        <v>0</v>
      </c>
      <c r="F351" s="39"/>
      <c r="G351" s="40"/>
      <c r="H351" s="182">
        <v>0</v>
      </c>
      <c r="I351" s="39"/>
      <c r="J351" s="40"/>
      <c r="K351" s="5">
        <v>1851.851851851852</v>
      </c>
      <c r="L351" s="157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2">
        <v>0</v>
      </c>
      <c r="F352" s="39"/>
      <c r="G352" s="40"/>
      <c r="H352" s="182">
        <v>0</v>
      </c>
      <c r="I352" s="39"/>
      <c r="J352" s="40"/>
      <c r="K352" s="5">
        <v>1851.851851851852</v>
      </c>
      <c r="L352" s="157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2">
        <v>0</v>
      </c>
      <c r="F353" s="39"/>
      <c r="G353" s="40"/>
      <c r="H353" s="182">
        <v>0</v>
      </c>
      <c r="I353" s="39"/>
      <c r="J353" s="40"/>
      <c r="K353" s="5">
        <v>1851.851851851852</v>
      </c>
      <c r="L353" s="157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2">
        <v>0</v>
      </c>
      <c r="F354" s="39"/>
      <c r="G354" s="40"/>
      <c r="H354" s="182">
        <v>0</v>
      </c>
      <c r="I354" s="39"/>
      <c r="J354" s="40"/>
      <c r="K354" s="5">
        <v>1851.851851851852</v>
      </c>
      <c r="L354" s="157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2">
        <v>0</v>
      </c>
      <c r="F355" s="39"/>
      <c r="G355" s="40"/>
      <c r="H355" s="182">
        <v>0</v>
      </c>
      <c r="I355" s="39"/>
      <c r="J355" s="40"/>
      <c r="K355" s="5">
        <v>1851.851851851852</v>
      </c>
      <c r="L355" s="157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2">
        <v>0</v>
      </c>
      <c r="F356" s="39"/>
      <c r="G356" s="40"/>
      <c r="H356" s="182">
        <v>0</v>
      </c>
      <c r="I356" s="39"/>
      <c r="J356" s="40"/>
      <c r="K356" s="5">
        <v>1851.851851851852</v>
      </c>
      <c r="L356" s="157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2">
        <v>0</v>
      </c>
      <c r="F357" s="39"/>
      <c r="G357" s="40"/>
      <c r="H357" s="182">
        <v>0</v>
      </c>
      <c r="I357" s="39"/>
      <c r="J357" s="40"/>
      <c r="K357" s="5">
        <v>0</v>
      </c>
      <c r="L357" s="157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2">
        <v>0</v>
      </c>
      <c r="F358" s="39"/>
      <c r="G358" s="40"/>
      <c r="H358" s="182">
        <v>0</v>
      </c>
      <c r="I358" s="39"/>
      <c r="J358" s="40"/>
      <c r="K358" s="5">
        <v>1851.851851851852</v>
      </c>
      <c r="L358" s="157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2">
        <v>0</v>
      </c>
      <c r="F359" s="39"/>
      <c r="G359" s="40"/>
      <c r="H359" s="182">
        <v>0</v>
      </c>
      <c r="I359" s="39"/>
      <c r="J359" s="40"/>
      <c r="K359" s="5">
        <v>1851.851851851852</v>
      </c>
      <c r="L359" s="157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2">
        <v>0</v>
      </c>
      <c r="F360" s="39"/>
      <c r="G360" s="40"/>
      <c r="H360" s="182">
        <v>0</v>
      </c>
      <c r="I360" s="39"/>
      <c r="J360" s="40"/>
      <c r="K360" s="5">
        <v>1851.851851851852</v>
      </c>
      <c r="L360" s="157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2">
        <v>0</v>
      </c>
      <c r="F361" s="39"/>
      <c r="G361" s="40"/>
      <c r="H361" s="182">
        <v>0</v>
      </c>
      <c r="I361" s="39"/>
      <c r="J361" s="40"/>
      <c r="K361" s="5">
        <v>1851.851851851852</v>
      </c>
      <c r="L361" s="157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2">
        <v>0</v>
      </c>
      <c r="F362" s="39"/>
      <c r="G362" s="40"/>
      <c r="H362" s="182">
        <v>0</v>
      </c>
      <c r="I362" s="39"/>
      <c r="J362" s="40"/>
      <c r="K362" s="5">
        <v>1851.851851851852</v>
      </c>
      <c r="L362" s="157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2">
        <v>0</v>
      </c>
      <c r="F363" s="39"/>
      <c r="G363" s="40"/>
      <c r="H363" s="182">
        <v>0</v>
      </c>
      <c r="I363" s="39"/>
      <c r="J363" s="40"/>
      <c r="K363" s="5">
        <v>1851.851851851852</v>
      </c>
      <c r="L363" s="157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2">
        <v>0</v>
      </c>
      <c r="F364" s="39"/>
      <c r="G364" s="40"/>
      <c r="H364" s="182">
        <v>0</v>
      </c>
      <c r="I364" s="39"/>
      <c r="J364" s="40"/>
      <c r="K364" s="5">
        <v>0</v>
      </c>
      <c r="L364" s="157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2">
        <v>0</v>
      </c>
      <c r="F365" s="39"/>
      <c r="G365" s="40"/>
      <c r="H365" s="182">
        <v>0</v>
      </c>
      <c r="I365" s="39"/>
      <c r="J365" s="40"/>
      <c r="K365" s="5">
        <v>1851.851851851852</v>
      </c>
      <c r="L365" s="157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2">
        <v>0</v>
      </c>
      <c r="F366" s="39"/>
      <c r="G366" s="40"/>
      <c r="H366" s="182">
        <v>0</v>
      </c>
      <c r="I366" s="39"/>
      <c r="J366" s="40"/>
      <c r="K366" s="5">
        <v>1851.851851851852</v>
      </c>
      <c r="L366" s="157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2">
        <v>0</v>
      </c>
      <c r="F367" s="39"/>
      <c r="G367" s="40"/>
      <c r="H367" s="182">
        <v>0</v>
      </c>
      <c r="I367" s="39"/>
      <c r="J367" s="40"/>
      <c r="K367" s="5">
        <v>1851.851851851852</v>
      </c>
      <c r="L367" s="157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2">
        <v>0</v>
      </c>
      <c r="F368" s="39"/>
      <c r="G368" s="40"/>
      <c r="H368" s="182">
        <v>0</v>
      </c>
      <c r="I368" s="39"/>
      <c r="J368" s="40"/>
      <c r="K368" s="5">
        <v>1851.851851851852</v>
      </c>
      <c r="L368" s="157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2">
        <v>0</v>
      </c>
      <c r="F369" s="39"/>
      <c r="G369" s="40"/>
      <c r="H369" s="182">
        <v>0</v>
      </c>
      <c r="I369" s="39"/>
      <c r="J369" s="40"/>
      <c r="K369" s="5">
        <v>1923.0769230769231</v>
      </c>
      <c r="L369" s="157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2">
        <v>0</v>
      </c>
      <c r="F370" s="39"/>
      <c r="G370" s="40"/>
      <c r="H370" s="182">
        <v>0</v>
      </c>
      <c r="I370" s="39"/>
      <c r="J370" s="40"/>
      <c r="K370" s="5">
        <v>1923.0769230769231</v>
      </c>
      <c r="L370" s="157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2">
        <v>0</v>
      </c>
      <c r="F371" s="39"/>
      <c r="G371" s="40"/>
      <c r="H371" s="182">
        <v>0</v>
      </c>
      <c r="I371" s="39"/>
      <c r="J371" s="40"/>
      <c r="K371" s="5">
        <v>0</v>
      </c>
      <c r="L371" s="157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2">
        <v>0</v>
      </c>
      <c r="F372" s="39"/>
      <c r="G372" s="40"/>
      <c r="H372" s="182">
        <v>0</v>
      </c>
      <c r="I372" s="39"/>
      <c r="J372" s="40"/>
      <c r="K372" s="5">
        <v>1923.0769230769231</v>
      </c>
      <c r="L372" s="157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2">
        <v>0</v>
      </c>
      <c r="F373" s="39"/>
      <c r="G373" s="40"/>
      <c r="H373" s="182">
        <v>0</v>
      </c>
      <c r="I373" s="39"/>
      <c r="J373" s="40"/>
      <c r="K373" s="5">
        <v>1923.0769230769231</v>
      </c>
      <c r="L373" s="157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2">
        <v>0</v>
      </c>
      <c r="F374" s="39"/>
      <c r="G374" s="40"/>
      <c r="H374" s="182">
        <v>0</v>
      </c>
      <c r="I374" s="39"/>
      <c r="J374" s="40"/>
      <c r="K374" s="5">
        <v>1923.0769230769231</v>
      </c>
      <c r="L374" s="157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2">
        <v>0</v>
      </c>
      <c r="F375" s="39"/>
      <c r="G375" s="40"/>
      <c r="H375" s="182">
        <v>0</v>
      </c>
      <c r="I375" s="39"/>
      <c r="J375" s="40"/>
      <c r="K375" s="5">
        <v>1923.0769230769231</v>
      </c>
      <c r="L375" s="157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2">
        <v>0</v>
      </c>
      <c r="F376" s="39"/>
      <c r="G376" s="40"/>
      <c r="H376" s="182">
        <v>0</v>
      </c>
      <c r="I376" s="39"/>
      <c r="J376" s="40"/>
      <c r="K376" s="5">
        <v>1923.0769230769231</v>
      </c>
      <c r="L376" s="157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2">
        <v>0</v>
      </c>
      <c r="F377" s="39"/>
      <c r="G377" s="40"/>
      <c r="H377" s="182">
        <v>0</v>
      </c>
      <c r="I377" s="39"/>
      <c r="J377" s="40"/>
      <c r="K377" s="5">
        <v>1923.0769230769231</v>
      </c>
      <c r="L377" s="157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2">
        <v>0</v>
      </c>
      <c r="F378" s="39"/>
      <c r="G378" s="40"/>
      <c r="H378" s="182">
        <v>0</v>
      </c>
      <c r="I378" s="39"/>
      <c r="J378" s="40"/>
      <c r="K378" s="5">
        <v>0</v>
      </c>
      <c r="L378" s="157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2">
        <v>0</v>
      </c>
      <c r="F379" s="39"/>
      <c r="G379" s="40"/>
      <c r="H379" s="182">
        <v>0</v>
      </c>
      <c r="I379" s="39"/>
      <c r="J379" s="40"/>
      <c r="K379" s="5">
        <v>1923.0769230769231</v>
      </c>
      <c r="L379" s="157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2">
        <v>0</v>
      </c>
      <c r="F380" s="39"/>
      <c r="G380" s="40"/>
      <c r="H380" s="182">
        <v>0</v>
      </c>
      <c r="I380" s="39"/>
      <c r="J380" s="40"/>
      <c r="K380" s="5">
        <v>1923.0769230769231</v>
      </c>
      <c r="L380" s="157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2">
        <v>0</v>
      </c>
      <c r="F381" s="39"/>
      <c r="G381" s="40"/>
      <c r="H381" s="182">
        <v>0</v>
      </c>
      <c r="I381" s="39"/>
      <c r="J381" s="40"/>
      <c r="K381" s="5">
        <v>1923.0769230769231</v>
      </c>
      <c r="L381" s="157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2">
        <v>0</v>
      </c>
      <c r="F382" s="39"/>
      <c r="G382" s="40"/>
      <c r="H382" s="182">
        <v>0</v>
      </c>
      <c r="I382" s="39"/>
      <c r="J382" s="40"/>
      <c r="K382" s="5">
        <v>1923.0769230769231</v>
      </c>
      <c r="L382" s="157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2">
        <v>0</v>
      </c>
      <c r="F383" s="39"/>
      <c r="G383" s="40"/>
      <c r="H383" s="182">
        <v>0</v>
      </c>
      <c r="I383" s="39"/>
      <c r="J383" s="40"/>
      <c r="K383" s="5">
        <v>1923.0769230769231</v>
      </c>
      <c r="L383" s="157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2">
        <v>0</v>
      </c>
      <c r="F384" s="39"/>
      <c r="G384" s="40"/>
      <c r="H384" s="182">
        <v>0</v>
      </c>
      <c r="I384" s="39"/>
      <c r="J384" s="40"/>
      <c r="K384" s="5">
        <v>1923.0769230769231</v>
      </c>
      <c r="L384" s="157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2">
        <v>0</v>
      </c>
      <c r="F385" s="39"/>
      <c r="G385" s="40"/>
      <c r="H385" s="182">
        <v>0</v>
      </c>
      <c r="I385" s="39"/>
      <c r="J385" s="40"/>
      <c r="K385" s="5">
        <v>0</v>
      </c>
      <c r="L385" s="157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2">
        <v>0</v>
      </c>
      <c r="F386" s="39"/>
      <c r="G386" s="40"/>
      <c r="H386" s="182">
        <v>0</v>
      </c>
      <c r="I386" s="39"/>
      <c r="J386" s="40"/>
      <c r="K386" s="5">
        <v>1923.0769230769231</v>
      </c>
      <c r="L386" s="157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2">
        <v>0</v>
      </c>
      <c r="F387" s="39"/>
      <c r="G387" s="40"/>
      <c r="H387" s="182">
        <v>0</v>
      </c>
      <c r="I387" s="39"/>
      <c r="J387" s="40"/>
      <c r="K387" s="5">
        <v>1923.0769230769231</v>
      </c>
      <c r="L387" s="157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2">
        <v>0</v>
      </c>
      <c r="F388" s="39"/>
      <c r="G388" s="40"/>
      <c r="H388" s="182">
        <v>0</v>
      </c>
      <c r="I388" s="39"/>
      <c r="J388" s="40"/>
      <c r="K388" s="5">
        <v>1923.0769230769231</v>
      </c>
      <c r="L388" s="157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2">
        <v>0</v>
      </c>
      <c r="F389" s="39"/>
      <c r="G389" s="40"/>
      <c r="H389" s="182">
        <v>0</v>
      </c>
      <c r="I389" s="39"/>
      <c r="J389" s="40"/>
      <c r="K389" s="5">
        <v>1923.0769230769231</v>
      </c>
      <c r="L389" s="157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2">
        <v>0</v>
      </c>
      <c r="F390" s="39"/>
      <c r="G390" s="40"/>
      <c r="H390" s="182">
        <v>0</v>
      </c>
      <c r="I390" s="39"/>
      <c r="J390" s="40"/>
      <c r="K390" s="5">
        <v>1923.0769230769231</v>
      </c>
      <c r="L390" s="157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2">
        <v>0</v>
      </c>
      <c r="F391" s="39"/>
      <c r="G391" s="40"/>
      <c r="H391" s="182">
        <v>0</v>
      </c>
      <c r="I391" s="39"/>
      <c r="J391" s="40"/>
      <c r="K391" s="5">
        <v>1923.0769230769231</v>
      </c>
      <c r="L391" s="157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2">
        <v>0</v>
      </c>
      <c r="F392" s="39"/>
      <c r="G392" s="40"/>
      <c r="H392" s="182">
        <v>0</v>
      </c>
      <c r="I392" s="39"/>
      <c r="J392" s="40"/>
      <c r="K392" s="5">
        <v>0</v>
      </c>
      <c r="L392" s="157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2">
        <v>0</v>
      </c>
      <c r="F393" s="39"/>
      <c r="G393" s="40"/>
      <c r="H393" s="182">
        <v>0</v>
      </c>
      <c r="I393" s="39"/>
      <c r="J393" s="40"/>
      <c r="K393" s="5">
        <v>1923.0769230769231</v>
      </c>
      <c r="L393" s="157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2">
        <v>0</v>
      </c>
      <c r="F394" s="39"/>
      <c r="G394" s="40"/>
      <c r="H394" s="182">
        <v>0</v>
      </c>
      <c r="I394" s="39"/>
      <c r="J394" s="40"/>
      <c r="K394" s="5">
        <v>1923.0769230769231</v>
      </c>
      <c r="L394" s="157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2">
        <v>0</v>
      </c>
      <c r="F395" s="39"/>
      <c r="G395" s="40"/>
      <c r="H395" s="182">
        <v>0</v>
      </c>
      <c r="I395" s="39"/>
      <c r="J395" s="40"/>
      <c r="K395" s="5">
        <v>1923.0769230769231</v>
      </c>
      <c r="L395" s="157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2">
        <v>0</v>
      </c>
      <c r="F396" s="39"/>
      <c r="G396" s="40"/>
      <c r="H396" s="182">
        <v>0</v>
      </c>
      <c r="I396" s="39"/>
      <c r="J396" s="40"/>
      <c r="K396" s="5">
        <v>1923.0769230769231</v>
      </c>
      <c r="L396" s="157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2">
        <v>0</v>
      </c>
      <c r="F397" s="39"/>
      <c r="G397" s="40"/>
      <c r="H397" s="182">
        <v>0</v>
      </c>
      <c r="I397" s="39"/>
      <c r="J397" s="40"/>
      <c r="K397" s="5">
        <v>1923.0769230769231</v>
      </c>
      <c r="L397" s="157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2">
        <v>0</v>
      </c>
      <c r="F398" s="39"/>
      <c r="G398" s="40"/>
      <c r="H398" s="182">
        <v>0</v>
      </c>
      <c r="I398" s="39"/>
      <c r="J398" s="40"/>
      <c r="K398" s="5">
        <v>1923.0769230769231</v>
      </c>
      <c r="L398" s="157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2">
        <v>0</v>
      </c>
      <c r="F399" s="39"/>
      <c r="G399" s="40"/>
      <c r="H399" s="182">
        <v>0</v>
      </c>
      <c r="I399" s="39"/>
      <c r="J399" s="40"/>
      <c r="K399" s="5">
        <v>0</v>
      </c>
      <c r="L399" s="157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2">
        <v>0</v>
      </c>
      <c r="F400" s="39"/>
      <c r="G400" s="40"/>
      <c r="H400" s="182">
        <v>0</v>
      </c>
      <c r="I400" s="39"/>
      <c r="J400" s="40"/>
      <c r="K400" s="5">
        <v>2083.3333333333335</v>
      </c>
      <c r="L400" s="157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2">
        <v>0</v>
      </c>
      <c r="F401" s="39"/>
      <c r="G401" s="40"/>
      <c r="H401" s="182">
        <v>0</v>
      </c>
      <c r="I401" s="39"/>
      <c r="J401" s="40"/>
      <c r="K401" s="5">
        <v>2083.3333333333335</v>
      </c>
      <c r="L401" s="157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2">
        <v>0</v>
      </c>
      <c r="F402" s="39"/>
      <c r="G402" s="40"/>
      <c r="H402" s="182">
        <v>0</v>
      </c>
      <c r="I402" s="39"/>
      <c r="J402" s="40"/>
      <c r="K402" s="5">
        <v>2083.3333333333335</v>
      </c>
      <c r="L402" s="157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2">
        <v>0</v>
      </c>
      <c r="F403" s="39"/>
      <c r="G403" s="40"/>
      <c r="H403" s="182">
        <v>0</v>
      </c>
      <c r="I403" s="39"/>
      <c r="J403" s="40"/>
      <c r="K403" s="5">
        <v>2083.3333333333335</v>
      </c>
      <c r="L403" s="157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2">
        <v>0</v>
      </c>
      <c r="F404" s="39"/>
      <c r="G404" s="40"/>
      <c r="H404" s="182">
        <v>0</v>
      </c>
      <c r="I404" s="39"/>
      <c r="J404" s="40"/>
      <c r="K404" s="5">
        <v>2083.3333333333335</v>
      </c>
      <c r="L404" s="157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2">
        <v>0</v>
      </c>
      <c r="F405" s="39"/>
      <c r="G405" s="40"/>
      <c r="H405" s="182">
        <v>0</v>
      </c>
      <c r="I405" s="39"/>
      <c r="J405" s="40"/>
      <c r="K405" s="5">
        <v>2083.3333333333335</v>
      </c>
      <c r="L405" s="157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2">
        <v>0</v>
      </c>
      <c r="F406" s="39"/>
      <c r="G406" s="40"/>
      <c r="H406" s="182">
        <v>0</v>
      </c>
      <c r="I406" s="39"/>
      <c r="J406" s="40"/>
      <c r="K406" s="5">
        <v>0</v>
      </c>
      <c r="L406" s="157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2">
        <v>0</v>
      </c>
      <c r="F407" s="39"/>
      <c r="G407" s="40"/>
      <c r="H407" s="182">
        <v>0</v>
      </c>
      <c r="I407" s="39"/>
      <c r="J407" s="40"/>
      <c r="K407" s="5">
        <v>2083.3333333333335</v>
      </c>
      <c r="L407" s="157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2">
        <v>0</v>
      </c>
      <c r="F408" s="39"/>
      <c r="G408" s="40"/>
      <c r="H408" s="182">
        <v>0</v>
      </c>
      <c r="I408" s="39"/>
      <c r="J408" s="40"/>
      <c r="K408" s="5">
        <v>2083.3333333333335</v>
      </c>
      <c r="L408" s="157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2">
        <v>0</v>
      </c>
      <c r="F409" s="39"/>
      <c r="G409" s="40"/>
      <c r="H409" s="182">
        <v>0</v>
      </c>
      <c r="I409" s="39"/>
      <c r="J409" s="40"/>
      <c r="K409" s="5">
        <v>2083.3333333333335</v>
      </c>
      <c r="L409" s="157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2">
        <v>0</v>
      </c>
      <c r="F410" s="39"/>
      <c r="G410" s="40"/>
      <c r="H410" s="182">
        <v>0</v>
      </c>
      <c r="I410" s="39"/>
      <c r="J410" s="40"/>
      <c r="K410" s="5">
        <v>2083.3333333333335</v>
      </c>
      <c r="L410" s="157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2">
        <v>0</v>
      </c>
      <c r="F411" s="39"/>
      <c r="G411" s="40"/>
      <c r="H411" s="182">
        <v>0</v>
      </c>
      <c r="I411" s="39"/>
      <c r="J411" s="40"/>
      <c r="K411" s="5">
        <v>2083.3333333333335</v>
      </c>
      <c r="L411" s="157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2">
        <v>0</v>
      </c>
      <c r="F412" s="39"/>
      <c r="G412" s="40"/>
      <c r="H412" s="182">
        <v>0</v>
      </c>
      <c r="I412" s="39"/>
      <c r="J412" s="40"/>
      <c r="K412" s="5">
        <v>2083.3333333333335</v>
      </c>
      <c r="L412" s="157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2">
        <v>0</v>
      </c>
      <c r="F413" s="39"/>
      <c r="G413" s="40"/>
      <c r="H413" s="182">
        <v>0</v>
      </c>
      <c r="I413" s="39"/>
      <c r="J413" s="40"/>
      <c r="K413" s="5">
        <v>0</v>
      </c>
      <c r="L413" s="157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2">
        <v>0</v>
      </c>
      <c r="F414" s="39"/>
      <c r="G414" s="40"/>
      <c r="H414" s="182">
        <v>0</v>
      </c>
      <c r="I414" s="39"/>
      <c r="J414" s="40"/>
      <c r="K414" s="5">
        <v>2083.3333333333335</v>
      </c>
      <c r="L414" s="157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2">
        <v>0</v>
      </c>
      <c r="F415" s="39"/>
      <c r="G415" s="40"/>
      <c r="H415" s="182">
        <v>0</v>
      </c>
      <c r="I415" s="39"/>
      <c r="J415" s="40"/>
      <c r="K415" s="5">
        <v>2083.3333333333335</v>
      </c>
      <c r="L415" s="157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2">
        <v>0</v>
      </c>
      <c r="F416" s="39"/>
      <c r="G416" s="40"/>
      <c r="H416" s="182">
        <v>0</v>
      </c>
      <c r="I416" s="39"/>
      <c r="J416" s="40"/>
      <c r="K416" s="5">
        <v>2083.3333333333335</v>
      </c>
      <c r="L416" s="157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2">
        <v>0</v>
      </c>
      <c r="F417" s="39"/>
      <c r="G417" s="40"/>
      <c r="H417" s="182">
        <v>0</v>
      </c>
      <c r="I417" s="39"/>
      <c r="J417" s="40"/>
      <c r="K417" s="5">
        <v>2083.3333333333335</v>
      </c>
      <c r="L417" s="157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2">
        <v>0</v>
      </c>
      <c r="F418" s="39"/>
      <c r="G418" s="40"/>
      <c r="H418" s="182">
        <v>0</v>
      </c>
      <c r="I418" s="39"/>
      <c r="J418" s="40"/>
      <c r="K418" s="5">
        <v>2083.3333333333335</v>
      </c>
      <c r="L418" s="157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2">
        <v>0</v>
      </c>
      <c r="F419" s="39"/>
      <c r="G419" s="40"/>
      <c r="H419" s="182">
        <v>0</v>
      </c>
      <c r="I419" s="39"/>
      <c r="J419" s="40"/>
      <c r="K419" s="5">
        <v>2083.3333333333335</v>
      </c>
      <c r="L419" s="157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2">
        <v>0</v>
      </c>
      <c r="F420" s="39"/>
      <c r="G420" s="40"/>
      <c r="H420" s="182">
        <v>0</v>
      </c>
      <c r="I420" s="39"/>
      <c r="J420" s="40"/>
      <c r="K420" s="5">
        <v>0</v>
      </c>
      <c r="L420" s="157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2">
        <v>0</v>
      </c>
      <c r="F421" s="39"/>
      <c r="G421" s="40"/>
      <c r="H421" s="182">
        <v>0</v>
      </c>
      <c r="I421" s="39"/>
      <c r="J421" s="40"/>
      <c r="K421" s="5">
        <v>2083.3333333333335</v>
      </c>
      <c r="L421" s="157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2">
        <v>0</v>
      </c>
      <c r="F422" s="39"/>
      <c r="G422" s="40"/>
      <c r="H422" s="182">
        <v>0</v>
      </c>
      <c r="I422" s="39"/>
      <c r="J422" s="40"/>
      <c r="K422" s="5">
        <v>2083.3333333333335</v>
      </c>
      <c r="L422" s="157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2">
        <v>0</v>
      </c>
      <c r="F423" s="39"/>
      <c r="G423" s="40"/>
      <c r="H423" s="182">
        <v>0</v>
      </c>
      <c r="I423" s="39"/>
      <c r="J423" s="40"/>
      <c r="K423" s="5">
        <v>2083.3333333333335</v>
      </c>
      <c r="L423" s="157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2">
        <v>0</v>
      </c>
      <c r="F424" s="39"/>
      <c r="G424" s="40"/>
      <c r="H424" s="182">
        <v>0</v>
      </c>
      <c r="I424" s="39"/>
      <c r="J424" s="40"/>
      <c r="K424" s="5">
        <v>2083.3333333333335</v>
      </c>
      <c r="L424" s="157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2">
        <v>0</v>
      </c>
      <c r="F425" s="39"/>
      <c r="G425" s="40"/>
      <c r="H425" s="182">
        <v>0</v>
      </c>
      <c r="I425" s="39"/>
      <c r="J425" s="40"/>
      <c r="K425" s="5">
        <v>2083.3333333333335</v>
      </c>
      <c r="L425" s="157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2">
        <v>0</v>
      </c>
      <c r="F426" s="39"/>
      <c r="G426" s="40"/>
      <c r="H426" s="182">
        <v>0</v>
      </c>
      <c r="I426" s="39"/>
      <c r="J426" s="40"/>
      <c r="K426" s="5">
        <v>2083.3333333333335</v>
      </c>
      <c r="L426" s="157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2">
        <v>0</v>
      </c>
      <c r="F427" s="39"/>
      <c r="G427" s="40"/>
      <c r="H427" s="182">
        <v>0</v>
      </c>
      <c r="I427" s="39"/>
      <c r="J427" s="40"/>
      <c r="K427" s="5">
        <v>0</v>
      </c>
      <c r="L427" s="157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2">
        <v>0</v>
      </c>
      <c r="F428" s="39"/>
      <c r="G428" s="40"/>
      <c r="H428" s="182">
        <v>0</v>
      </c>
      <c r="I428" s="39"/>
      <c r="J428" s="40"/>
      <c r="K428" s="5">
        <v>1851.851851851852</v>
      </c>
      <c r="L428" s="157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2">
        <v>0</v>
      </c>
      <c r="F429" s="39"/>
      <c r="G429" s="40"/>
      <c r="H429" s="182">
        <v>0</v>
      </c>
      <c r="I429" s="39"/>
      <c r="J429" s="40"/>
      <c r="K429" s="5">
        <v>1851.851851851852</v>
      </c>
      <c r="L429" s="157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2">
        <v>0</v>
      </c>
      <c r="F430" s="39"/>
      <c r="G430" s="40"/>
      <c r="H430" s="182">
        <v>0</v>
      </c>
      <c r="I430" s="39"/>
      <c r="J430" s="40"/>
      <c r="K430" s="5">
        <v>1851.851851851852</v>
      </c>
      <c r="L430" s="157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2">
        <v>0</v>
      </c>
      <c r="F431" s="39"/>
      <c r="G431" s="40"/>
      <c r="H431" s="182">
        <v>0</v>
      </c>
      <c r="I431" s="39"/>
      <c r="J431" s="40"/>
      <c r="K431" s="5">
        <v>1851.851851851852</v>
      </c>
      <c r="L431" s="157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2">
        <v>0</v>
      </c>
      <c r="F432" s="39"/>
      <c r="G432" s="40"/>
      <c r="H432" s="182">
        <v>0</v>
      </c>
      <c r="I432" s="39"/>
      <c r="J432" s="40"/>
      <c r="K432" s="5">
        <v>1851.851851851852</v>
      </c>
      <c r="L432" s="157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2">
        <v>0</v>
      </c>
      <c r="F433" s="39"/>
      <c r="G433" s="40"/>
      <c r="H433" s="182">
        <v>0</v>
      </c>
      <c r="I433" s="39"/>
      <c r="J433" s="40"/>
      <c r="K433" s="5">
        <v>1851.851851851852</v>
      </c>
      <c r="L433" s="157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2">
        <v>0</v>
      </c>
      <c r="F434" s="39"/>
      <c r="G434" s="40"/>
      <c r="H434" s="182">
        <v>0</v>
      </c>
      <c r="I434" s="39"/>
      <c r="J434" s="40"/>
      <c r="K434" s="5">
        <v>0</v>
      </c>
      <c r="L434" s="157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2">
        <v>0</v>
      </c>
      <c r="F435" s="39"/>
      <c r="G435" s="40"/>
      <c r="H435" s="182">
        <v>0</v>
      </c>
      <c r="I435" s="39"/>
      <c r="J435" s="40"/>
      <c r="K435" s="5">
        <v>1851.851851851852</v>
      </c>
      <c r="L435" s="157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2">
        <v>0</v>
      </c>
      <c r="F436" s="39"/>
      <c r="G436" s="40"/>
      <c r="H436" s="182">
        <v>0</v>
      </c>
      <c r="I436" s="39"/>
      <c r="J436" s="40"/>
      <c r="K436" s="5">
        <v>1851.851851851852</v>
      </c>
      <c r="L436" s="157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2">
        <v>0</v>
      </c>
      <c r="F437" s="39"/>
      <c r="G437" s="40"/>
      <c r="H437" s="182">
        <v>0</v>
      </c>
      <c r="I437" s="39"/>
      <c r="J437" s="40"/>
      <c r="K437" s="5">
        <v>1851.851851851852</v>
      </c>
      <c r="L437" s="157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2">
        <v>0</v>
      </c>
      <c r="F438" s="39"/>
      <c r="G438" s="40"/>
      <c r="H438" s="182">
        <v>0</v>
      </c>
      <c r="I438" s="39"/>
      <c r="J438" s="40"/>
      <c r="K438" s="5">
        <v>1851.851851851852</v>
      </c>
      <c r="L438" s="157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2">
        <v>0</v>
      </c>
      <c r="F439" s="39"/>
      <c r="G439" s="40"/>
      <c r="H439" s="182">
        <v>0</v>
      </c>
      <c r="I439" s="39"/>
      <c r="J439" s="40"/>
      <c r="K439" s="5">
        <v>1851.851851851852</v>
      </c>
      <c r="L439" s="157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2">
        <v>0</v>
      </c>
      <c r="F440" s="39"/>
      <c r="G440" s="40"/>
      <c r="H440" s="182">
        <v>0</v>
      </c>
      <c r="I440" s="39"/>
      <c r="J440" s="40"/>
      <c r="K440" s="5">
        <v>1851.851851851852</v>
      </c>
      <c r="L440" s="157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2">
        <v>0</v>
      </c>
      <c r="F441" s="39"/>
      <c r="G441" s="40"/>
      <c r="H441" s="182">
        <v>0</v>
      </c>
      <c r="I441" s="39"/>
      <c r="J441" s="40"/>
      <c r="K441" s="5">
        <v>0</v>
      </c>
      <c r="L441" s="157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2">
        <v>0</v>
      </c>
      <c r="F442" s="39"/>
      <c r="G442" s="40"/>
      <c r="H442" s="182">
        <v>0</v>
      </c>
      <c r="I442" s="39"/>
      <c r="J442" s="40"/>
      <c r="K442" s="5">
        <v>1851.851851851852</v>
      </c>
      <c r="L442" s="157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2">
        <v>0</v>
      </c>
      <c r="F443" s="39"/>
      <c r="G443" s="40"/>
      <c r="H443" s="182">
        <v>0</v>
      </c>
      <c r="I443" s="39"/>
      <c r="J443" s="40"/>
      <c r="K443" s="5">
        <v>1851.851851851852</v>
      </c>
      <c r="L443" s="157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2">
        <v>0</v>
      </c>
      <c r="F444" s="39"/>
      <c r="G444" s="40"/>
      <c r="H444" s="182">
        <v>0</v>
      </c>
      <c r="I444" s="39"/>
      <c r="J444" s="40"/>
      <c r="K444" s="5">
        <v>1851.851851851852</v>
      </c>
      <c r="L444" s="157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2">
        <v>0</v>
      </c>
      <c r="F445" s="39"/>
      <c r="G445" s="40"/>
      <c r="H445" s="182">
        <v>0</v>
      </c>
      <c r="I445" s="39"/>
      <c r="J445" s="40"/>
      <c r="K445" s="5">
        <v>1851.851851851852</v>
      </c>
      <c r="L445" s="157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2">
        <v>0</v>
      </c>
      <c r="F446" s="39"/>
      <c r="G446" s="40"/>
      <c r="H446" s="182">
        <v>0</v>
      </c>
      <c r="I446" s="39"/>
      <c r="J446" s="40"/>
      <c r="K446" s="5">
        <v>1851.851851851852</v>
      </c>
      <c r="L446" s="157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2">
        <v>0</v>
      </c>
      <c r="F447" s="39"/>
      <c r="G447" s="40"/>
      <c r="H447" s="182">
        <v>0</v>
      </c>
      <c r="I447" s="39"/>
      <c r="J447" s="40"/>
      <c r="K447" s="5">
        <v>1851.851851851852</v>
      </c>
      <c r="L447" s="157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2">
        <v>0</v>
      </c>
      <c r="F448" s="39"/>
      <c r="G448" s="40"/>
      <c r="H448" s="182">
        <v>0</v>
      </c>
      <c r="I448" s="39"/>
      <c r="J448" s="40"/>
      <c r="K448" s="5">
        <v>0</v>
      </c>
      <c r="L448" s="157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2">
        <v>0</v>
      </c>
      <c r="F449" s="39"/>
      <c r="G449" s="40"/>
      <c r="H449" s="182">
        <v>0</v>
      </c>
      <c r="I449" s="39"/>
      <c r="J449" s="40"/>
      <c r="K449" s="5">
        <v>1851.851851851852</v>
      </c>
      <c r="L449" s="157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2">
        <v>0</v>
      </c>
      <c r="F450" s="39"/>
      <c r="G450" s="40"/>
      <c r="H450" s="182">
        <v>0</v>
      </c>
      <c r="I450" s="39"/>
      <c r="J450" s="40"/>
      <c r="K450" s="5">
        <v>1851.851851851852</v>
      </c>
      <c r="L450" s="157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2">
        <v>0</v>
      </c>
      <c r="F451" s="39"/>
      <c r="G451" s="40"/>
      <c r="H451" s="182">
        <v>0</v>
      </c>
      <c r="I451" s="39"/>
      <c r="J451" s="40"/>
      <c r="K451" s="5">
        <v>1851.851851851852</v>
      </c>
      <c r="L451" s="157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2">
        <v>0</v>
      </c>
      <c r="F452" s="39"/>
      <c r="G452" s="40"/>
      <c r="H452" s="182">
        <v>0</v>
      </c>
      <c r="I452" s="39"/>
      <c r="J452" s="40"/>
      <c r="K452" s="5">
        <v>1851.851851851852</v>
      </c>
      <c r="L452" s="157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2">
        <v>0</v>
      </c>
      <c r="F453" s="39"/>
      <c r="G453" s="40"/>
      <c r="H453" s="182">
        <v>0</v>
      </c>
      <c r="I453" s="39"/>
      <c r="J453" s="40"/>
      <c r="K453" s="5">
        <v>1851.851851851852</v>
      </c>
      <c r="L453" s="157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2">
        <v>0</v>
      </c>
      <c r="F454" s="39"/>
      <c r="G454" s="40"/>
      <c r="H454" s="182">
        <v>0</v>
      </c>
      <c r="I454" s="39"/>
      <c r="J454" s="40"/>
      <c r="K454" s="5">
        <v>1851.851851851852</v>
      </c>
      <c r="L454" s="157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2">
        <v>0</v>
      </c>
      <c r="F455" s="39"/>
      <c r="G455" s="40"/>
      <c r="H455" s="182">
        <v>0</v>
      </c>
      <c r="I455" s="39"/>
      <c r="J455" s="40"/>
      <c r="K455" s="5">
        <v>0</v>
      </c>
      <c r="L455" s="157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2">
        <v>0</v>
      </c>
      <c r="F456" s="39"/>
      <c r="G456" s="40"/>
      <c r="H456" s="182">
        <v>0</v>
      </c>
      <c r="I456" s="39"/>
      <c r="J456" s="40"/>
      <c r="K456" s="5">
        <v>1851.851851851852</v>
      </c>
      <c r="L456" s="157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2">
        <v>0</v>
      </c>
      <c r="F457" s="39"/>
      <c r="G457" s="40"/>
      <c r="H457" s="182">
        <v>0</v>
      </c>
      <c r="I457" s="39"/>
      <c r="J457" s="40"/>
      <c r="K457" s="5">
        <v>1851.851851851852</v>
      </c>
      <c r="L457" s="157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2">
        <v>0</v>
      </c>
      <c r="F458" s="39"/>
      <c r="G458" s="40"/>
      <c r="H458" s="182">
        <v>0</v>
      </c>
      <c r="I458" s="39"/>
      <c r="J458" s="40"/>
      <c r="K458" s="5">
        <v>1851.851851851852</v>
      </c>
      <c r="L458" s="157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2">
        <v>0</v>
      </c>
      <c r="F459" s="39"/>
      <c r="G459" s="40"/>
      <c r="H459" s="182">
        <v>0</v>
      </c>
      <c r="I459" s="39"/>
      <c r="J459" s="40"/>
      <c r="K459" s="5">
        <v>1923.0769230769231</v>
      </c>
      <c r="L459" s="157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2">
        <v>0</v>
      </c>
      <c r="F460" s="39"/>
      <c r="G460" s="40"/>
      <c r="H460" s="182">
        <v>0</v>
      </c>
      <c r="I460" s="39"/>
      <c r="J460" s="40"/>
      <c r="K460" s="5">
        <v>1923.0769230769231</v>
      </c>
      <c r="L460" s="157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2">
        <v>0</v>
      </c>
      <c r="F461" s="39"/>
      <c r="G461" s="40"/>
      <c r="H461" s="182">
        <v>0</v>
      </c>
      <c r="I461" s="39"/>
      <c r="J461" s="40"/>
      <c r="K461" s="5">
        <v>1923.0769230769231</v>
      </c>
      <c r="L461" s="157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2">
        <v>0</v>
      </c>
      <c r="F462" s="39"/>
      <c r="G462" s="40"/>
      <c r="H462" s="182">
        <v>0</v>
      </c>
      <c r="I462" s="39"/>
      <c r="J462" s="40"/>
      <c r="K462" s="5">
        <v>0</v>
      </c>
      <c r="L462" s="157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2">
        <v>0</v>
      </c>
      <c r="F463" s="39"/>
      <c r="G463" s="40"/>
      <c r="H463" s="182">
        <v>0</v>
      </c>
      <c r="I463" s="39"/>
      <c r="J463" s="40"/>
      <c r="K463" s="5">
        <v>1923.0769230769231</v>
      </c>
      <c r="L463" s="157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2">
        <v>0</v>
      </c>
      <c r="F464" s="39"/>
      <c r="G464" s="40"/>
      <c r="H464" s="182">
        <v>0</v>
      </c>
      <c r="I464" s="39"/>
      <c r="J464" s="40"/>
      <c r="K464" s="5">
        <v>1923.0769230769231</v>
      </c>
      <c r="L464" s="157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2">
        <v>0</v>
      </c>
      <c r="F465" s="39"/>
      <c r="G465" s="40"/>
      <c r="H465" s="182">
        <v>0</v>
      </c>
      <c r="I465" s="39"/>
      <c r="J465" s="40"/>
      <c r="K465" s="5">
        <v>1923.0769230769231</v>
      </c>
      <c r="L465" s="157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2">
        <v>0</v>
      </c>
      <c r="F466" s="39"/>
      <c r="G466" s="40"/>
      <c r="H466" s="182">
        <v>0</v>
      </c>
      <c r="I466" s="39"/>
      <c r="J466" s="40"/>
      <c r="K466" s="5">
        <v>1923.0769230769231</v>
      </c>
      <c r="L466" s="157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2">
        <v>0</v>
      </c>
      <c r="F467" s="39"/>
      <c r="G467" s="40"/>
      <c r="H467" s="182">
        <v>0</v>
      </c>
      <c r="I467" s="39"/>
      <c r="J467" s="40"/>
      <c r="K467" s="5">
        <v>1923.0769230769231</v>
      </c>
      <c r="L467" s="157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2">
        <v>0</v>
      </c>
      <c r="F468" s="39"/>
      <c r="G468" s="40"/>
      <c r="H468" s="182">
        <v>0</v>
      </c>
      <c r="I468" s="39"/>
      <c r="J468" s="40"/>
      <c r="K468" s="5">
        <v>1923.0769230769231</v>
      </c>
      <c r="L468" s="157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2">
        <v>0</v>
      </c>
      <c r="F469" s="39"/>
      <c r="G469" s="40"/>
      <c r="H469" s="182">
        <v>0</v>
      </c>
      <c r="I469" s="39"/>
      <c r="J469" s="40"/>
      <c r="K469" s="5">
        <v>0</v>
      </c>
      <c r="L469" s="157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2">
        <v>0</v>
      </c>
      <c r="F470" s="39"/>
      <c r="G470" s="40"/>
      <c r="H470" s="182">
        <v>0</v>
      </c>
      <c r="I470" s="39"/>
      <c r="J470" s="40"/>
      <c r="K470" s="5">
        <v>1923.0769230769231</v>
      </c>
      <c r="L470" s="157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2">
        <v>0</v>
      </c>
      <c r="F471" s="39"/>
      <c r="G471" s="40"/>
      <c r="H471" s="182">
        <v>0</v>
      </c>
      <c r="I471" s="39"/>
      <c r="J471" s="40"/>
      <c r="K471" s="5">
        <v>1923.0769230769231</v>
      </c>
      <c r="L471" s="157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2">
        <v>0</v>
      </c>
      <c r="F472" s="39"/>
      <c r="G472" s="40"/>
      <c r="H472" s="182">
        <v>0</v>
      </c>
      <c r="I472" s="39"/>
      <c r="J472" s="40"/>
      <c r="K472" s="5">
        <v>1923.0769230769231</v>
      </c>
      <c r="L472" s="157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2">
        <v>0</v>
      </c>
      <c r="F473" s="39"/>
      <c r="G473" s="40"/>
      <c r="H473" s="182">
        <v>0</v>
      </c>
      <c r="I473" s="39"/>
      <c r="J473" s="40"/>
      <c r="K473" s="5">
        <v>1923.0769230769231</v>
      </c>
      <c r="L473" s="157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2">
        <v>0</v>
      </c>
      <c r="F474" s="39"/>
      <c r="G474" s="40"/>
      <c r="H474" s="182">
        <v>0</v>
      </c>
      <c r="I474" s="39"/>
      <c r="J474" s="40"/>
      <c r="K474" s="5">
        <v>1923.0769230769231</v>
      </c>
      <c r="L474" s="157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2">
        <v>0</v>
      </c>
      <c r="F475" s="39"/>
      <c r="G475" s="40"/>
      <c r="H475" s="182">
        <v>0</v>
      </c>
      <c r="I475" s="39"/>
      <c r="J475" s="40"/>
      <c r="K475" s="5">
        <v>1923.0769230769231</v>
      </c>
      <c r="L475" s="157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2">
        <v>0</v>
      </c>
      <c r="F476" s="39"/>
      <c r="G476" s="40"/>
      <c r="H476" s="182">
        <v>0</v>
      </c>
      <c r="I476" s="39"/>
      <c r="J476" s="40"/>
      <c r="K476" s="5">
        <v>0</v>
      </c>
      <c r="L476" s="157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2">
        <v>0</v>
      </c>
      <c r="F477" s="39"/>
      <c r="G477" s="40"/>
      <c r="H477" s="182">
        <v>0</v>
      </c>
      <c r="I477" s="39"/>
      <c r="J477" s="40"/>
      <c r="K477" s="5">
        <v>1923.0769230769231</v>
      </c>
      <c r="L477" s="157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2">
        <v>0</v>
      </c>
      <c r="F478" s="39"/>
      <c r="G478" s="40"/>
      <c r="H478" s="182">
        <v>0</v>
      </c>
      <c r="I478" s="39"/>
      <c r="J478" s="40"/>
      <c r="K478" s="5">
        <v>1923.0769230769231</v>
      </c>
      <c r="L478" s="157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2">
        <v>0</v>
      </c>
      <c r="F479" s="39"/>
      <c r="G479" s="40"/>
      <c r="H479" s="182">
        <v>0</v>
      </c>
      <c r="I479" s="39"/>
      <c r="J479" s="40"/>
      <c r="K479" s="5">
        <v>1923.0769230769231</v>
      </c>
      <c r="L479" s="157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2">
        <v>0</v>
      </c>
      <c r="F480" s="39"/>
      <c r="G480" s="40"/>
      <c r="H480" s="182">
        <v>0</v>
      </c>
      <c r="I480" s="39"/>
      <c r="J480" s="40"/>
      <c r="K480" s="5">
        <v>1923.0769230769231</v>
      </c>
      <c r="L480" s="157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2">
        <v>0</v>
      </c>
      <c r="F481" s="39"/>
      <c r="G481" s="40"/>
      <c r="H481" s="182">
        <v>0</v>
      </c>
      <c r="I481" s="39"/>
      <c r="J481" s="40"/>
      <c r="K481" s="5">
        <v>1923.0769230769231</v>
      </c>
      <c r="L481" s="157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2">
        <v>0</v>
      </c>
      <c r="F482" s="39"/>
      <c r="G482" s="40"/>
      <c r="H482" s="182">
        <v>0</v>
      </c>
      <c r="I482" s="39"/>
      <c r="J482" s="40"/>
      <c r="K482" s="5">
        <v>1923.0769230769231</v>
      </c>
      <c r="L482" s="157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2">
        <v>0</v>
      </c>
      <c r="F483" s="39"/>
      <c r="G483" s="40"/>
      <c r="H483" s="182">
        <v>0</v>
      </c>
      <c r="I483" s="39"/>
      <c r="J483" s="40"/>
      <c r="K483" s="5">
        <v>0</v>
      </c>
      <c r="L483" s="157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2">
        <v>0</v>
      </c>
      <c r="F484" s="39"/>
      <c r="G484" s="40"/>
      <c r="H484" s="182">
        <v>0</v>
      </c>
      <c r="I484" s="39"/>
      <c r="J484" s="40"/>
      <c r="K484" s="5">
        <v>1923.0769230769231</v>
      </c>
      <c r="L484" s="157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2">
        <v>0</v>
      </c>
      <c r="F485" s="39"/>
      <c r="G485" s="40"/>
      <c r="H485" s="182">
        <v>0</v>
      </c>
      <c r="I485" s="39"/>
      <c r="J485" s="40"/>
      <c r="K485" s="5">
        <v>1923.0769230769231</v>
      </c>
      <c r="L485" s="157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2">
        <v>0</v>
      </c>
      <c r="F486" s="39"/>
      <c r="G486" s="40"/>
      <c r="H486" s="182">
        <v>0</v>
      </c>
      <c r="I486" s="39"/>
      <c r="J486" s="40"/>
      <c r="K486" s="5">
        <v>1923.0769230769231</v>
      </c>
      <c r="L486" s="157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2">
        <v>0</v>
      </c>
      <c r="F487" s="39"/>
      <c r="G487" s="40"/>
      <c r="H487" s="182">
        <v>0</v>
      </c>
      <c r="I487" s="39"/>
      <c r="J487" s="40"/>
      <c r="K487" s="5">
        <v>1923.0769230769231</v>
      </c>
      <c r="L487" s="157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2">
        <v>0</v>
      </c>
      <c r="F488" s="39"/>
      <c r="G488" s="40"/>
      <c r="H488" s="182">
        <v>0</v>
      </c>
      <c r="I488" s="39"/>
      <c r="J488" s="40"/>
      <c r="K488" s="5">
        <v>1923.0769230769231</v>
      </c>
      <c r="L488" s="157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2">
        <v>0</v>
      </c>
      <c r="F489" s="39"/>
      <c r="G489" s="40"/>
      <c r="H489" s="182">
        <v>0</v>
      </c>
      <c r="I489" s="39"/>
      <c r="J489" s="40"/>
      <c r="K489" s="5">
        <v>1923.0769230769231</v>
      </c>
      <c r="L489" s="157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2">
        <v>0</v>
      </c>
      <c r="F490" s="39"/>
      <c r="G490" s="40"/>
      <c r="H490" s="182">
        <v>0</v>
      </c>
      <c r="I490" s="39"/>
      <c r="J490" s="40"/>
      <c r="K490" s="5">
        <v>0</v>
      </c>
      <c r="L490" s="157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2">
        <v>0</v>
      </c>
      <c r="F491" s="39"/>
      <c r="G491" s="40"/>
      <c r="H491" s="182">
        <v>0</v>
      </c>
      <c r="I491" s="39"/>
      <c r="J491" s="40"/>
      <c r="K491" s="5">
        <v>1923.0769230769231</v>
      </c>
      <c r="L491" s="157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2">
        <v>0</v>
      </c>
      <c r="F492" s="39"/>
      <c r="G492" s="40"/>
      <c r="H492" s="182">
        <v>0</v>
      </c>
      <c r="I492" s="39"/>
      <c r="J492" s="40"/>
      <c r="K492" s="5">
        <v>1923.0769230769231</v>
      </c>
      <c r="L492" s="157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2">
        <v>0</v>
      </c>
      <c r="F493" s="39"/>
      <c r="G493" s="40"/>
      <c r="H493" s="182">
        <v>0</v>
      </c>
      <c r="I493" s="39"/>
      <c r="J493" s="40"/>
      <c r="K493" s="5">
        <v>1923.0769230769231</v>
      </c>
      <c r="L493" s="157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2">
        <v>0</v>
      </c>
      <c r="F494" s="39"/>
      <c r="G494" s="40"/>
      <c r="H494" s="182">
        <v>0</v>
      </c>
      <c r="I494" s="39"/>
      <c r="J494" s="40"/>
      <c r="K494" s="5">
        <v>1923.0769230769231</v>
      </c>
      <c r="L494" s="157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2">
        <v>0</v>
      </c>
      <c r="F495" s="39"/>
      <c r="G495" s="40"/>
      <c r="H495" s="182">
        <v>0</v>
      </c>
      <c r="I495" s="39"/>
      <c r="J495" s="40"/>
      <c r="K495" s="5">
        <v>1923.0769230769231</v>
      </c>
      <c r="L495" s="157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2">
        <v>0</v>
      </c>
      <c r="F496" s="39"/>
      <c r="G496" s="40"/>
      <c r="H496" s="182">
        <v>0</v>
      </c>
      <c r="I496" s="39"/>
      <c r="J496" s="40"/>
      <c r="K496" s="5">
        <v>1923.0769230769231</v>
      </c>
      <c r="L496" s="157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2">
        <v>0</v>
      </c>
      <c r="F497" s="39"/>
      <c r="G497" s="40"/>
      <c r="H497" s="182">
        <v>0</v>
      </c>
      <c r="I497" s="39"/>
      <c r="J497" s="40"/>
      <c r="K497" s="5">
        <v>0</v>
      </c>
      <c r="L497" s="157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2">
        <v>0</v>
      </c>
      <c r="F498" s="39"/>
      <c r="G498" s="40"/>
      <c r="H498" s="182">
        <v>0</v>
      </c>
      <c r="I498" s="39"/>
      <c r="J498" s="40"/>
      <c r="K498" s="5">
        <v>1923.0769230769231</v>
      </c>
      <c r="L498" s="157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2">
        <v>0</v>
      </c>
      <c r="F499" s="39"/>
      <c r="G499" s="40"/>
      <c r="H499" s="182">
        <v>0</v>
      </c>
      <c r="I499" s="39"/>
      <c r="J499" s="40"/>
      <c r="K499" s="5">
        <v>1923.0769230769231</v>
      </c>
      <c r="L499" s="157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2">
        <v>0</v>
      </c>
      <c r="F500" s="39"/>
      <c r="G500" s="40"/>
      <c r="H500" s="182">
        <v>0</v>
      </c>
      <c r="I500" s="39"/>
      <c r="J500" s="40"/>
      <c r="K500" s="5">
        <v>1923.0769230769231</v>
      </c>
      <c r="L500" s="157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2">
        <v>0</v>
      </c>
      <c r="F501" s="39"/>
      <c r="G501" s="40"/>
      <c r="H501" s="182">
        <v>0</v>
      </c>
      <c r="I501" s="39"/>
      <c r="J501" s="40"/>
      <c r="K501" s="5">
        <v>1923.0769230769231</v>
      </c>
      <c r="L501" s="157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2">
        <v>0</v>
      </c>
      <c r="F502" s="39"/>
      <c r="G502" s="40"/>
      <c r="H502" s="182">
        <v>0</v>
      </c>
      <c r="I502" s="39"/>
      <c r="J502" s="40"/>
      <c r="K502" s="5">
        <v>1923.0769230769231</v>
      </c>
      <c r="L502" s="157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2">
        <v>0</v>
      </c>
      <c r="F503" s="39"/>
      <c r="G503" s="40"/>
      <c r="H503" s="182">
        <v>0</v>
      </c>
      <c r="I503" s="39"/>
      <c r="J503" s="40"/>
      <c r="K503" s="5">
        <v>1923.0769230769231</v>
      </c>
      <c r="L503" s="157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2">
        <v>0</v>
      </c>
      <c r="F504" s="39"/>
      <c r="G504" s="40"/>
      <c r="H504" s="182">
        <v>0</v>
      </c>
      <c r="I504" s="39"/>
      <c r="J504" s="40"/>
      <c r="K504" s="5">
        <v>0</v>
      </c>
      <c r="L504" s="157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2">
        <v>0</v>
      </c>
      <c r="F505" s="39"/>
      <c r="G505" s="40"/>
      <c r="H505" s="182">
        <v>0</v>
      </c>
      <c r="I505" s="39"/>
      <c r="J505" s="40"/>
      <c r="K505" s="5">
        <v>1923.0769230769231</v>
      </c>
      <c r="L505" s="157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2">
        <v>0</v>
      </c>
      <c r="F506" s="39"/>
      <c r="G506" s="40"/>
      <c r="H506" s="182">
        <v>0</v>
      </c>
      <c r="I506" s="39"/>
      <c r="J506" s="40"/>
      <c r="K506" s="5">
        <v>1923.0769230769231</v>
      </c>
      <c r="L506" s="157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2">
        <v>0</v>
      </c>
      <c r="F507" s="39"/>
      <c r="G507" s="40"/>
      <c r="H507" s="182">
        <v>0</v>
      </c>
      <c r="I507" s="39"/>
      <c r="J507" s="40"/>
      <c r="K507" s="5">
        <v>1923.0769230769231</v>
      </c>
      <c r="L507" s="157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2">
        <v>0</v>
      </c>
      <c r="F508" s="39"/>
      <c r="G508" s="40"/>
      <c r="H508" s="182">
        <v>0</v>
      </c>
      <c r="I508" s="39"/>
      <c r="J508" s="40"/>
      <c r="K508" s="5">
        <v>1923.0769230769231</v>
      </c>
      <c r="L508" s="157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2">
        <v>0</v>
      </c>
      <c r="F509" s="39"/>
      <c r="G509" s="40"/>
      <c r="H509" s="182">
        <v>0</v>
      </c>
      <c r="I509" s="39"/>
      <c r="J509" s="40"/>
      <c r="K509" s="5">
        <v>1923.0769230769231</v>
      </c>
      <c r="L509" s="157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2">
        <v>0</v>
      </c>
      <c r="F510" s="39"/>
      <c r="G510" s="40"/>
      <c r="H510" s="182">
        <v>0</v>
      </c>
      <c r="I510" s="39"/>
      <c r="J510" s="40"/>
      <c r="K510" s="5">
        <v>1923.0769230769231</v>
      </c>
      <c r="L510" s="157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2">
        <v>0</v>
      </c>
      <c r="F511" s="39"/>
      <c r="G511" s="40"/>
      <c r="H511" s="182">
        <v>0</v>
      </c>
      <c r="I511" s="39"/>
      <c r="J511" s="40"/>
      <c r="K511" s="5">
        <v>0</v>
      </c>
      <c r="L511" s="157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2">
        <v>0</v>
      </c>
      <c r="F512" s="39"/>
      <c r="G512" s="40"/>
      <c r="H512" s="182">
        <v>0</v>
      </c>
      <c r="I512" s="39"/>
      <c r="J512" s="40"/>
      <c r="K512" s="5">
        <v>1923.0769230769231</v>
      </c>
      <c r="L512" s="157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2">
        <v>0</v>
      </c>
      <c r="F513" s="39"/>
      <c r="G513" s="40"/>
      <c r="H513" s="182">
        <v>0</v>
      </c>
      <c r="I513" s="39"/>
      <c r="J513" s="40"/>
      <c r="K513" s="5">
        <v>1923.0769230769231</v>
      </c>
      <c r="L513" s="157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2">
        <v>0</v>
      </c>
      <c r="F514" s="39"/>
      <c r="G514" s="40"/>
      <c r="H514" s="182">
        <v>0</v>
      </c>
      <c r="I514" s="39"/>
      <c r="J514" s="40"/>
      <c r="K514" s="5">
        <v>1923.0769230769231</v>
      </c>
      <c r="L514" s="157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2">
        <v>0</v>
      </c>
      <c r="F515" s="39"/>
      <c r="G515" s="40"/>
      <c r="H515" s="182">
        <v>0</v>
      </c>
      <c r="I515" s="39"/>
      <c r="J515" s="40"/>
      <c r="K515" s="5">
        <v>1923.0769230769231</v>
      </c>
      <c r="L515" s="157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2">
        <v>0</v>
      </c>
      <c r="F516" s="39"/>
      <c r="G516" s="40"/>
      <c r="H516" s="182">
        <v>0</v>
      </c>
      <c r="I516" s="39"/>
      <c r="J516" s="40"/>
      <c r="K516" s="5">
        <v>1923.0769230769231</v>
      </c>
      <c r="L516" s="157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2">
        <v>0</v>
      </c>
      <c r="F517" s="39"/>
      <c r="G517" s="40"/>
      <c r="H517" s="182">
        <v>0</v>
      </c>
      <c r="I517" s="39"/>
      <c r="J517" s="40"/>
      <c r="K517" s="5">
        <v>1923.0769230769231</v>
      </c>
      <c r="L517" s="157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2">
        <v>0</v>
      </c>
      <c r="F518" s="39"/>
      <c r="G518" s="40"/>
      <c r="H518" s="182">
        <v>0</v>
      </c>
      <c r="I518" s="39"/>
      <c r="J518" s="40"/>
      <c r="K518" s="5">
        <v>0</v>
      </c>
      <c r="L518" s="157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2">
        <v>0</v>
      </c>
      <c r="F519" s="39"/>
      <c r="G519" s="40"/>
      <c r="H519" s="182">
        <v>0</v>
      </c>
      <c r="I519" s="39"/>
      <c r="J519" s="40"/>
      <c r="K519" s="5">
        <v>1923.0769230769231</v>
      </c>
      <c r="L519" s="157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2">
        <v>0</v>
      </c>
      <c r="F520" s="39"/>
      <c r="G520" s="40"/>
      <c r="H520" s="182">
        <v>0</v>
      </c>
      <c r="I520" s="39"/>
      <c r="J520" s="40"/>
      <c r="K520" s="5">
        <v>1923.0769230769231</v>
      </c>
      <c r="L520" s="157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2">
        <v>0</v>
      </c>
      <c r="F521" s="39"/>
      <c r="G521" s="40"/>
      <c r="H521" s="182">
        <v>0</v>
      </c>
      <c r="I521" s="39"/>
      <c r="J521" s="40"/>
      <c r="K521" s="5">
        <v>1923.0769230769231</v>
      </c>
      <c r="L521" s="157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2">
        <v>0</v>
      </c>
      <c r="F522" s="39"/>
      <c r="G522" s="40"/>
      <c r="H522" s="182">
        <v>0</v>
      </c>
      <c r="I522" s="39"/>
      <c r="J522" s="40"/>
      <c r="K522" s="5">
        <v>1923.0769230769231</v>
      </c>
      <c r="L522" s="157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2">
        <v>0</v>
      </c>
      <c r="F523" s="39"/>
      <c r="G523" s="40"/>
      <c r="H523" s="182">
        <v>0</v>
      </c>
      <c r="I523" s="39"/>
      <c r="J523" s="40"/>
      <c r="K523" s="5">
        <v>1923.0769230769231</v>
      </c>
      <c r="L523" s="157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2">
        <v>0</v>
      </c>
      <c r="F524" s="39"/>
      <c r="G524" s="40"/>
      <c r="H524" s="182">
        <v>0</v>
      </c>
      <c r="I524" s="39"/>
      <c r="J524" s="40"/>
      <c r="K524" s="5">
        <v>1923.0769230769231</v>
      </c>
      <c r="L524" s="157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2">
        <v>0</v>
      </c>
      <c r="F525" s="39"/>
      <c r="G525" s="40"/>
      <c r="H525" s="182">
        <v>0</v>
      </c>
      <c r="I525" s="39"/>
      <c r="J525" s="40"/>
      <c r="K525" s="5">
        <v>0</v>
      </c>
      <c r="L525" s="157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2">
        <v>0</v>
      </c>
      <c r="F526" s="39"/>
      <c r="G526" s="40"/>
      <c r="H526" s="182">
        <v>0</v>
      </c>
      <c r="I526" s="39"/>
      <c r="J526" s="40"/>
      <c r="K526" s="5">
        <v>1923.0769230769231</v>
      </c>
      <c r="L526" s="157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2">
        <v>0</v>
      </c>
      <c r="F527" s="39"/>
      <c r="G527" s="40"/>
      <c r="H527" s="182">
        <v>0</v>
      </c>
      <c r="I527" s="39"/>
      <c r="J527" s="40"/>
      <c r="K527" s="5">
        <v>1923.0769230769231</v>
      </c>
      <c r="L527" s="157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2">
        <v>0</v>
      </c>
      <c r="F528" s="39"/>
      <c r="G528" s="40"/>
      <c r="H528" s="182">
        <v>0</v>
      </c>
      <c r="I528" s="39"/>
      <c r="J528" s="40"/>
      <c r="K528" s="5">
        <v>1923.0769230769231</v>
      </c>
      <c r="L528" s="157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2">
        <v>0</v>
      </c>
      <c r="F529" s="39"/>
      <c r="G529" s="40"/>
      <c r="H529" s="182">
        <v>0</v>
      </c>
      <c r="I529" s="39"/>
      <c r="J529" s="40"/>
      <c r="K529" s="5">
        <v>1923.0769230769231</v>
      </c>
      <c r="L529" s="157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2">
        <v>0</v>
      </c>
      <c r="F530" s="39"/>
      <c r="G530" s="40"/>
      <c r="H530" s="182">
        <v>0</v>
      </c>
      <c r="I530" s="39"/>
      <c r="J530" s="40"/>
      <c r="K530" s="5">
        <v>1923.0769230769231</v>
      </c>
      <c r="L530" s="157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2">
        <v>0</v>
      </c>
      <c r="F531" s="39"/>
      <c r="G531" s="40"/>
      <c r="H531" s="182">
        <v>0</v>
      </c>
      <c r="I531" s="39"/>
      <c r="J531" s="40"/>
      <c r="K531" s="5">
        <v>1923.0769230769231</v>
      </c>
      <c r="L531" s="157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2">
        <v>0</v>
      </c>
      <c r="F532" s="39"/>
      <c r="G532" s="40"/>
      <c r="H532" s="182">
        <v>0</v>
      </c>
      <c r="I532" s="39"/>
      <c r="J532" s="40"/>
      <c r="K532" s="5">
        <v>0</v>
      </c>
      <c r="L532" s="157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2">
        <v>0</v>
      </c>
      <c r="F533" s="39"/>
      <c r="G533" s="40"/>
      <c r="H533" s="182">
        <v>0</v>
      </c>
      <c r="I533" s="39"/>
      <c r="J533" s="40"/>
      <c r="K533" s="5">
        <v>1923.0769230769231</v>
      </c>
      <c r="L533" s="157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2">
        <v>0</v>
      </c>
      <c r="F534" s="39"/>
      <c r="G534" s="40"/>
      <c r="H534" s="182">
        <v>0</v>
      </c>
      <c r="I534" s="39"/>
      <c r="J534" s="40"/>
      <c r="K534" s="5">
        <v>1923.0769230769231</v>
      </c>
      <c r="L534" s="157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2">
        <v>0</v>
      </c>
      <c r="F535" s="39"/>
      <c r="G535" s="40"/>
      <c r="H535" s="182">
        <v>0</v>
      </c>
      <c r="I535" s="39"/>
      <c r="J535" s="40"/>
      <c r="K535" s="5">
        <v>1923.0769230769231</v>
      </c>
      <c r="L535" s="157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2">
        <v>0</v>
      </c>
      <c r="F536" s="39"/>
      <c r="G536" s="40"/>
      <c r="H536" s="182">
        <v>0</v>
      </c>
      <c r="I536" s="39"/>
      <c r="J536" s="40"/>
      <c r="K536" s="5">
        <v>1923.0769230769231</v>
      </c>
      <c r="L536" s="157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2">
        <v>0</v>
      </c>
      <c r="F537" s="39"/>
      <c r="G537" s="40"/>
      <c r="H537" s="182">
        <v>0</v>
      </c>
      <c r="I537" s="39"/>
      <c r="J537" s="40"/>
      <c r="K537" s="5">
        <v>1923.0769230769231</v>
      </c>
      <c r="L537" s="157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2">
        <v>0</v>
      </c>
      <c r="F538" s="39"/>
      <c r="G538" s="40"/>
      <c r="H538" s="182">
        <v>0</v>
      </c>
      <c r="I538" s="39"/>
      <c r="J538" s="40"/>
      <c r="K538" s="5">
        <v>1923.0769230769231</v>
      </c>
      <c r="L538" s="157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2">
        <v>0</v>
      </c>
      <c r="F539" s="39"/>
      <c r="G539" s="40"/>
      <c r="H539" s="182">
        <v>0</v>
      </c>
      <c r="I539" s="39"/>
      <c r="J539" s="40"/>
      <c r="K539" s="5">
        <v>0</v>
      </c>
      <c r="L539" s="157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2">
        <v>0</v>
      </c>
      <c r="F540" s="39"/>
      <c r="G540" s="40"/>
      <c r="H540" s="182">
        <v>0</v>
      </c>
      <c r="I540" s="39"/>
      <c r="J540" s="40"/>
      <c r="K540" s="5">
        <v>1923.0769230769231</v>
      </c>
      <c r="L540" s="157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2">
        <v>0</v>
      </c>
      <c r="F541" s="39"/>
      <c r="G541" s="40"/>
      <c r="H541" s="182">
        <v>0</v>
      </c>
      <c r="I541" s="39"/>
      <c r="J541" s="40"/>
      <c r="K541" s="5">
        <v>1923.0769230769231</v>
      </c>
      <c r="L541" s="157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2">
        <v>0</v>
      </c>
      <c r="F542" s="39"/>
      <c r="G542" s="40"/>
      <c r="H542" s="182">
        <v>0</v>
      </c>
      <c r="I542" s="39"/>
      <c r="J542" s="40"/>
      <c r="K542" s="5">
        <v>1923.0769230769231</v>
      </c>
      <c r="L542" s="157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2">
        <v>0</v>
      </c>
      <c r="F543" s="39"/>
      <c r="G543" s="40"/>
      <c r="H543" s="182">
        <v>0</v>
      </c>
      <c r="I543" s="39"/>
      <c r="J543" s="40"/>
      <c r="K543" s="5">
        <v>1923.0769230769231</v>
      </c>
      <c r="L543" s="157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2">
        <v>0</v>
      </c>
      <c r="F544" s="39"/>
      <c r="G544" s="40"/>
      <c r="H544" s="182">
        <v>0</v>
      </c>
      <c r="I544" s="39"/>
      <c r="J544" s="40"/>
      <c r="K544" s="5">
        <v>1923.0769230769231</v>
      </c>
      <c r="L544" s="157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2">
        <v>0</v>
      </c>
      <c r="F545" s="39"/>
      <c r="G545" s="40"/>
      <c r="H545" s="182">
        <v>0</v>
      </c>
      <c r="I545" s="39"/>
      <c r="J545" s="40"/>
      <c r="K545" s="5">
        <v>1923.0769230769231</v>
      </c>
      <c r="L545" s="157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2">
        <v>0</v>
      </c>
      <c r="F546" s="39"/>
      <c r="G546" s="40"/>
      <c r="H546" s="182">
        <v>0</v>
      </c>
      <c r="I546" s="39"/>
      <c r="J546" s="40"/>
      <c r="K546" s="5">
        <v>0</v>
      </c>
      <c r="L546" s="157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2">
        <v>0</v>
      </c>
      <c r="F547" s="39"/>
      <c r="G547" s="40"/>
      <c r="H547" s="182">
        <v>0</v>
      </c>
      <c r="I547" s="39"/>
      <c r="J547" s="40"/>
      <c r="K547" s="5">
        <v>1923.0769230769231</v>
      </c>
      <c r="L547" s="157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2">
        <v>0</v>
      </c>
      <c r="F548" s="39"/>
      <c r="G548" s="40"/>
      <c r="H548" s="182">
        <v>0</v>
      </c>
      <c r="I548" s="39"/>
      <c r="J548" s="40"/>
      <c r="K548" s="5">
        <v>1923.0769230769231</v>
      </c>
      <c r="L548" s="157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2">
        <v>0</v>
      </c>
      <c r="F549" s="39"/>
      <c r="G549" s="40"/>
      <c r="H549" s="182">
        <v>0</v>
      </c>
      <c r="I549" s="39"/>
      <c r="J549" s="40"/>
      <c r="K549" s="5">
        <v>1923.0769230769231</v>
      </c>
      <c r="L549" s="157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2">
        <v>0</v>
      </c>
      <c r="F550" s="39"/>
      <c r="G550" s="40"/>
      <c r="H550" s="182">
        <v>0</v>
      </c>
      <c r="I550" s="39"/>
      <c r="J550" s="40"/>
      <c r="K550" s="5">
        <v>1851.851851851852</v>
      </c>
      <c r="L550" s="157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2">
        <v>0</v>
      </c>
      <c r="F551" s="39"/>
      <c r="G551" s="40"/>
      <c r="H551" s="182">
        <v>0</v>
      </c>
      <c r="I551" s="39"/>
      <c r="J551" s="40"/>
      <c r="K551" s="5">
        <v>1851.851851851852</v>
      </c>
      <c r="L551" s="157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2">
        <v>0</v>
      </c>
      <c r="F552" s="39"/>
      <c r="G552" s="40"/>
      <c r="H552" s="182">
        <v>0</v>
      </c>
      <c r="I552" s="39"/>
      <c r="J552" s="40"/>
      <c r="K552" s="5">
        <v>1851.851851851852</v>
      </c>
      <c r="L552" s="157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2">
        <v>0</v>
      </c>
      <c r="F553" s="39"/>
      <c r="G553" s="40"/>
      <c r="H553" s="182">
        <v>0</v>
      </c>
      <c r="I553" s="39"/>
      <c r="J553" s="40"/>
      <c r="K553" s="5">
        <v>0</v>
      </c>
      <c r="L553" s="157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2">
        <v>0</v>
      </c>
      <c r="F554" s="39"/>
      <c r="G554" s="40"/>
      <c r="H554" s="182">
        <v>0</v>
      </c>
      <c r="I554" s="39"/>
      <c r="J554" s="40"/>
      <c r="K554" s="5">
        <v>1851.851851851852</v>
      </c>
      <c r="L554" s="157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2">
        <v>0</v>
      </c>
      <c r="F555" s="39"/>
      <c r="G555" s="40"/>
      <c r="H555" s="182">
        <v>0</v>
      </c>
      <c r="I555" s="39"/>
      <c r="J555" s="40"/>
      <c r="K555" s="5">
        <v>1851.851851851852</v>
      </c>
      <c r="L555" s="157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2">
        <v>0</v>
      </c>
      <c r="F556" s="39"/>
      <c r="G556" s="40"/>
      <c r="H556" s="182">
        <v>0</v>
      </c>
      <c r="I556" s="39"/>
      <c r="J556" s="40"/>
      <c r="K556" s="5">
        <v>1851.851851851852</v>
      </c>
      <c r="L556" s="157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2">
        <v>0</v>
      </c>
      <c r="F557" s="39"/>
      <c r="G557" s="40"/>
      <c r="H557" s="182">
        <v>0</v>
      </c>
      <c r="I557" s="39"/>
      <c r="J557" s="40"/>
      <c r="K557" s="5">
        <v>1851.851851851852</v>
      </c>
      <c r="L557" s="157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2">
        <v>0</v>
      </c>
      <c r="F558" s="39"/>
      <c r="G558" s="40"/>
      <c r="H558" s="182">
        <v>0</v>
      </c>
      <c r="I558" s="39"/>
      <c r="J558" s="40"/>
      <c r="K558" s="5">
        <v>1851.851851851852</v>
      </c>
      <c r="L558" s="157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2">
        <v>0</v>
      </c>
      <c r="F559" s="39"/>
      <c r="G559" s="40"/>
      <c r="H559" s="182">
        <v>0</v>
      </c>
      <c r="I559" s="39"/>
      <c r="J559" s="40"/>
      <c r="K559" s="5">
        <v>1851.851851851852</v>
      </c>
      <c r="L559" s="157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2">
        <v>0</v>
      </c>
      <c r="F560" s="39"/>
      <c r="G560" s="40"/>
      <c r="H560" s="182">
        <v>0</v>
      </c>
      <c r="I560" s="39"/>
      <c r="J560" s="40"/>
      <c r="K560" s="5">
        <v>0</v>
      </c>
      <c r="L560" s="157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2">
        <v>0</v>
      </c>
      <c r="F561" s="39"/>
      <c r="G561" s="40"/>
      <c r="H561" s="182">
        <v>0</v>
      </c>
      <c r="I561" s="39"/>
      <c r="J561" s="40"/>
      <c r="K561" s="5">
        <v>1851.851851851852</v>
      </c>
      <c r="L561" s="157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2">
        <v>0</v>
      </c>
      <c r="F562" s="39"/>
      <c r="G562" s="40"/>
      <c r="H562" s="182">
        <v>0</v>
      </c>
      <c r="I562" s="39"/>
      <c r="J562" s="40"/>
      <c r="K562" s="5">
        <v>1851.851851851852</v>
      </c>
      <c r="L562" s="157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2">
        <v>0</v>
      </c>
      <c r="F563" s="39"/>
      <c r="G563" s="40"/>
      <c r="H563" s="182">
        <v>0</v>
      </c>
      <c r="I563" s="39"/>
      <c r="J563" s="40"/>
      <c r="K563" s="5">
        <v>1851.851851851852</v>
      </c>
      <c r="L563" s="157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2">
        <v>0</v>
      </c>
      <c r="F564" s="39"/>
      <c r="G564" s="40"/>
      <c r="H564" s="182">
        <v>0</v>
      </c>
      <c r="I564" s="39"/>
      <c r="J564" s="40"/>
      <c r="K564" s="5">
        <v>1851.851851851852</v>
      </c>
      <c r="L564" s="157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2">
        <v>0</v>
      </c>
      <c r="F565" s="39"/>
      <c r="G565" s="40"/>
      <c r="H565" s="182">
        <v>0</v>
      </c>
      <c r="I565" s="39"/>
      <c r="J565" s="40"/>
      <c r="K565" s="5">
        <v>1851.851851851852</v>
      </c>
      <c r="L565" s="157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2">
        <v>0</v>
      </c>
      <c r="F566" s="39"/>
      <c r="G566" s="40"/>
      <c r="H566" s="182">
        <v>0</v>
      </c>
      <c r="I566" s="39"/>
      <c r="J566" s="40"/>
      <c r="K566" s="5">
        <v>1851.851851851852</v>
      </c>
      <c r="L566" s="157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2">
        <v>0</v>
      </c>
      <c r="F567" s="39"/>
      <c r="G567" s="40"/>
      <c r="H567" s="182">
        <v>0</v>
      </c>
      <c r="I567" s="39"/>
      <c r="J567" s="40"/>
      <c r="K567" s="5">
        <v>0</v>
      </c>
      <c r="L567" s="157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2">
        <v>0</v>
      </c>
      <c r="F568" s="39"/>
      <c r="G568" s="40"/>
      <c r="H568" s="182">
        <v>0</v>
      </c>
      <c r="I568" s="39"/>
      <c r="J568" s="40"/>
      <c r="K568" s="5">
        <v>1851.851851851852</v>
      </c>
      <c r="L568" s="157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2">
        <v>0</v>
      </c>
      <c r="F569" s="39"/>
      <c r="G569" s="40"/>
      <c r="H569" s="182">
        <v>0</v>
      </c>
      <c r="I569" s="39"/>
      <c r="J569" s="40"/>
      <c r="K569" s="5">
        <v>1851.851851851852</v>
      </c>
      <c r="L569" s="157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2">
        <v>0</v>
      </c>
      <c r="F570" s="39"/>
      <c r="G570" s="40"/>
      <c r="H570" s="182">
        <v>0</v>
      </c>
      <c r="I570" s="39"/>
      <c r="J570" s="40"/>
      <c r="K570" s="5">
        <v>1851.851851851852</v>
      </c>
      <c r="L570" s="157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2">
        <v>0</v>
      </c>
      <c r="F571" s="39"/>
      <c r="G571" s="40"/>
      <c r="H571" s="182">
        <v>0</v>
      </c>
      <c r="I571" s="39"/>
      <c r="J571" s="40"/>
      <c r="K571" s="5">
        <v>1851.851851851852</v>
      </c>
      <c r="L571" s="157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2">
        <v>0</v>
      </c>
      <c r="F572" s="39"/>
      <c r="G572" s="40"/>
      <c r="H572" s="182">
        <v>0</v>
      </c>
      <c r="I572" s="39"/>
      <c r="J572" s="40"/>
      <c r="K572" s="5">
        <v>1851.851851851852</v>
      </c>
      <c r="L572" s="157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2">
        <v>0</v>
      </c>
      <c r="F573" s="39"/>
      <c r="G573" s="40"/>
      <c r="H573" s="182">
        <v>0</v>
      </c>
      <c r="I573" s="39"/>
      <c r="J573" s="40"/>
      <c r="K573" s="5">
        <v>1851.851851851852</v>
      </c>
      <c r="L573" s="157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2">
        <v>0</v>
      </c>
      <c r="F574" s="39"/>
      <c r="G574" s="40"/>
      <c r="H574" s="182">
        <v>0</v>
      </c>
      <c r="I574" s="39"/>
      <c r="J574" s="40"/>
      <c r="K574" s="5">
        <v>0</v>
      </c>
      <c r="L574" s="157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2">
        <v>0</v>
      </c>
      <c r="F575" s="39"/>
      <c r="G575" s="40"/>
      <c r="H575" s="182">
        <v>0</v>
      </c>
      <c r="I575" s="39"/>
      <c r="J575" s="40"/>
      <c r="K575" s="5">
        <v>1851.851851851852</v>
      </c>
      <c r="L575" s="157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2">
        <v>0</v>
      </c>
      <c r="F576" s="39"/>
      <c r="G576" s="40"/>
      <c r="H576" s="182">
        <v>0</v>
      </c>
      <c r="I576" s="39"/>
      <c r="J576" s="40"/>
      <c r="K576" s="5">
        <v>1851.851851851852</v>
      </c>
      <c r="L576" s="157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2">
        <v>0</v>
      </c>
      <c r="F577" s="39"/>
      <c r="G577" s="40"/>
      <c r="H577" s="182">
        <v>0</v>
      </c>
      <c r="I577" s="39"/>
      <c r="J577" s="40"/>
      <c r="K577" s="5">
        <v>1851.851851851852</v>
      </c>
      <c r="L577" s="157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2">
        <v>0</v>
      </c>
      <c r="F578" s="39"/>
      <c r="G578" s="40"/>
      <c r="H578" s="182">
        <v>0</v>
      </c>
      <c r="I578" s="39"/>
      <c r="J578" s="40"/>
      <c r="K578" s="5">
        <v>1851.851851851852</v>
      </c>
      <c r="L578" s="157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2">
        <v>0</v>
      </c>
      <c r="F579" s="39"/>
      <c r="G579" s="40"/>
      <c r="H579" s="182">
        <v>0</v>
      </c>
      <c r="I579" s="39"/>
      <c r="J579" s="40"/>
      <c r="K579" s="5">
        <v>1851.851851851852</v>
      </c>
      <c r="L579" s="157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2">
        <v>0</v>
      </c>
      <c r="F580" s="39"/>
      <c r="G580" s="40"/>
      <c r="H580" s="182">
        <v>0</v>
      </c>
      <c r="I580" s="39"/>
      <c r="J580" s="40"/>
      <c r="K580" s="5">
        <v>1851.851851851852</v>
      </c>
      <c r="L580" s="157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2">
        <v>0</v>
      </c>
      <c r="F581" s="39"/>
      <c r="G581" s="40"/>
      <c r="H581" s="182">
        <v>0</v>
      </c>
      <c r="I581" s="39"/>
      <c r="J581" s="40"/>
      <c r="K581" s="5">
        <v>0</v>
      </c>
      <c r="L581" s="157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2">
        <v>0</v>
      </c>
      <c r="F582" s="39"/>
      <c r="G582" s="40"/>
      <c r="H582" s="182">
        <v>0</v>
      </c>
      <c r="I582" s="39"/>
      <c r="J582" s="40"/>
      <c r="K582" s="5">
        <v>1923.0769230769231</v>
      </c>
      <c r="L582" s="157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2">
        <v>0</v>
      </c>
      <c r="F583" s="39"/>
      <c r="G583" s="40"/>
      <c r="H583" s="182">
        <v>0</v>
      </c>
      <c r="I583" s="39"/>
      <c r="J583" s="40"/>
      <c r="K583" s="5">
        <v>1923.0769230769231</v>
      </c>
      <c r="L583" s="157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2">
        <v>0</v>
      </c>
      <c r="F584" s="39"/>
      <c r="G584" s="40"/>
      <c r="H584" s="182">
        <v>0</v>
      </c>
      <c r="I584" s="39"/>
      <c r="J584" s="40"/>
      <c r="K584" s="5">
        <v>1923.0769230769231</v>
      </c>
      <c r="L584" s="157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2">
        <v>0</v>
      </c>
      <c r="F585" s="39"/>
      <c r="G585" s="40"/>
      <c r="H585" s="182">
        <v>0</v>
      </c>
      <c r="I585" s="39"/>
      <c r="J585" s="40"/>
      <c r="K585" s="5">
        <v>1923.0769230769231</v>
      </c>
      <c r="L585" s="157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2">
        <v>0</v>
      </c>
      <c r="F586" s="39"/>
      <c r="G586" s="40"/>
      <c r="H586" s="182">
        <v>0</v>
      </c>
      <c r="I586" s="39"/>
      <c r="J586" s="40"/>
      <c r="K586" s="5">
        <v>1923.0769230769231</v>
      </c>
      <c r="L586" s="157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2">
        <v>0</v>
      </c>
      <c r="F587" s="39"/>
      <c r="G587" s="40"/>
      <c r="H587" s="182">
        <v>0</v>
      </c>
      <c r="I587" s="39"/>
      <c r="J587" s="40"/>
      <c r="K587" s="5">
        <v>1923.0769230769231</v>
      </c>
      <c r="L587" s="157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2">
        <v>0</v>
      </c>
      <c r="F588" s="39"/>
      <c r="G588" s="40"/>
      <c r="H588" s="182">
        <v>0</v>
      </c>
      <c r="I588" s="39"/>
      <c r="J588" s="40"/>
      <c r="K588" s="5">
        <v>0</v>
      </c>
      <c r="L588" s="157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2">
        <v>0</v>
      </c>
      <c r="F589" s="39"/>
      <c r="G589" s="40"/>
      <c r="H589" s="182">
        <v>0</v>
      </c>
      <c r="I589" s="39"/>
      <c r="J589" s="40"/>
      <c r="K589" s="5">
        <v>1923.0769230769231</v>
      </c>
      <c r="L589" s="157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2">
        <v>0</v>
      </c>
      <c r="F590" s="39"/>
      <c r="G590" s="40"/>
      <c r="H590" s="182">
        <v>0</v>
      </c>
      <c r="I590" s="39"/>
      <c r="J590" s="40"/>
      <c r="K590" s="5">
        <v>1923.0769230769231</v>
      </c>
      <c r="L590" s="157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2">
        <v>0</v>
      </c>
      <c r="F591" s="39"/>
      <c r="G591" s="40"/>
      <c r="H591" s="182">
        <v>0</v>
      </c>
      <c r="I591" s="39"/>
      <c r="J591" s="40"/>
      <c r="K591" s="5">
        <v>1923.0769230769231</v>
      </c>
      <c r="L591" s="157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2">
        <v>0</v>
      </c>
      <c r="F592" s="39"/>
      <c r="G592" s="40"/>
      <c r="H592" s="182">
        <v>0</v>
      </c>
      <c r="I592" s="39"/>
      <c r="J592" s="40"/>
      <c r="K592" s="5">
        <v>1923.0769230769231</v>
      </c>
      <c r="L592" s="157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2">
        <v>0</v>
      </c>
      <c r="F593" s="39"/>
      <c r="G593" s="40"/>
      <c r="H593" s="182">
        <v>0</v>
      </c>
      <c r="I593" s="39"/>
      <c r="J593" s="40"/>
      <c r="K593" s="5">
        <v>1923.0769230769231</v>
      </c>
      <c r="L593" s="157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2">
        <v>0</v>
      </c>
      <c r="F594" s="39"/>
      <c r="G594" s="40"/>
      <c r="H594" s="182">
        <v>0</v>
      </c>
      <c r="I594" s="39"/>
      <c r="J594" s="40"/>
      <c r="K594" s="5">
        <v>1923.0769230769231</v>
      </c>
      <c r="L594" s="157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2">
        <v>0</v>
      </c>
      <c r="F595" s="39"/>
      <c r="G595" s="40"/>
      <c r="H595" s="182">
        <v>0</v>
      </c>
      <c r="I595" s="39"/>
      <c r="J595" s="40"/>
      <c r="K595" s="5">
        <v>0</v>
      </c>
      <c r="L595" s="157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2">
        <v>0</v>
      </c>
      <c r="F596" s="39"/>
      <c r="G596" s="40"/>
      <c r="H596" s="182">
        <v>0</v>
      </c>
      <c r="I596" s="39"/>
      <c r="J596" s="40"/>
      <c r="K596" s="5">
        <v>1923.0769230769231</v>
      </c>
      <c r="L596" s="157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2">
        <v>0</v>
      </c>
      <c r="F597" s="39"/>
      <c r="G597" s="40"/>
      <c r="H597" s="182">
        <v>0</v>
      </c>
      <c r="I597" s="39"/>
      <c r="J597" s="40"/>
      <c r="K597" s="5">
        <v>1923.0769230769231</v>
      </c>
      <c r="L597" s="157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2">
        <v>0</v>
      </c>
      <c r="F598" s="39"/>
      <c r="G598" s="40"/>
      <c r="H598" s="182">
        <v>0</v>
      </c>
      <c r="I598" s="39"/>
      <c r="J598" s="40"/>
      <c r="K598" s="5">
        <v>1923.0769230769231</v>
      </c>
      <c r="L598" s="157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2">
        <v>0</v>
      </c>
      <c r="F599" s="39"/>
      <c r="G599" s="40"/>
      <c r="H599" s="182">
        <v>0</v>
      </c>
      <c r="I599" s="39"/>
      <c r="J599" s="40"/>
      <c r="K599" s="5">
        <v>1923.0769230769231</v>
      </c>
      <c r="L599" s="157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2">
        <v>0</v>
      </c>
      <c r="F600" s="39"/>
      <c r="G600" s="40"/>
      <c r="H600" s="182">
        <v>0</v>
      </c>
      <c r="I600" s="39"/>
      <c r="J600" s="40"/>
      <c r="K600" s="5">
        <v>1923.0769230769231</v>
      </c>
      <c r="L600" s="157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2">
        <v>0</v>
      </c>
      <c r="F601" s="39"/>
      <c r="G601" s="40"/>
      <c r="H601" s="182">
        <v>0</v>
      </c>
      <c r="I601" s="39"/>
      <c r="J601" s="40"/>
      <c r="K601" s="5">
        <v>1923.0769230769231</v>
      </c>
      <c r="L601" s="157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2">
        <v>0</v>
      </c>
      <c r="F602" s="39"/>
      <c r="G602" s="40"/>
      <c r="H602" s="182">
        <v>0</v>
      </c>
      <c r="I602" s="39"/>
      <c r="J602" s="40"/>
      <c r="K602" s="5">
        <v>0</v>
      </c>
      <c r="L602" s="157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2">
        <v>0</v>
      </c>
      <c r="F603" s="39"/>
      <c r="G603" s="40"/>
      <c r="H603" s="182">
        <v>0</v>
      </c>
      <c r="I603" s="39"/>
      <c r="J603" s="40"/>
      <c r="K603" s="5">
        <v>1923.0769230769231</v>
      </c>
      <c r="L603" s="157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2">
        <v>0</v>
      </c>
      <c r="F604" s="39"/>
      <c r="G604" s="40"/>
      <c r="H604" s="182">
        <v>0</v>
      </c>
      <c r="I604" s="39"/>
      <c r="J604" s="40"/>
      <c r="K604" s="5">
        <v>1923.0769230769231</v>
      </c>
      <c r="L604" s="157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2">
        <v>0</v>
      </c>
      <c r="F605" s="39"/>
      <c r="G605" s="40"/>
      <c r="H605" s="182">
        <v>0</v>
      </c>
      <c r="I605" s="39"/>
      <c r="J605" s="40"/>
      <c r="K605" s="5">
        <v>1923.0769230769231</v>
      </c>
      <c r="L605" s="157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2">
        <v>0</v>
      </c>
      <c r="F606" s="39"/>
      <c r="G606" s="40"/>
      <c r="H606" s="182">
        <v>0</v>
      </c>
      <c r="I606" s="39"/>
      <c r="J606" s="40"/>
      <c r="K606" s="5">
        <v>1923.0769230769231</v>
      </c>
      <c r="L606" s="157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2">
        <v>0</v>
      </c>
      <c r="F607" s="39"/>
      <c r="G607" s="40"/>
      <c r="H607" s="182">
        <v>0</v>
      </c>
      <c r="I607" s="39"/>
      <c r="J607" s="40"/>
      <c r="K607" s="5">
        <v>1923.0769230769231</v>
      </c>
      <c r="L607" s="157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2">
        <v>0</v>
      </c>
      <c r="F608" s="39"/>
      <c r="G608" s="40"/>
      <c r="H608" s="182">
        <v>0</v>
      </c>
      <c r="I608" s="39"/>
      <c r="J608" s="40"/>
      <c r="K608" s="5">
        <v>1923.0769230769231</v>
      </c>
      <c r="L608" s="157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2">
        <v>0</v>
      </c>
      <c r="F609" s="39"/>
      <c r="G609" s="40"/>
      <c r="H609" s="182">
        <v>0</v>
      </c>
      <c r="I609" s="39"/>
      <c r="J609" s="40"/>
      <c r="K609" s="5">
        <v>0</v>
      </c>
      <c r="L609" s="157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2">
        <v>0</v>
      </c>
      <c r="F610" s="39"/>
      <c r="G610" s="40"/>
      <c r="H610" s="182">
        <v>0</v>
      </c>
      <c r="I610" s="39"/>
      <c r="J610" s="40"/>
      <c r="K610" s="5">
        <v>1923.0769230769231</v>
      </c>
      <c r="L610" s="157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2">
        <v>0</v>
      </c>
      <c r="F611" s="39"/>
      <c r="G611" s="40"/>
      <c r="H611" s="182">
        <v>0</v>
      </c>
      <c r="I611" s="39"/>
      <c r="J611" s="40"/>
      <c r="K611" s="5">
        <v>1923.0769230769231</v>
      </c>
      <c r="L611" s="157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2">
        <v>0</v>
      </c>
      <c r="F612" s="39"/>
      <c r="G612" s="40"/>
      <c r="H612" s="182">
        <v>0</v>
      </c>
      <c r="I612" s="39"/>
      <c r="J612" s="40"/>
      <c r="K612" s="5">
        <v>1923.0769230769231</v>
      </c>
      <c r="L612" s="157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2">
        <v>0</v>
      </c>
      <c r="F613" s="39"/>
      <c r="G613" s="40"/>
      <c r="H613" s="182">
        <v>0</v>
      </c>
      <c r="I613" s="39"/>
      <c r="J613" s="40"/>
      <c r="K613" s="5">
        <v>1923.0769230769231</v>
      </c>
      <c r="L613" s="157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2">
        <v>0</v>
      </c>
      <c r="F614" s="39"/>
      <c r="G614" s="40"/>
      <c r="H614" s="182">
        <v>0</v>
      </c>
      <c r="I614" s="39"/>
      <c r="J614" s="40"/>
      <c r="K614" s="5">
        <v>1923.0769230769231</v>
      </c>
      <c r="L614" s="157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2">
        <v>0</v>
      </c>
      <c r="F615" s="39"/>
      <c r="G615" s="40"/>
      <c r="H615" s="182">
        <v>0</v>
      </c>
      <c r="I615" s="39"/>
      <c r="J615" s="40"/>
      <c r="K615" s="5">
        <v>1923.0769230769231</v>
      </c>
      <c r="L615" s="157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2">
        <v>0</v>
      </c>
      <c r="F616" s="39"/>
      <c r="G616" s="40"/>
      <c r="H616" s="182">
        <v>0</v>
      </c>
      <c r="I616" s="39"/>
      <c r="J616" s="40"/>
      <c r="K616" s="5">
        <v>0</v>
      </c>
      <c r="L616" s="157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2">
        <v>0</v>
      </c>
      <c r="F617" s="39"/>
      <c r="G617" s="40"/>
      <c r="H617" s="182">
        <v>0</v>
      </c>
      <c r="I617" s="39"/>
      <c r="J617" s="40"/>
      <c r="K617" s="5">
        <v>1923.0769230769231</v>
      </c>
      <c r="L617" s="157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2">
        <v>0</v>
      </c>
      <c r="F618" s="39"/>
      <c r="G618" s="40"/>
      <c r="H618" s="182">
        <v>0</v>
      </c>
      <c r="I618" s="39"/>
      <c r="J618" s="40"/>
      <c r="K618" s="5">
        <v>1923.0769230769231</v>
      </c>
      <c r="L618" s="157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2">
        <v>0</v>
      </c>
      <c r="F619" s="39"/>
      <c r="G619" s="40"/>
      <c r="H619" s="182">
        <v>0</v>
      </c>
      <c r="I619" s="39"/>
      <c r="J619" s="40"/>
      <c r="K619" s="5">
        <v>1923.0769230769231</v>
      </c>
      <c r="L619" s="157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2">
        <v>0</v>
      </c>
      <c r="F620" s="39"/>
      <c r="G620" s="40"/>
      <c r="H620" s="182">
        <v>0</v>
      </c>
      <c r="I620" s="39"/>
      <c r="J620" s="40"/>
      <c r="K620" s="5">
        <v>1923.0769230769231</v>
      </c>
      <c r="L620" s="157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2">
        <v>0</v>
      </c>
      <c r="F621" s="39"/>
      <c r="G621" s="40"/>
      <c r="H621" s="182">
        <v>0</v>
      </c>
      <c r="I621" s="39"/>
      <c r="J621" s="40"/>
      <c r="K621" s="5">
        <v>1923.0769230769231</v>
      </c>
      <c r="L621" s="157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2">
        <v>0</v>
      </c>
      <c r="F622" s="39"/>
      <c r="G622" s="40"/>
      <c r="H622" s="182">
        <v>0</v>
      </c>
      <c r="I622" s="39"/>
      <c r="J622" s="40"/>
      <c r="K622" s="5">
        <v>1923.0769230769231</v>
      </c>
      <c r="L622" s="157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2">
        <v>0</v>
      </c>
      <c r="F623" s="39"/>
      <c r="G623" s="40"/>
      <c r="H623" s="182">
        <v>0</v>
      </c>
      <c r="I623" s="39"/>
      <c r="J623" s="40"/>
      <c r="K623" s="5">
        <v>0</v>
      </c>
      <c r="L623" s="157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2">
        <v>0</v>
      </c>
      <c r="F624" s="39"/>
      <c r="G624" s="40"/>
      <c r="H624" s="182">
        <v>0</v>
      </c>
      <c r="I624" s="39"/>
      <c r="J624" s="40"/>
      <c r="K624" s="5">
        <v>1923.0769230769231</v>
      </c>
      <c r="L624" s="157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2">
        <v>0</v>
      </c>
      <c r="F625" s="39"/>
      <c r="G625" s="40"/>
      <c r="H625" s="182">
        <v>0</v>
      </c>
      <c r="I625" s="39"/>
      <c r="J625" s="40"/>
      <c r="K625" s="5">
        <v>1923.0769230769231</v>
      </c>
      <c r="L625" s="157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2">
        <v>0</v>
      </c>
      <c r="F626" s="39"/>
      <c r="G626" s="40"/>
      <c r="H626" s="182">
        <v>0</v>
      </c>
      <c r="I626" s="39"/>
      <c r="J626" s="40"/>
      <c r="K626" s="5">
        <v>1923.0769230769231</v>
      </c>
      <c r="L626" s="157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2">
        <v>0</v>
      </c>
      <c r="F627" s="39"/>
      <c r="G627" s="40"/>
      <c r="H627" s="182">
        <v>0</v>
      </c>
      <c r="I627" s="39"/>
      <c r="J627" s="40"/>
      <c r="K627" s="5">
        <v>1923.0769230769231</v>
      </c>
      <c r="L627" s="157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2">
        <v>0</v>
      </c>
      <c r="F628" s="39"/>
      <c r="G628" s="40"/>
      <c r="H628" s="182">
        <v>0</v>
      </c>
      <c r="I628" s="39"/>
      <c r="J628" s="40"/>
      <c r="K628" s="5">
        <v>1923.0769230769231</v>
      </c>
      <c r="L628" s="157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2">
        <v>0</v>
      </c>
      <c r="F629" s="39"/>
      <c r="G629" s="40"/>
      <c r="H629" s="182">
        <v>0</v>
      </c>
      <c r="I629" s="39"/>
      <c r="J629" s="40"/>
      <c r="K629" s="5">
        <v>1923.0769230769231</v>
      </c>
      <c r="L629" s="157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2">
        <v>0</v>
      </c>
      <c r="F630" s="39"/>
      <c r="G630" s="40"/>
      <c r="H630" s="182">
        <v>0</v>
      </c>
      <c r="I630" s="39"/>
      <c r="J630" s="40"/>
      <c r="K630" s="5">
        <v>0</v>
      </c>
      <c r="L630" s="157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2">
        <v>0</v>
      </c>
      <c r="F631" s="39"/>
      <c r="G631" s="40"/>
      <c r="H631" s="182">
        <v>0</v>
      </c>
      <c r="I631" s="39"/>
      <c r="J631" s="40"/>
      <c r="K631" s="5">
        <v>1923.0769230769231</v>
      </c>
      <c r="L631" s="157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2">
        <v>0</v>
      </c>
      <c r="F632" s="39"/>
      <c r="G632" s="40"/>
      <c r="H632" s="182">
        <v>0</v>
      </c>
      <c r="I632" s="39"/>
      <c r="J632" s="40"/>
      <c r="K632" s="5">
        <v>1923.0769230769231</v>
      </c>
      <c r="L632" s="157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2">
        <v>0</v>
      </c>
      <c r="F633" s="39"/>
      <c r="G633" s="40"/>
      <c r="H633" s="182">
        <v>0</v>
      </c>
      <c r="I633" s="39"/>
      <c r="J633" s="40"/>
      <c r="K633" s="5">
        <v>1923.0769230769231</v>
      </c>
      <c r="L633" s="157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2">
        <v>0</v>
      </c>
      <c r="F634" s="39"/>
      <c r="G634" s="40"/>
      <c r="H634" s="182">
        <v>0</v>
      </c>
      <c r="I634" s="39"/>
      <c r="J634" s="40"/>
      <c r="K634" s="5">
        <v>1923.0769230769231</v>
      </c>
      <c r="L634" s="157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2">
        <v>0</v>
      </c>
      <c r="F635" s="39"/>
      <c r="G635" s="40"/>
      <c r="H635" s="182">
        <v>0</v>
      </c>
      <c r="I635" s="39"/>
      <c r="J635" s="40"/>
      <c r="K635" s="5">
        <v>1923.0769230769231</v>
      </c>
      <c r="L635" s="157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2">
        <v>0</v>
      </c>
      <c r="F636" s="39"/>
      <c r="G636" s="40"/>
      <c r="H636" s="182">
        <v>0</v>
      </c>
      <c r="I636" s="39"/>
      <c r="J636" s="40"/>
      <c r="K636" s="5">
        <v>1923.0769230769231</v>
      </c>
      <c r="L636" s="157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2">
        <v>0</v>
      </c>
      <c r="F637" s="39"/>
      <c r="G637" s="40"/>
      <c r="H637" s="182">
        <v>0</v>
      </c>
      <c r="I637" s="39"/>
      <c r="J637" s="40"/>
      <c r="K637" s="5">
        <v>0</v>
      </c>
      <c r="L637" s="157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2">
        <v>0</v>
      </c>
      <c r="F638" s="39"/>
      <c r="G638" s="40"/>
      <c r="H638" s="182">
        <v>0</v>
      </c>
      <c r="I638" s="39"/>
      <c r="J638" s="40"/>
      <c r="K638" s="5">
        <v>1923.0769230769231</v>
      </c>
      <c r="L638" s="157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2">
        <v>0</v>
      </c>
      <c r="F639" s="39"/>
      <c r="G639" s="40"/>
      <c r="H639" s="182">
        <v>0</v>
      </c>
      <c r="I639" s="39"/>
      <c r="J639" s="40"/>
      <c r="K639" s="5">
        <v>1923.0769230769231</v>
      </c>
      <c r="L639" s="157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2">
        <v>0</v>
      </c>
      <c r="F640" s="39"/>
      <c r="G640" s="40"/>
      <c r="H640" s="182">
        <v>0</v>
      </c>
      <c r="I640" s="39"/>
      <c r="J640" s="40"/>
      <c r="K640" s="5">
        <v>1923.0769230769231</v>
      </c>
      <c r="L640" s="157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2">
        <v>0</v>
      </c>
      <c r="F641" s="39"/>
      <c r="G641" s="40"/>
      <c r="H641" s="182">
        <v>0</v>
      </c>
      <c r="I641" s="39"/>
      <c r="J641" s="40"/>
      <c r="K641" s="5">
        <v>1923.0769230769231</v>
      </c>
      <c r="L641" s="157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7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7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7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7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7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7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7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7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7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7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7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7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7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7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7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7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7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7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7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7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7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7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7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7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7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7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7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7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7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7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7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7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7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7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7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7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7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7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7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7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7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7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7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7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7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7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7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7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7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7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7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7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7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7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7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7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7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7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7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7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7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7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7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7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7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7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7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7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7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7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7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7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7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7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7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7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7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7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7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7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7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7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7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7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7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7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7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7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7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7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7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2">
        <v>0</v>
      </c>
      <c r="L733" s="163"/>
      <c r="M733" s="162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W17"/>
  <sheetViews>
    <sheetView topLeftCell="H1" workbookViewId="0">
      <selection activeCell="R12" sqref="R12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  <col min="22" max="22" width="14.28515625" bestFit="1" customWidth="1"/>
    <col min="23" max="23" width="10.5703125" bestFit="1" customWidth="1"/>
  </cols>
  <sheetData>
    <row r="1" spans="1:23" x14ac:dyDescent="0.25">
      <c r="A1" s="164" t="s">
        <v>217</v>
      </c>
      <c r="B1" s="165" t="s">
        <v>218</v>
      </c>
      <c r="C1" s="165" t="s">
        <v>219</v>
      </c>
      <c r="D1" s="165" t="s">
        <v>220</v>
      </c>
      <c r="E1" s="165" t="s">
        <v>221</v>
      </c>
      <c r="F1" s="165" t="s">
        <v>222</v>
      </c>
      <c r="G1" s="165" t="s">
        <v>223</v>
      </c>
      <c r="H1" s="165" t="s">
        <v>224</v>
      </c>
      <c r="I1" s="165" t="s">
        <v>225</v>
      </c>
      <c r="J1" s="165" t="s">
        <v>226</v>
      </c>
      <c r="K1" s="165" t="s">
        <v>227</v>
      </c>
      <c r="L1" s="165" t="s">
        <v>228</v>
      </c>
      <c r="M1" s="165" t="s">
        <v>229</v>
      </c>
      <c r="N1" s="165" t="s">
        <v>230</v>
      </c>
    </row>
    <row r="2" spans="1:23" x14ac:dyDescent="0.25">
      <c r="A2" s="166" t="s">
        <v>231</v>
      </c>
      <c r="B2" s="167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38572.915000000001</v>
      </c>
      <c r="N2" s="72">
        <v>8562.24</v>
      </c>
      <c r="O2" s="29">
        <f>M2-N2</f>
        <v>30010.675000000003</v>
      </c>
      <c r="P2" s="29"/>
      <c r="S2">
        <v>60</v>
      </c>
      <c r="T2">
        <v>24</v>
      </c>
      <c r="U2">
        <f>T2*S2</f>
        <v>1440</v>
      </c>
    </row>
    <row r="3" spans="1:23" x14ac:dyDescent="0.25">
      <c r="A3" s="166" t="s">
        <v>233</v>
      </c>
      <c r="B3" s="167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292226</v>
      </c>
      <c r="N3" s="72">
        <v>177188</v>
      </c>
      <c r="O3" s="29">
        <f t="shared" ref="O3:O15" si="0">M3-N3</f>
        <v>115038</v>
      </c>
      <c r="P3" s="29"/>
      <c r="R3">
        <v>5946</v>
      </c>
    </row>
    <row r="4" spans="1:23" x14ac:dyDescent="0.25">
      <c r="A4" s="166" t="s">
        <v>235</v>
      </c>
      <c r="B4" s="167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1287858</v>
      </c>
      <c r="N4" s="72">
        <f>M3*4</f>
        <v>1168904</v>
      </c>
      <c r="O4" s="29">
        <f t="shared" si="0"/>
        <v>118954</v>
      </c>
      <c r="P4" s="29"/>
      <c r="R4">
        <v>9659</v>
      </c>
      <c r="V4" s="193">
        <f>U2*R3</f>
        <v>8562240</v>
      </c>
      <c r="W4" s="194">
        <f>V4/1000</f>
        <v>8562.24</v>
      </c>
    </row>
    <row r="5" spans="1:23" x14ac:dyDescent="0.25">
      <c r="A5" s="166" t="s">
        <v>236</v>
      </c>
      <c r="B5" s="167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397675</v>
      </c>
      <c r="N5" s="72">
        <v>319386</v>
      </c>
      <c r="O5" s="29">
        <f t="shared" si="0"/>
        <v>78289</v>
      </c>
      <c r="P5" s="29"/>
      <c r="V5" s="193">
        <f>U2*R4</f>
        <v>13908960</v>
      </c>
    </row>
    <row r="6" spans="1:23" x14ac:dyDescent="0.25">
      <c r="A6" s="166" t="s">
        <v>237</v>
      </c>
      <c r="B6" s="167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795977</v>
      </c>
      <c r="N6" s="72">
        <v>642561</v>
      </c>
      <c r="O6" s="29">
        <f t="shared" si="0"/>
        <v>153416</v>
      </c>
      <c r="P6" s="29"/>
    </row>
    <row r="7" spans="1:23" x14ac:dyDescent="0.25">
      <c r="A7" s="166" t="s">
        <v>238</v>
      </c>
      <c r="B7" s="167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  <c r="O7" s="29">
        <f t="shared" si="0"/>
        <v>192096</v>
      </c>
      <c r="P7" s="29"/>
    </row>
    <row r="8" spans="1:23" x14ac:dyDescent="0.25">
      <c r="A8" s="166" t="s">
        <v>239</v>
      </c>
      <c r="B8" s="167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  <c r="O8" s="29">
        <f t="shared" si="0"/>
        <v>732</v>
      </c>
      <c r="P8" s="29"/>
    </row>
    <row r="9" spans="1:23" x14ac:dyDescent="0.25">
      <c r="A9" s="166" t="s">
        <v>240</v>
      </c>
      <c r="B9" s="167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  <c r="O9" s="29">
        <f t="shared" si="0"/>
        <v>3719</v>
      </c>
      <c r="P9" s="29"/>
    </row>
    <row r="10" spans="1:23" x14ac:dyDescent="0.25">
      <c r="A10" s="166" t="s">
        <v>242</v>
      </c>
      <c r="B10" s="167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  <c r="O10" s="29">
        <f t="shared" si="0"/>
        <v>6</v>
      </c>
      <c r="P10" s="29"/>
    </row>
    <row r="11" spans="1:23" x14ac:dyDescent="0.25">
      <c r="A11" s="166" t="s">
        <v>243</v>
      </c>
      <c r="B11" s="167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  <c r="O11" s="29">
        <f t="shared" si="0"/>
        <v>0</v>
      </c>
      <c r="P11" s="29"/>
    </row>
    <row r="12" spans="1:23" x14ac:dyDescent="0.25">
      <c r="A12" s="166" t="s">
        <v>244</v>
      </c>
      <c r="B12" s="167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  <c r="O12" s="29">
        <f t="shared" si="0"/>
        <v>3</v>
      </c>
      <c r="P12" s="29"/>
    </row>
    <row r="13" spans="1:23" x14ac:dyDescent="0.25">
      <c r="A13" s="166" t="s">
        <v>246</v>
      </c>
      <c r="B13" s="167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  <c r="O13" s="29">
        <f t="shared" si="0"/>
        <v>0</v>
      </c>
      <c r="P13" s="29"/>
    </row>
    <row r="14" spans="1:23" x14ac:dyDescent="0.25">
      <c r="A14" s="166" t="s">
        <v>247</v>
      </c>
      <c r="B14" s="167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483</v>
      </c>
      <c r="O14" s="29">
        <f t="shared" si="0"/>
        <v>1109</v>
      </c>
      <c r="P14" s="29"/>
    </row>
    <row r="15" spans="1:23" x14ac:dyDescent="0.25">
      <c r="A15" s="166" t="s">
        <v>249</v>
      </c>
      <c r="B15" s="167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v>324336.21000000002</v>
      </c>
      <c r="N15" s="72">
        <v>309493.43</v>
      </c>
      <c r="O15" s="29">
        <f t="shared" si="0"/>
        <v>14842.780000000028</v>
      </c>
      <c r="P15" s="29"/>
    </row>
    <row r="17" spans="14:14" x14ac:dyDescent="0.25">
      <c r="N17" s="1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23" workbookViewId="0">
      <selection activeCell="C25" sqref="C25"/>
    </sheetView>
  </sheetViews>
  <sheetFormatPr defaultColWidth="8.7109375" defaultRowHeight="15" x14ac:dyDescent="0.25"/>
  <cols>
    <col min="1" max="1" width="23" style="169" customWidth="1"/>
    <col min="2" max="2" width="52" style="169" customWidth="1"/>
    <col min="3" max="3" width="66" style="169" customWidth="1"/>
    <col min="4" max="4" width="22" style="169" customWidth="1"/>
    <col min="5" max="5" width="14" style="169" customWidth="1"/>
    <col min="6" max="6" width="18" style="169" customWidth="1"/>
    <col min="7" max="7" width="34" style="169" customWidth="1"/>
    <col min="8" max="16384" width="8.7109375" style="169"/>
  </cols>
  <sheetData>
    <row r="1" spans="1:7" x14ac:dyDescent="0.25">
      <c r="A1" s="208" t="s">
        <v>251</v>
      </c>
      <c r="B1" s="208" t="s">
        <v>251</v>
      </c>
      <c r="C1" s="208" t="s">
        <v>251</v>
      </c>
      <c r="D1" s="208" t="s">
        <v>251</v>
      </c>
      <c r="E1" s="208" t="s">
        <v>251</v>
      </c>
      <c r="F1" s="208" t="s">
        <v>251</v>
      </c>
      <c r="G1" s="208" t="s">
        <v>251</v>
      </c>
    </row>
    <row r="2" spans="1:7" x14ac:dyDescent="0.25">
      <c r="A2" s="170" t="s">
        <v>252</v>
      </c>
      <c r="B2" s="171">
        <v>46268</v>
      </c>
    </row>
    <row r="4" spans="1:7" x14ac:dyDescent="0.25">
      <c r="A4" s="172" t="s">
        <v>253</v>
      </c>
      <c r="B4" s="172" t="s">
        <v>254</v>
      </c>
      <c r="C4" s="172" t="s">
        <v>255</v>
      </c>
      <c r="D4" s="172" t="s">
        <v>256</v>
      </c>
      <c r="E4" s="172" t="s">
        <v>257</v>
      </c>
      <c r="F4" s="172" t="s">
        <v>258</v>
      </c>
      <c r="G4" s="172" t="s">
        <v>259</v>
      </c>
    </row>
    <row r="5" spans="1:7" ht="45" x14ac:dyDescent="0.25">
      <c r="A5" s="173" t="s">
        <v>163</v>
      </c>
      <c r="B5" s="173" t="s">
        <v>260</v>
      </c>
      <c r="C5" s="173" t="s">
        <v>261</v>
      </c>
      <c r="D5" s="173" t="s">
        <v>262</v>
      </c>
      <c r="E5" s="174">
        <v>46231</v>
      </c>
      <c r="F5" s="173" t="s">
        <v>263</v>
      </c>
      <c r="G5" s="173" t="s">
        <v>264</v>
      </c>
    </row>
    <row r="6" spans="1:7" ht="45" x14ac:dyDescent="0.25">
      <c r="A6" s="173" t="s">
        <v>265</v>
      </c>
      <c r="B6" s="173" t="s">
        <v>266</v>
      </c>
      <c r="C6" s="173" t="s">
        <v>267</v>
      </c>
      <c r="D6" s="173" t="s">
        <v>262</v>
      </c>
      <c r="E6" s="174">
        <v>46231</v>
      </c>
      <c r="F6" s="173" t="s">
        <v>263</v>
      </c>
      <c r="G6" s="173" t="s">
        <v>264</v>
      </c>
    </row>
    <row r="7" spans="1:7" ht="105" x14ac:dyDescent="0.25">
      <c r="A7" s="173" t="s">
        <v>9</v>
      </c>
      <c r="B7" s="173" t="s">
        <v>268</v>
      </c>
      <c r="C7" s="173" t="s">
        <v>269</v>
      </c>
      <c r="D7" s="173" t="s">
        <v>262</v>
      </c>
      <c r="E7" s="174">
        <v>46287</v>
      </c>
      <c r="F7" s="173" t="s">
        <v>263</v>
      </c>
      <c r="G7" s="173" t="s">
        <v>270</v>
      </c>
    </row>
    <row r="8" spans="1:7" ht="90" x14ac:dyDescent="0.25">
      <c r="A8" s="173" t="s">
        <v>193</v>
      </c>
      <c r="B8" s="173" t="s">
        <v>271</v>
      </c>
      <c r="C8" s="173" t="s">
        <v>272</v>
      </c>
      <c r="D8" s="173" t="s">
        <v>273</v>
      </c>
      <c r="E8" s="174">
        <v>46244</v>
      </c>
      <c r="F8" s="173" t="s">
        <v>263</v>
      </c>
      <c r="G8" s="173" t="s">
        <v>274</v>
      </c>
    </row>
    <row r="9" spans="1:7" ht="75" x14ac:dyDescent="0.25">
      <c r="A9" s="173" t="s">
        <v>275</v>
      </c>
      <c r="B9" s="173" t="s">
        <v>276</v>
      </c>
      <c r="C9" s="173" t="s">
        <v>277</v>
      </c>
      <c r="D9" s="173" t="s">
        <v>273</v>
      </c>
      <c r="E9" s="174">
        <v>46242</v>
      </c>
      <c r="F9" s="173" t="s">
        <v>263</v>
      </c>
      <c r="G9" s="173" t="s">
        <v>278</v>
      </c>
    </row>
    <row r="10" spans="1:7" ht="120" x14ac:dyDescent="0.25">
      <c r="A10" s="173" t="s">
        <v>21</v>
      </c>
      <c r="B10" s="173" t="s">
        <v>279</v>
      </c>
      <c r="C10" s="173" t="s">
        <v>280</v>
      </c>
      <c r="D10" s="173" t="s">
        <v>273</v>
      </c>
      <c r="E10" s="174">
        <v>46232</v>
      </c>
      <c r="F10" s="173" t="s">
        <v>263</v>
      </c>
      <c r="G10" s="173" t="s">
        <v>281</v>
      </c>
    </row>
    <row r="11" spans="1:7" ht="105" x14ac:dyDescent="0.25">
      <c r="A11" s="173" t="s">
        <v>282</v>
      </c>
      <c r="B11" s="173" t="s">
        <v>283</v>
      </c>
      <c r="C11" s="173" t="s">
        <v>284</v>
      </c>
      <c r="D11" s="173" t="s">
        <v>273</v>
      </c>
      <c r="E11" s="174">
        <v>46239</v>
      </c>
      <c r="F11" s="173" t="s">
        <v>263</v>
      </c>
      <c r="G11" s="173" t="s">
        <v>285</v>
      </c>
    </row>
    <row r="12" spans="1:7" ht="30" x14ac:dyDescent="0.25">
      <c r="A12" s="175" t="s">
        <v>265</v>
      </c>
      <c r="B12" s="175" t="s">
        <v>286</v>
      </c>
      <c r="C12" s="175" t="s">
        <v>287</v>
      </c>
      <c r="D12" s="175" t="s">
        <v>273</v>
      </c>
      <c r="E12" s="176">
        <v>46239</v>
      </c>
      <c r="F12" s="173" t="s">
        <v>263</v>
      </c>
      <c r="G12" s="175"/>
    </row>
    <row r="13" spans="1:7" ht="30" x14ac:dyDescent="0.25">
      <c r="A13" s="175" t="s">
        <v>9</v>
      </c>
      <c r="B13" s="175" t="s">
        <v>288</v>
      </c>
      <c r="C13" s="175" t="s">
        <v>289</v>
      </c>
      <c r="D13" s="175" t="s">
        <v>273</v>
      </c>
      <c r="E13" s="176">
        <v>46239</v>
      </c>
      <c r="F13" s="173" t="s">
        <v>263</v>
      </c>
      <c r="G13" s="175"/>
    </row>
    <row r="14" spans="1:7" x14ac:dyDescent="0.25">
      <c r="A14" s="175" t="s">
        <v>199</v>
      </c>
      <c r="B14" s="175" t="s">
        <v>290</v>
      </c>
      <c r="C14" s="175" t="s">
        <v>291</v>
      </c>
      <c r="D14" s="175" t="s">
        <v>292</v>
      </c>
      <c r="E14" s="176">
        <v>46241</v>
      </c>
      <c r="F14" s="173" t="s">
        <v>263</v>
      </c>
      <c r="G14" s="175"/>
    </row>
    <row r="15" spans="1:7" ht="45" x14ac:dyDescent="0.25">
      <c r="A15" s="175" t="s">
        <v>293</v>
      </c>
      <c r="B15" s="175" t="s">
        <v>294</v>
      </c>
      <c r="C15" s="175" t="s">
        <v>295</v>
      </c>
      <c r="D15" s="175" t="s">
        <v>262</v>
      </c>
      <c r="E15" s="176">
        <v>46241</v>
      </c>
      <c r="F15" s="173" t="s">
        <v>263</v>
      </c>
      <c r="G15" s="175"/>
    </row>
    <row r="16" spans="1:7" s="186" customFormat="1" ht="45" x14ac:dyDescent="0.25">
      <c r="A16" s="183" t="s">
        <v>296</v>
      </c>
      <c r="B16" s="183" t="s">
        <v>297</v>
      </c>
      <c r="C16" s="183" t="s">
        <v>298</v>
      </c>
      <c r="D16" s="183" t="s">
        <v>262</v>
      </c>
      <c r="E16" s="184">
        <v>46273</v>
      </c>
      <c r="F16" s="185" t="s">
        <v>299</v>
      </c>
      <c r="G16" s="183"/>
    </row>
    <row r="17" spans="1:7" s="186" customFormat="1" ht="45" x14ac:dyDescent="0.25">
      <c r="A17" s="183" t="s">
        <v>296</v>
      </c>
      <c r="B17" s="183" t="s">
        <v>297</v>
      </c>
      <c r="C17" s="183" t="s">
        <v>300</v>
      </c>
      <c r="D17" s="183" t="s">
        <v>262</v>
      </c>
      <c r="E17" s="184">
        <v>46273</v>
      </c>
      <c r="F17" s="185" t="s">
        <v>299</v>
      </c>
      <c r="G17" s="183"/>
    </row>
    <row r="18" spans="1:7" s="186" customFormat="1" x14ac:dyDescent="0.25">
      <c r="A18" s="183" t="s">
        <v>301</v>
      </c>
      <c r="B18" s="183" t="s">
        <v>302</v>
      </c>
      <c r="C18" s="183" t="s">
        <v>303</v>
      </c>
      <c r="D18" s="183" t="s">
        <v>262</v>
      </c>
      <c r="E18" s="184">
        <v>46275</v>
      </c>
      <c r="F18" s="185" t="s">
        <v>299</v>
      </c>
      <c r="G18" s="183"/>
    </row>
    <row r="19" spans="1:7" s="186" customFormat="1" ht="30" x14ac:dyDescent="0.25">
      <c r="A19" s="183" t="s">
        <v>304</v>
      </c>
      <c r="B19" s="183" t="s">
        <v>305</v>
      </c>
      <c r="C19" s="183" t="s">
        <v>306</v>
      </c>
      <c r="D19" s="183" t="s">
        <v>292</v>
      </c>
      <c r="E19" s="184">
        <v>46275</v>
      </c>
      <c r="F19" s="185" t="s">
        <v>299</v>
      </c>
      <c r="G19" s="183"/>
    </row>
    <row r="20" spans="1:7" s="186" customFormat="1" ht="30" x14ac:dyDescent="0.25">
      <c r="A20" s="183" t="s">
        <v>301</v>
      </c>
      <c r="B20" s="183" t="s">
        <v>307</v>
      </c>
      <c r="C20" s="183" t="s">
        <v>308</v>
      </c>
      <c r="D20" s="183" t="s">
        <v>292</v>
      </c>
      <c r="E20" s="184">
        <v>46272</v>
      </c>
      <c r="F20" s="185" t="s">
        <v>299</v>
      </c>
      <c r="G20" s="183"/>
    </row>
    <row r="21" spans="1:7" s="186" customFormat="1" ht="30" x14ac:dyDescent="0.25">
      <c r="A21" s="183" t="s">
        <v>265</v>
      </c>
      <c r="B21" s="183" t="s">
        <v>309</v>
      </c>
      <c r="C21" s="183" t="s">
        <v>310</v>
      </c>
      <c r="D21" s="183" t="s">
        <v>292</v>
      </c>
      <c r="E21" s="184">
        <v>46269</v>
      </c>
      <c r="F21" s="185" t="s">
        <v>263</v>
      </c>
      <c r="G21" s="183"/>
    </row>
    <row r="22" spans="1:7" s="186" customFormat="1" ht="30" x14ac:dyDescent="0.25">
      <c r="A22" s="183" t="s">
        <v>265</v>
      </c>
      <c r="B22" s="183" t="s">
        <v>309</v>
      </c>
      <c r="C22" s="183" t="s">
        <v>311</v>
      </c>
      <c r="D22" s="183" t="s">
        <v>312</v>
      </c>
      <c r="E22" s="184">
        <v>46275</v>
      </c>
      <c r="F22" s="185" t="s">
        <v>299</v>
      </c>
      <c r="G22" s="183"/>
    </row>
    <row r="23" spans="1:7" s="186" customFormat="1" x14ac:dyDescent="0.25">
      <c r="A23" s="183" t="s">
        <v>282</v>
      </c>
      <c r="B23" s="183" t="s">
        <v>313</v>
      </c>
      <c r="C23" s="183" t="s">
        <v>314</v>
      </c>
      <c r="D23" s="183" t="s">
        <v>262</v>
      </c>
      <c r="E23" s="184">
        <v>46283</v>
      </c>
      <c r="F23" s="185" t="s">
        <v>299</v>
      </c>
      <c r="G23" s="183"/>
    </row>
    <row r="24" spans="1:7" s="186" customFormat="1" x14ac:dyDescent="0.25">
      <c r="A24" s="183" t="s">
        <v>282</v>
      </c>
      <c r="B24" s="183" t="s">
        <v>313</v>
      </c>
      <c r="C24" s="183" t="s">
        <v>315</v>
      </c>
      <c r="D24" s="183" t="s">
        <v>312</v>
      </c>
      <c r="E24" s="184">
        <v>46275</v>
      </c>
      <c r="F24" s="185" t="s">
        <v>299</v>
      </c>
      <c r="G24" s="183"/>
    </row>
    <row r="25" spans="1:7" s="186" customFormat="1" ht="30" x14ac:dyDescent="0.25">
      <c r="A25" s="183" t="s">
        <v>316</v>
      </c>
      <c r="B25" s="183" t="s">
        <v>317</v>
      </c>
      <c r="C25" s="183" t="s">
        <v>318</v>
      </c>
      <c r="D25" s="183" t="s">
        <v>262</v>
      </c>
      <c r="E25" s="184">
        <v>46275</v>
      </c>
      <c r="F25" s="185" t="s">
        <v>299</v>
      </c>
      <c r="G25" s="183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topLeftCell="A8" workbookViewId="0">
      <selection activeCell="B35" sqref="B35"/>
    </sheetView>
  </sheetViews>
  <sheetFormatPr defaultColWidth="8.7109375" defaultRowHeight="15" x14ac:dyDescent="0.25"/>
  <cols>
    <col min="1" max="1" width="25" style="169" customWidth="1"/>
    <col min="2" max="2" width="52" style="169" customWidth="1"/>
    <col min="3" max="3" width="70" style="169" customWidth="1"/>
    <col min="4" max="5" width="18" style="169" customWidth="1"/>
    <col min="6" max="6" width="16" style="169" customWidth="1"/>
    <col min="7" max="7" width="22" style="169" customWidth="1"/>
    <col min="8" max="8" width="32" style="169" customWidth="1"/>
    <col min="9" max="16384" width="8.7109375" style="169"/>
  </cols>
  <sheetData>
    <row r="1" spans="1:14" ht="30" customHeight="1" x14ac:dyDescent="0.25">
      <c r="A1" s="209" t="s">
        <v>319</v>
      </c>
      <c r="B1" s="209" t="s">
        <v>319</v>
      </c>
      <c r="C1" s="209" t="s">
        <v>319</v>
      </c>
      <c r="D1" s="209" t="s">
        <v>319</v>
      </c>
      <c r="E1" s="209" t="s">
        <v>319</v>
      </c>
      <c r="F1" s="209" t="s">
        <v>319</v>
      </c>
      <c r="G1" s="209" t="s">
        <v>319</v>
      </c>
      <c r="H1" s="209" t="s">
        <v>319</v>
      </c>
      <c r="J1" s="210" t="s">
        <v>320</v>
      </c>
      <c r="K1" s="210" t="s">
        <v>320</v>
      </c>
      <c r="L1" s="210" t="s">
        <v>320</v>
      </c>
      <c r="M1" s="210" t="s">
        <v>320</v>
      </c>
      <c r="N1" s="210" t="s">
        <v>320</v>
      </c>
    </row>
    <row r="2" spans="1:14" x14ac:dyDescent="0.25">
      <c r="A2" s="177" t="s">
        <v>252</v>
      </c>
      <c r="B2" s="178">
        <v>46265</v>
      </c>
      <c r="J2" s="179" t="s">
        <v>321</v>
      </c>
      <c r="K2" s="180">
        <f>COUNTIF($D$5:$D$29,"&lt;&gt;Concluído")</f>
        <v>9</v>
      </c>
      <c r="L2" s="179" t="s">
        <v>322</v>
      </c>
      <c r="M2" s="180">
        <f ca="1">COUNTIFS($D$5:$D$29,"&lt;&gt;Concluído",$F$5:$F$29,"&lt;&gt;",$F$5:$F$29,"&lt;"&amp;TODAY())</f>
        <v>8</v>
      </c>
    </row>
    <row r="3" spans="1:14" x14ac:dyDescent="0.25">
      <c r="J3" s="179" t="s">
        <v>323</v>
      </c>
      <c r="K3" s="180">
        <f>COUNTIF($D$5:$D$29,"Concluído")</f>
        <v>16</v>
      </c>
      <c r="L3" s="179" t="s">
        <v>324</v>
      </c>
      <c r="M3" s="180">
        <f>COUNTIF($D$5:$D$29,"Impedido")</f>
        <v>2</v>
      </c>
    </row>
    <row r="4" spans="1:14" ht="24" customHeight="1" x14ac:dyDescent="0.25">
      <c r="A4" s="181" t="s">
        <v>253</v>
      </c>
      <c r="B4" s="181" t="s">
        <v>325</v>
      </c>
      <c r="C4" s="181" t="s">
        <v>326</v>
      </c>
      <c r="D4" s="181" t="s">
        <v>258</v>
      </c>
      <c r="E4" s="181" t="s">
        <v>327</v>
      </c>
      <c r="F4" s="181" t="s">
        <v>328</v>
      </c>
      <c r="G4" s="181" t="s">
        <v>256</v>
      </c>
      <c r="H4" s="181" t="s">
        <v>259</v>
      </c>
    </row>
    <row r="5" spans="1:14" ht="135.94999999999999" customHeight="1" x14ac:dyDescent="0.25">
      <c r="A5" s="187" t="s">
        <v>329</v>
      </c>
      <c r="B5" s="187" t="s">
        <v>330</v>
      </c>
      <c r="C5" s="187" t="s">
        <v>331</v>
      </c>
      <c r="D5" s="187" t="s">
        <v>263</v>
      </c>
      <c r="E5" s="188">
        <v>46251</v>
      </c>
      <c r="F5" s="188">
        <v>46234</v>
      </c>
      <c r="G5" s="187" t="s">
        <v>332</v>
      </c>
      <c r="H5" s="187"/>
    </row>
    <row r="6" spans="1:14" ht="243" customHeight="1" x14ac:dyDescent="0.25">
      <c r="A6" s="187" t="s">
        <v>333</v>
      </c>
      <c r="B6" s="187" t="s">
        <v>334</v>
      </c>
      <c r="C6" s="187" t="s">
        <v>335</v>
      </c>
      <c r="D6" s="187" t="s">
        <v>263</v>
      </c>
      <c r="E6" s="188">
        <v>46251</v>
      </c>
      <c r="F6" s="188">
        <v>46234</v>
      </c>
      <c r="G6" s="187" t="s">
        <v>336</v>
      </c>
      <c r="H6" s="187"/>
    </row>
    <row r="7" spans="1:14" ht="215.1" customHeight="1" x14ac:dyDescent="0.25">
      <c r="A7" s="187" t="s">
        <v>337</v>
      </c>
      <c r="B7" s="187" t="s">
        <v>338</v>
      </c>
      <c r="C7" s="187" t="s">
        <v>339</v>
      </c>
      <c r="D7" s="187" t="s">
        <v>299</v>
      </c>
      <c r="E7" s="188">
        <v>46251</v>
      </c>
      <c r="F7" s="188">
        <v>46234</v>
      </c>
      <c r="G7" s="187" t="s">
        <v>336</v>
      </c>
      <c r="H7" s="187"/>
    </row>
    <row r="8" spans="1:14" ht="240.6" customHeight="1" x14ac:dyDescent="0.25">
      <c r="A8" s="187" t="s">
        <v>340</v>
      </c>
      <c r="B8" s="187" t="s">
        <v>341</v>
      </c>
      <c r="C8" s="187" t="s">
        <v>342</v>
      </c>
      <c r="D8" s="187" t="s">
        <v>263</v>
      </c>
      <c r="E8" s="188">
        <v>46244</v>
      </c>
      <c r="F8" s="188">
        <v>46234</v>
      </c>
      <c r="G8" s="187" t="s">
        <v>332</v>
      </c>
      <c r="H8" s="187"/>
    </row>
    <row r="9" spans="1:14" ht="108.75" customHeight="1" x14ac:dyDescent="0.25">
      <c r="A9" s="187" t="s">
        <v>340</v>
      </c>
      <c r="B9" s="187" t="s">
        <v>341</v>
      </c>
      <c r="C9" s="187" t="s">
        <v>343</v>
      </c>
      <c r="D9" s="187" t="s">
        <v>299</v>
      </c>
      <c r="E9" s="188">
        <v>46251</v>
      </c>
      <c r="F9" s="188">
        <v>46241</v>
      </c>
      <c r="G9" s="187" t="s">
        <v>344</v>
      </c>
      <c r="H9" s="187"/>
    </row>
    <row r="10" spans="1:14" ht="198" customHeight="1" x14ac:dyDescent="0.25">
      <c r="A10" s="187" t="s">
        <v>345</v>
      </c>
      <c r="B10" s="187" t="s">
        <v>346</v>
      </c>
      <c r="C10" s="187" t="s">
        <v>347</v>
      </c>
      <c r="D10" s="187" t="s">
        <v>299</v>
      </c>
      <c r="E10" s="188">
        <v>46251</v>
      </c>
      <c r="F10" s="188">
        <v>46217</v>
      </c>
      <c r="G10" s="187" t="s">
        <v>348</v>
      </c>
      <c r="H10" s="187"/>
    </row>
    <row r="11" spans="1:14" ht="149.25" customHeight="1" x14ac:dyDescent="0.25">
      <c r="A11" s="187" t="s">
        <v>345</v>
      </c>
      <c r="B11" s="187" t="s">
        <v>346</v>
      </c>
      <c r="C11" s="187" t="s">
        <v>349</v>
      </c>
      <c r="D11" s="187" t="s">
        <v>350</v>
      </c>
      <c r="E11" s="188">
        <v>46244</v>
      </c>
      <c r="F11" s="188">
        <v>46234</v>
      </c>
      <c r="G11" s="187" t="s">
        <v>351</v>
      </c>
      <c r="H11" s="187"/>
    </row>
    <row r="12" spans="1:14" ht="118.9" customHeight="1" x14ac:dyDescent="0.25">
      <c r="A12" s="187" t="s">
        <v>345</v>
      </c>
      <c r="B12" s="187" t="s">
        <v>346</v>
      </c>
      <c r="C12" s="187" t="s">
        <v>352</v>
      </c>
      <c r="D12" s="187" t="s">
        <v>263</v>
      </c>
      <c r="E12" s="188">
        <v>46251</v>
      </c>
      <c r="F12" s="188">
        <v>46220</v>
      </c>
      <c r="G12" s="187" t="s">
        <v>344</v>
      </c>
      <c r="H12" s="187"/>
    </row>
    <row r="13" spans="1:14" ht="132" customHeight="1" x14ac:dyDescent="0.25">
      <c r="A13" s="187" t="s">
        <v>353</v>
      </c>
      <c r="B13" s="187" t="s">
        <v>354</v>
      </c>
      <c r="C13" s="187" t="s">
        <v>355</v>
      </c>
      <c r="D13" s="187" t="s">
        <v>263</v>
      </c>
      <c r="E13" s="188">
        <v>46244</v>
      </c>
      <c r="F13" s="188">
        <v>46217</v>
      </c>
      <c r="G13" s="187" t="s">
        <v>332</v>
      </c>
      <c r="H13" s="187"/>
    </row>
    <row r="14" spans="1:14" ht="118.9" customHeight="1" x14ac:dyDescent="0.25">
      <c r="A14" s="187" t="s">
        <v>353</v>
      </c>
      <c r="B14" s="187" t="s">
        <v>354</v>
      </c>
      <c r="C14" s="187" t="s">
        <v>356</v>
      </c>
      <c r="D14" s="187" t="s">
        <v>263</v>
      </c>
      <c r="E14" s="188">
        <v>46244</v>
      </c>
      <c r="F14" s="188">
        <v>46234</v>
      </c>
      <c r="G14" s="187" t="s">
        <v>332</v>
      </c>
      <c r="H14" s="187"/>
    </row>
    <row r="15" spans="1:14" ht="123.75" customHeight="1" x14ac:dyDescent="0.25">
      <c r="A15" s="187" t="s">
        <v>353</v>
      </c>
      <c r="B15" s="187" t="s">
        <v>354</v>
      </c>
      <c r="C15" s="187" t="s">
        <v>357</v>
      </c>
      <c r="D15" s="187" t="s">
        <v>350</v>
      </c>
      <c r="E15" s="188">
        <v>46234</v>
      </c>
      <c r="F15" s="188">
        <v>46234</v>
      </c>
      <c r="G15" s="187" t="s">
        <v>332</v>
      </c>
      <c r="H15" s="187" t="s">
        <v>358</v>
      </c>
    </row>
    <row r="16" spans="1:14" ht="216" customHeight="1" x14ac:dyDescent="0.25">
      <c r="A16" s="187" t="s">
        <v>359</v>
      </c>
      <c r="B16" s="187" t="s">
        <v>360</v>
      </c>
      <c r="C16" s="187" t="s">
        <v>361</v>
      </c>
      <c r="D16" s="187" t="s">
        <v>299</v>
      </c>
      <c r="E16" s="188">
        <v>46251</v>
      </c>
      <c r="F16" s="188">
        <v>46236</v>
      </c>
      <c r="G16" s="187" t="s">
        <v>336</v>
      </c>
      <c r="H16" s="187"/>
    </row>
    <row r="17" spans="1:8" ht="105.6" customHeight="1" x14ac:dyDescent="0.25">
      <c r="A17" s="187" t="s">
        <v>359</v>
      </c>
      <c r="B17" s="187" t="s">
        <v>362</v>
      </c>
      <c r="C17" s="187" t="s">
        <v>363</v>
      </c>
      <c r="D17" s="187" t="s">
        <v>263</v>
      </c>
      <c r="E17" s="188">
        <v>46217</v>
      </c>
      <c r="F17" s="188">
        <v>46256</v>
      </c>
      <c r="G17" s="187" t="s">
        <v>336</v>
      </c>
      <c r="H17" s="187"/>
    </row>
    <row r="18" spans="1:8" ht="79.150000000000006" customHeight="1" x14ac:dyDescent="0.25">
      <c r="A18" s="187" t="s">
        <v>364</v>
      </c>
      <c r="B18" s="187" t="s">
        <v>365</v>
      </c>
      <c r="C18" s="187" t="s">
        <v>366</v>
      </c>
      <c r="D18" s="187" t="s">
        <v>299</v>
      </c>
      <c r="E18" s="188">
        <v>46251</v>
      </c>
      <c r="F18" s="188">
        <v>46233</v>
      </c>
      <c r="G18" s="187" t="s">
        <v>344</v>
      </c>
      <c r="H18" s="187"/>
    </row>
    <row r="19" spans="1:8" ht="135.6" customHeight="1" x14ac:dyDescent="0.25">
      <c r="A19" s="187" t="s">
        <v>367</v>
      </c>
      <c r="B19" s="187" t="s">
        <v>368</v>
      </c>
      <c r="C19" s="187" t="s">
        <v>369</v>
      </c>
      <c r="D19" s="187" t="s">
        <v>263</v>
      </c>
      <c r="E19" s="188">
        <v>46237</v>
      </c>
      <c r="F19" s="188">
        <v>46223</v>
      </c>
      <c r="G19" s="187" t="s">
        <v>332</v>
      </c>
      <c r="H19" s="187"/>
    </row>
    <row r="20" spans="1:8" ht="105.6" customHeight="1" x14ac:dyDescent="0.25">
      <c r="A20" s="187" t="s">
        <v>367</v>
      </c>
      <c r="B20" s="187" t="s">
        <v>368</v>
      </c>
      <c r="C20" s="187" t="s">
        <v>370</v>
      </c>
      <c r="D20" s="187" t="s">
        <v>263</v>
      </c>
      <c r="E20" s="188">
        <v>46251</v>
      </c>
      <c r="F20" s="188">
        <v>46223</v>
      </c>
      <c r="G20" s="187" t="s">
        <v>336</v>
      </c>
      <c r="H20" s="187"/>
    </row>
    <row r="21" spans="1:8" ht="166.5" customHeight="1" x14ac:dyDescent="0.25">
      <c r="A21" s="187" t="s">
        <v>371</v>
      </c>
      <c r="B21" s="187" t="s">
        <v>372</v>
      </c>
      <c r="C21" s="187" t="s">
        <v>373</v>
      </c>
      <c r="D21" s="187" t="s">
        <v>299</v>
      </c>
      <c r="E21" s="188">
        <v>46242</v>
      </c>
      <c r="F21" s="188">
        <v>46220</v>
      </c>
      <c r="G21" s="187" t="s">
        <v>332</v>
      </c>
      <c r="H21" s="187"/>
    </row>
    <row r="22" spans="1:8" ht="105.6" customHeight="1" x14ac:dyDescent="0.25">
      <c r="A22" s="187" t="s">
        <v>374</v>
      </c>
      <c r="B22" s="187" t="s">
        <v>375</v>
      </c>
      <c r="C22" s="187" t="s">
        <v>376</v>
      </c>
      <c r="D22" s="187" t="s">
        <v>263</v>
      </c>
      <c r="E22" s="188">
        <v>46237</v>
      </c>
      <c r="F22" s="188">
        <v>46234</v>
      </c>
      <c r="G22" s="187" t="s">
        <v>377</v>
      </c>
      <c r="H22" s="187"/>
    </row>
    <row r="23" spans="1:8" ht="39.6" customHeight="1" x14ac:dyDescent="0.25">
      <c r="A23" s="187" t="s">
        <v>374</v>
      </c>
      <c r="B23" s="187" t="s">
        <v>375</v>
      </c>
      <c r="C23" s="187" t="s">
        <v>378</v>
      </c>
      <c r="D23" s="187" t="s">
        <v>263</v>
      </c>
      <c r="E23" s="188">
        <v>46237</v>
      </c>
      <c r="F23" s="188">
        <v>46230</v>
      </c>
      <c r="G23" s="187" t="s">
        <v>344</v>
      </c>
      <c r="H23" s="187" t="s">
        <v>379</v>
      </c>
    </row>
    <row r="24" spans="1:8" ht="66" customHeight="1" x14ac:dyDescent="0.25">
      <c r="A24" s="187" t="s">
        <v>380</v>
      </c>
      <c r="B24" s="187" t="s">
        <v>381</v>
      </c>
      <c r="C24" s="187" t="s">
        <v>382</v>
      </c>
      <c r="D24" s="187" t="s">
        <v>263</v>
      </c>
      <c r="E24" s="188">
        <v>46223</v>
      </c>
      <c r="F24" s="188">
        <v>46220</v>
      </c>
      <c r="G24" s="187" t="s">
        <v>344</v>
      </c>
      <c r="H24" s="187"/>
    </row>
    <row r="25" spans="1:8" ht="52.7" customHeight="1" x14ac:dyDescent="0.25">
      <c r="A25" s="187" t="s">
        <v>380</v>
      </c>
      <c r="B25" s="187" t="s">
        <v>381</v>
      </c>
      <c r="C25" s="187" t="s">
        <v>383</v>
      </c>
      <c r="D25" s="187" t="s">
        <v>263</v>
      </c>
      <c r="E25" s="188">
        <v>46230</v>
      </c>
      <c r="F25" s="188">
        <v>46234</v>
      </c>
      <c r="G25" s="187" t="s">
        <v>336</v>
      </c>
      <c r="H25" s="187"/>
    </row>
    <row r="26" spans="1:8" ht="52.7" customHeight="1" x14ac:dyDescent="0.25">
      <c r="A26" s="187" t="s">
        <v>380</v>
      </c>
      <c r="B26" s="187" t="s">
        <v>381</v>
      </c>
      <c r="C26" s="187" t="s">
        <v>384</v>
      </c>
      <c r="D26" s="187" t="s">
        <v>263</v>
      </c>
      <c r="E26" s="188">
        <v>46237</v>
      </c>
      <c r="F26" s="188">
        <v>46234</v>
      </c>
      <c r="G26" s="187" t="s">
        <v>336</v>
      </c>
      <c r="H26" s="187" t="s">
        <v>385</v>
      </c>
    </row>
    <row r="27" spans="1:8" ht="105.6" customHeight="1" x14ac:dyDescent="0.25">
      <c r="A27" s="187" t="s">
        <v>386</v>
      </c>
      <c r="B27" s="187" t="s">
        <v>387</v>
      </c>
      <c r="C27" s="187" t="s">
        <v>388</v>
      </c>
      <c r="D27" s="187" t="s">
        <v>263</v>
      </c>
      <c r="E27" s="188">
        <v>46230</v>
      </c>
      <c r="F27" s="188">
        <v>46240</v>
      </c>
      <c r="G27" s="187" t="s">
        <v>336</v>
      </c>
      <c r="H27" s="187"/>
    </row>
    <row r="28" spans="1:8" ht="92.45" customHeight="1" x14ac:dyDescent="0.25">
      <c r="A28" s="187" t="s">
        <v>389</v>
      </c>
      <c r="B28" s="187" t="s">
        <v>390</v>
      </c>
      <c r="C28" s="187" t="s">
        <v>391</v>
      </c>
      <c r="D28" s="187" t="s">
        <v>263</v>
      </c>
      <c r="E28" s="188">
        <v>46251</v>
      </c>
      <c r="F28" s="188" t="e">
        <f>[2]!PlanoAcaoCoordTable4[[#This Row],[Data da atualização]]</f>
        <v>#REF!</v>
      </c>
      <c r="G28" s="187" t="s">
        <v>392</v>
      </c>
      <c r="H28" s="187"/>
    </row>
    <row r="29" spans="1:8" ht="120" customHeight="1" x14ac:dyDescent="0.25">
      <c r="A29" s="189" t="s">
        <v>393</v>
      </c>
      <c r="B29" s="189" t="s">
        <v>394</v>
      </c>
      <c r="C29" s="189" t="s">
        <v>395</v>
      </c>
      <c r="D29" s="189" t="s">
        <v>299</v>
      </c>
      <c r="E29" s="190">
        <v>46251</v>
      </c>
      <c r="F29" s="190">
        <v>46368</v>
      </c>
      <c r="G29" s="189" t="s">
        <v>348</v>
      </c>
      <c r="H29" s="189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2026-09-29T17:36:29Z</dcterms:modified>
  <cp:category/>
  <cp:contentStatus/>
</cp:coreProperties>
</file>